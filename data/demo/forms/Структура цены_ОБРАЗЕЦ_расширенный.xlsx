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\\cml2.local\FINANCE\PLAN\Целевые параметры для Новокшенова\"/>
    </mc:Choice>
  </mc:AlternateContent>
  <xr:revisionPtr revIDLastSave="0" documentId="13_ncr:1_{125C996A-A3C9-46D3-A29E-44E60991D9CF}" xr6:coauthVersionLast="47" xr6:coauthVersionMax="47" xr10:uidLastSave="{00000000-0000-0000-0000-000000000000}"/>
  <bookViews>
    <workbookView xWindow="-120" yWindow="-120" windowWidth="29040" windowHeight="15840" tabRatio="848" activeTab="3" xr2:uid="{00000000-000D-0000-FFFF-FFFF00000000}"/>
  </bookViews>
  <sheets>
    <sheet name="Структура цены" sheetId="8" r:id="rId1"/>
    <sheet name="Материалы" sheetId="10" r:id="rId2"/>
    <sheet name="Спец_обор" sheetId="2" r:id="rId3"/>
    <sheet name="Расшифровка ФОТ" sheetId="9" r:id="rId4"/>
    <sheet name="Амортизация" sheetId="11" r:id="rId5"/>
    <sheet name="Прочие прямые" sheetId="5" r:id="rId6"/>
    <sheet name="Командировочные" sheetId="6" r:id="rId7"/>
    <sheet name="Накладные" sheetId="12" r:id="rId8"/>
    <sheet name="Стор_орг" sheetId="7" r:id="rId9"/>
  </sheets>
  <externalReferences>
    <externalReference r:id="rId10"/>
  </externalReferences>
  <definedNames>
    <definedName name="_Hlk532895363" localSheetId="7">Накладные!#REF!</definedName>
    <definedName name="_Hlk68180980" localSheetId="4">Амортизация!$B$6</definedName>
    <definedName name="_Hlk68180980" localSheetId="8">Стор_орг!$B$6</definedName>
    <definedName name="договор" localSheetId="7">'[1]структура цены'!$A$3</definedName>
    <definedName name="договор">'Структура цены'!#REF!</definedName>
    <definedName name="_xlnm.Print_Area" localSheetId="6">Командировочные!$A$1:$M$20</definedName>
    <definedName name="_xlnm.Print_Area" localSheetId="1">Материалы!$A$1:$H$17</definedName>
    <definedName name="_xlnm.Print_Area" localSheetId="7">Накладные!$A$1:$E$15</definedName>
    <definedName name="_xlnm.Print_Area" localSheetId="5">'Прочие прямые'!$A$1:$D$18</definedName>
    <definedName name="_xlnm.Print_Area" localSheetId="3">'Расшифровка ФОТ'!$A$1:$I$64</definedName>
    <definedName name="_xlnm.Print_Area" localSheetId="2">Спец_обор!$A$1:$G$19</definedName>
    <definedName name="_xlnm.Print_Area" localSheetId="0">'Структура цены'!$A$1:$I$36</definedName>
    <definedName name="тема">'Структура цены'!$A$2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8" l="1"/>
  <c r="H22" i="8"/>
  <c r="G22" i="8"/>
  <c r="F22" i="8"/>
  <c r="E22" i="8"/>
  <c r="D22" i="8"/>
  <c r="I20" i="8"/>
  <c r="H20" i="8"/>
  <c r="G20" i="8"/>
  <c r="F20" i="8"/>
  <c r="E20" i="8"/>
  <c r="D20" i="8"/>
  <c r="I18" i="8"/>
  <c r="D18" i="8"/>
  <c r="I16" i="8"/>
  <c r="H16" i="8"/>
  <c r="G16" i="8"/>
  <c r="F16" i="8"/>
  <c r="E16" i="8"/>
  <c r="D16" i="8"/>
  <c r="I7" i="9" l="1"/>
  <c r="G53" i="9"/>
  <c r="G52" i="9"/>
  <c r="G51" i="9"/>
  <c r="G50" i="9"/>
  <c r="G49" i="9"/>
  <c r="G48" i="9"/>
  <c r="G47" i="9"/>
  <c r="G45" i="9"/>
  <c r="G44" i="9"/>
  <c r="G43" i="9"/>
  <c r="G42" i="9"/>
  <c r="G41" i="9"/>
  <c r="G40" i="9"/>
  <c r="G39" i="9"/>
  <c r="G37" i="9"/>
  <c r="G36" i="9"/>
  <c r="G35" i="9"/>
  <c r="G34" i="9"/>
  <c r="G33" i="9"/>
  <c r="G32" i="9"/>
  <c r="G31" i="9"/>
  <c r="G29" i="9"/>
  <c r="G28" i="9"/>
  <c r="G27" i="9"/>
  <c r="G26" i="9"/>
  <c r="G25" i="9"/>
  <c r="G24" i="9"/>
  <c r="G23" i="9"/>
  <c r="G21" i="9"/>
  <c r="G20" i="9"/>
  <c r="G19" i="9"/>
  <c r="G18" i="9"/>
  <c r="G17" i="9"/>
  <c r="G16" i="9"/>
  <c r="G15" i="9"/>
  <c r="G13" i="9"/>
  <c r="G12" i="9"/>
  <c r="G11" i="9"/>
  <c r="G10" i="9"/>
  <c r="G9" i="9"/>
  <c r="G8" i="9"/>
  <c r="G7" i="9"/>
  <c r="L6" i="6"/>
  <c r="K6" i="6"/>
  <c r="J6" i="6"/>
  <c r="I6" i="6"/>
  <c r="C5" i="8"/>
  <c r="C6" i="8"/>
  <c r="C11" i="8"/>
  <c r="C12" i="8"/>
  <c r="K9" i="6" l="1"/>
  <c r="K7" i="6"/>
  <c r="J11" i="6"/>
  <c r="K8" i="6"/>
  <c r="K10" i="6"/>
  <c r="K11" i="6"/>
  <c r="J7" i="6"/>
  <c r="J8" i="6"/>
  <c r="J9" i="6"/>
  <c r="J10" i="6"/>
  <c r="I11" i="6"/>
  <c r="I10" i="6"/>
  <c r="I9" i="6"/>
  <c r="I8" i="6"/>
  <c r="I7" i="6"/>
  <c r="A2" i="11"/>
  <c r="A2" i="7"/>
  <c r="A3" i="12"/>
  <c r="A2" i="5"/>
  <c r="B2" i="6"/>
  <c r="B3" i="9"/>
  <c r="A3" i="10"/>
  <c r="A2" i="2"/>
  <c r="L8" i="6" l="1"/>
  <c r="F13" i="8" s="1"/>
  <c r="D13" i="8"/>
  <c r="L11" i="6"/>
  <c r="I13" i="8" s="1"/>
  <c r="L7" i="6"/>
  <c r="E13" i="8" s="1"/>
  <c r="L10" i="6"/>
  <c r="H13" i="8" s="1"/>
  <c r="L9" i="6"/>
  <c r="G13" i="8" s="1"/>
  <c r="C13" i="8" l="1"/>
  <c r="L12" i="6"/>
  <c r="I36" i="9" l="1"/>
  <c r="I41" i="9"/>
  <c r="I33" i="9"/>
  <c r="I44" i="9"/>
  <c r="I34" i="9" l="1"/>
  <c r="I42" i="9"/>
  <c r="I43" i="9"/>
  <c r="I32" i="9"/>
  <c r="I40" i="9"/>
  <c r="I35" i="9"/>
  <c r="I51" i="9" l="1"/>
  <c r="I52" i="9"/>
  <c r="I50" i="9"/>
  <c r="I49" i="9"/>
  <c r="E30" i="9"/>
  <c r="I28" i="9"/>
  <c r="I27" i="9"/>
  <c r="I26" i="9"/>
  <c r="I25" i="9"/>
  <c r="I24" i="9"/>
  <c r="G30" i="9"/>
  <c r="E22" i="9"/>
  <c r="I20" i="9"/>
  <c r="I19" i="9"/>
  <c r="I18" i="9"/>
  <c r="I17" i="9"/>
  <c r="I16" i="9"/>
  <c r="I48" i="9" l="1"/>
  <c r="I23" i="9"/>
  <c r="I15" i="9"/>
  <c r="I8" i="9" l="1"/>
  <c r="I9" i="9"/>
  <c r="I10" i="9"/>
  <c r="I11" i="9"/>
  <c r="I12" i="9"/>
  <c r="I47" i="9" l="1"/>
  <c r="I31" i="9"/>
  <c r="E46" i="9" l="1"/>
  <c r="E54" i="9" l="1"/>
  <c r="E38" i="9"/>
  <c r="E14" i="9"/>
  <c r="I39" i="9" l="1"/>
  <c r="C17" i="8" l="1"/>
  <c r="C19" i="8" l="1"/>
  <c r="I29" i="9" l="1"/>
  <c r="I30" i="9" s="1"/>
  <c r="I21" i="9"/>
  <c r="I22" i="9" s="1"/>
  <c r="E8" i="8" s="1"/>
  <c r="I37" i="9"/>
  <c r="F22" i="9"/>
  <c r="G22" i="9"/>
  <c r="H22" i="9" l="1"/>
  <c r="E9" i="8"/>
  <c r="E7" i="8" s="1"/>
  <c r="E10" i="8" s="1"/>
  <c r="F8" i="8"/>
  <c r="H30" i="9"/>
  <c r="I45" i="9"/>
  <c r="I46" i="9" s="1"/>
  <c r="H8" i="8" s="1"/>
  <c r="F30" i="9"/>
  <c r="H9" i="8" l="1"/>
  <c r="H7" i="8" s="1"/>
  <c r="H10" i="8" s="1"/>
  <c r="F9" i="8"/>
  <c r="F7" i="8" s="1"/>
  <c r="F10" i="8" s="1"/>
  <c r="E4" i="8"/>
  <c r="I53" i="9"/>
  <c r="I54" i="9" s="1"/>
  <c r="I8" i="8" s="1"/>
  <c r="I9" i="8" l="1"/>
  <c r="I7" i="8" s="1"/>
  <c r="I10" i="8" s="1"/>
  <c r="E18" i="8"/>
  <c r="F4" i="8"/>
  <c r="F54" i="9"/>
  <c r="G54" i="9"/>
  <c r="F46" i="9"/>
  <c r="G46" i="9"/>
  <c r="H46" i="9" s="1"/>
  <c r="H4" i="8" l="1"/>
  <c r="H18" i="8" s="1"/>
  <c r="F18" i="8"/>
  <c r="H54" i="9"/>
  <c r="I13" i="9"/>
  <c r="I14" i="9" s="1"/>
  <c r="D8" i="8" s="1"/>
  <c r="D9" i="8" s="1"/>
  <c r="F14" i="9"/>
  <c r="I4" i="8" l="1"/>
  <c r="D7" i="8"/>
  <c r="D10" i="8" s="1"/>
  <c r="G14" i="9"/>
  <c r="H14" i="9" s="1"/>
  <c r="F38" i="9"/>
  <c r="G38" i="9"/>
  <c r="I38" i="9"/>
  <c r="D4" i="8" l="1"/>
  <c r="H38" i="9"/>
  <c r="G8" i="8"/>
  <c r="C8" i="8" s="1"/>
  <c r="I55" i="9"/>
  <c r="G9" i="8" l="1"/>
  <c r="C9" i="8" s="1"/>
  <c r="G7" i="8" l="1"/>
  <c r="G10" i="8" s="1"/>
  <c r="C7" i="8" l="1"/>
  <c r="C10" i="8"/>
  <c r="C14" i="8" l="1"/>
  <c r="G4" i="8"/>
  <c r="C15" i="8" l="1"/>
  <c r="C4" i="8"/>
  <c r="C16" i="8" l="1"/>
  <c r="G18" i="8"/>
  <c r="C20" i="8" l="1"/>
  <c r="C22" i="8" s="1"/>
  <c r="C18" i="8"/>
</calcChain>
</file>

<file path=xl/sharedStrings.xml><?xml version="1.0" encoding="utf-8"?>
<sst xmlns="http://schemas.openxmlformats.org/spreadsheetml/2006/main" count="508" uniqueCount="149">
  <si>
    <t>№ этапа</t>
  </si>
  <si>
    <t>(подпись, ФИО, дата)</t>
  </si>
  <si>
    <t>Итого по этапу 1</t>
  </si>
  <si>
    <t xml:space="preserve"> </t>
  </si>
  <si>
    <t>Главный бухгалтер</t>
  </si>
  <si>
    <t>Наименование (содержание) 
расходов</t>
  </si>
  <si>
    <t>Обоснование 
расходов</t>
  </si>
  <si>
    <t>Количество командировок</t>
  </si>
  <si>
    <t>№ 
этапа</t>
  </si>
  <si>
    <t>СТРУКТУРА ЦЕНЫ</t>
  </si>
  <si>
    <t>№
п/п</t>
  </si>
  <si>
    <t>Ответственный исполнитель</t>
  </si>
  <si>
    <t>__________/Боровков А.И./ ______</t>
  </si>
  <si>
    <t>_________/Иванова Н.В./_________</t>
  </si>
  <si>
    <t>Ведущий инженер</t>
  </si>
  <si>
    <t>Инженер</t>
  </si>
  <si>
    <t>Сумма, 
 руб.</t>
  </si>
  <si>
    <t>Руководитель работ</t>
  </si>
  <si>
    <t>Научный сотрудник</t>
  </si>
  <si>
    <t>Младший научный сотрудник</t>
  </si>
  <si>
    <t>Начальник ОФЭАУ НИОКР</t>
  </si>
  <si>
    <t>-</t>
  </si>
  <si>
    <t>_________/Васецкая Н.О./_________</t>
  </si>
  <si>
    <t xml:space="preserve">№ </t>
  </si>
  <si>
    <t>п/п</t>
  </si>
  <si>
    <t>Должность</t>
  </si>
  <si>
    <t>Кол-во человек</t>
  </si>
  <si>
    <t>Кол-во чел/мес.</t>
  </si>
  <si>
    <t>Сумма месячной з/пл., руб.</t>
  </si>
  <si>
    <t>Итого ФОТ, руб.</t>
  </si>
  <si>
    <t>Этап 1</t>
  </si>
  <si>
    <t>Итого по Этапу 1</t>
  </si>
  <si>
    <t>Этап 2</t>
  </si>
  <si>
    <t>Итого по Этапу 2</t>
  </si>
  <si>
    <t>Этап 3</t>
  </si>
  <si>
    <t>Итого по Этапу 3</t>
  </si>
  <si>
    <t>Этап 4</t>
  </si>
  <si>
    <t>Итого по Этапу 4</t>
  </si>
  <si>
    <t>ИТОГО:</t>
  </si>
  <si>
    <t>х</t>
  </si>
  <si>
    <t>Тип работ</t>
  </si>
  <si>
    <t>Прямые расходы, в том числе:</t>
  </si>
  <si>
    <t>материалы и комплектующие</t>
  </si>
  <si>
    <t>специальное оборудование</t>
  </si>
  <si>
    <t>расходы на оплату труда:</t>
  </si>
  <si>
    <t>обязательные отчисления от оплаты труда</t>
  </si>
  <si>
    <t>амортизационные отчисления</t>
  </si>
  <si>
    <t xml:space="preserve">прочие прямые </t>
  </si>
  <si>
    <t>расходы на оплату труда административно-управленческого аппарата с отчислениями</t>
  </si>
  <si>
    <t>Всего расходов собственными силами</t>
  </si>
  <si>
    <t xml:space="preserve">Затраты на выполнение работ сторонними организациями </t>
  </si>
  <si>
    <t>Всего расходов</t>
  </si>
  <si>
    <t xml:space="preserve">Прибыль </t>
  </si>
  <si>
    <t xml:space="preserve">Цена договора </t>
  </si>
  <si>
    <t>1.1</t>
  </si>
  <si>
    <t>1.2</t>
  </si>
  <si>
    <t>1.3</t>
  </si>
  <si>
    <t>1.4</t>
  </si>
  <si>
    <t>1.5</t>
  </si>
  <si>
    <t>1.6</t>
  </si>
  <si>
    <t>2.1</t>
  </si>
  <si>
    <t>№ п/п</t>
  </si>
  <si>
    <t>Наименование оборудования</t>
  </si>
  <si>
    <t>Производитель/ спецификация</t>
  </si>
  <si>
    <t>Срок поставки</t>
  </si>
  <si>
    <t>Кол-во, шт.</t>
  </si>
  <si>
    <t>Цена за ед., руб.</t>
  </si>
  <si>
    <t>Х</t>
  </si>
  <si>
    <t>Наименование материала/ комплектующих</t>
  </si>
  <si>
    <t>Модель/ производитель/ технические характеристики</t>
  </si>
  <si>
    <t>Ед. изм.</t>
  </si>
  <si>
    <t>Наименование города, страны, куда командируются работники</t>
  </si>
  <si>
    <t>Количество человек</t>
  </si>
  <si>
    <t>Кол-во суток нахождения в командировке</t>
  </si>
  <si>
    <t>Суточных</t>
  </si>
  <si>
    <t>Квартирных</t>
  </si>
  <si>
    <t>За проезд</t>
  </si>
  <si>
    <t>Наименование организаций соисполнителей и контрагентов</t>
  </si>
  <si>
    <t>Наименование выполняемых работ (предмет договора)</t>
  </si>
  <si>
    <t>Сроки исполнения</t>
  </si>
  <si>
    <t>Цена договора, руб.</t>
  </si>
  <si>
    <t>Основание</t>
  </si>
  <si>
    <t xml:space="preserve">Применение для выполнения СЧ НИР
по теме
</t>
  </si>
  <si>
    <t>Балансовая стоимость, руб.</t>
  </si>
  <si>
    <t>Амортизация в месяц, руб.</t>
  </si>
  <si>
    <t>Число месяцев исполь-зования</t>
  </si>
  <si>
    <t>Итого амортизация, руб. (гр.5*гр.6)</t>
  </si>
  <si>
    <t>1.7</t>
  </si>
  <si>
    <t>командировки и т.п.</t>
  </si>
  <si>
    <t>Цена договора без НДС</t>
  </si>
  <si>
    <t>Этап 5</t>
  </si>
  <si>
    <t>Итого по Этапу 5</t>
  </si>
  <si>
    <t>Этап 6</t>
  </si>
  <si>
    <t>Итого по Этапу 6</t>
  </si>
  <si>
    <t xml:space="preserve">Инженер I-категории </t>
  </si>
  <si>
    <t xml:space="preserve">Специалист </t>
  </si>
  <si>
    <t>Итого по этапу …</t>
  </si>
  <si>
    <t>СПРАВКА</t>
  </si>
  <si>
    <t>о размере накладных расходов</t>
  </si>
  <si>
    <t>Планируемый</t>
  </si>
  <si>
    <t>План</t>
  </si>
  <si>
    <t>Факт</t>
  </si>
  <si>
    <t>___________/Иванова Н.В./_____</t>
  </si>
  <si>
    <t>НДС</t>
  </si>
  <si>
    <t>Проректор по научной работе</t>
  </si>
  <si>
    <t>Предметные статьи расходов</t>
  </si>
  <si>
    <t>___________/ Фомин Ю.В./___</t>
  </si>
  <si>
    <t>Накладные расходы  по организации в целом, 
тыс. руб./ % к основной заработной плате исполнителей</t>
  </si>
  <si>
    <t>Принятый %  накладных расходов  по заключаемому Госконтракту (Дополнительному соглашению) к общему объему поступлений средств/ основной заработной плате исполнителей</t>
  </si>
  <si>
    <t>Плановая сумма накладных расходов по заключаемому Госконтракту (Дополнительному соглашению),
тыс. руб.</t>
  </si>
  <si>
    <t>2024г.</t>
  </si>
  <si>
    <t>Расшифровка статьи «Амортизационные отчисления»</t>
  </si>
  <si>
    <t>Расшифровка статьи «Затраты на выполнение работ сторонними организациями»</t>
  </si>
  <si>
    <t>Расшифровка статьи «Командировки»</t>
  </si>
  <si>
    <t xml:space="preserve">Расшифровка статьи «Расходы на оплату труда» </t>
  </si>
  <si>
    <t xml:space="preserve">Расшифровка статьи «Материалы и комплектующие» </t>
  </si>
  <si>
    <t xml:space="preserve">Расшифровка статьи «Специальное оборудование» </t>
  </si>
  <si>
    <t>на выполнение научно-исследовательской работы по теме:
«ТЕМА»</t>
  </si>
  <si>
    <t>основная заработная плата</t>
  </si>
  <si>
    <t>дополнительная заработная плата</t>
  </si>
  <si>
    <t>Расшифровка статьи «Прочие прямые расходы»</t>
  </si>
  <si>
    <t xml:space="preserve">                   ИТОГО по теме</t>
  </si>
  <si>
    <t xml:space="preserve"> - </t>
  </si>
  <si>
    <t>Сумма, руб.</t>
  </si>
  <si>
    <t>Руководитель договора</t>
  </si>
  <si>
    <t>________/Фамилия И.О./_______</t>
  </si>
  <si>
    <t xml:space="preserve"> -</t>
  </si>
  <si>
    <t>Всего по НИР
 сумма, руб.</t>
  </si>
  <si>
    <t>(гр6*гр7)</t>
  </si>
  <si>
    <t>Норма оплаты, руб.</t>
  </si>
  <si>
    <t>ВСЕГО, руб.</t>
  </si>
  <si>
    <t>2025 год  (предыдущий год)</t>
  </si>
  <si>
    <t>/ 0,0% (0%)</t>
  </si>
  <si>
    <t>Справка НР и НТП от №</t>
  </si>
  <si>
    <t>Письмо Минэкономразвития от хх.10.202х № с индексами ИПЦ и ИРЗ</t>
  </si>
  <si>
    <t>НАЧАЛО ЭТАПА</t>
  </si>
  <si>
    <t>ОКОНЧАНИЕ ЭТАПА</t>
  </si>
  <si>
    <t>хх.хх.хххх</t>
  </si>
  <si>
    <t>Накладные расходы (хх,хх% от п.1.3.1), в том числе:</t>
  </si>
  <si>
    <t>1.3.1</t>
  </si>
  <si>
    <t>1.3.2</t>
  </si>
  <si>
    <t>5</t>
  </si>
  <si>
    <t>6</t>
  </si>
  <si>
    <t>7</t>
  </si>
  <si>
    <t>8</t>
  </si>
  <si>
    <t>9</t>
  </si>
  <si>
    <t>Среднемесячное количество рабочих часов в 2026 г.- 164,25, в 2027 г. -165,58</t>
  </si>
  <si>
    <t>Тудоемкость на 1 чел., мес ЛИБО час</t>
  </si>
  <si>
    <t>скрыть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</si>
</sst>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%"/>
    <numFmt numFmtId="166" formatCode="#,##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Calibri"/>
      <family val="2"/>
      <scheme val="minor"/>
    </font>
    <font>
      <sz val="10"/>
      <name val="Times New Roman"/>
      <family val="1"/>
      <charset val="204"/>
    </font>
    <font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2060"/>
      <name val="Arial"/>
      <family val="2"/>
      <charset val="204"/>
    </font>
    <font>
      <sz val="11"/>
      <color rgb="FF002060"/>
      <name val="Calibri"/>
      <family val="2"/>
      <scheme val="minor"/>
    </font>
    <font>
      <i/>
      <sz val="11"/>
      <color rgb="FF002060"/>
      <name val="Arial"/>
      <family val="2"/>
      <charset val="204"/>
    </font>
    <font>
      <sz val="10"/>
      <color rgb="FFFF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i/>
      <sz val="10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16" fillId="0" borderId="0"/>
    <xf numFmtId="9" fontId="19" fillId="0" borderId="0" applyFont="0" applyFill="0" applyBorder="0" applyAlignment="0" applyProtection="0"/>
    <xf numFmtId="0" fontId="16" fillId="0" borderId="0"/>
  </cellStyleXfs>
  <cellXfs count="185">
    <xf numFmtId="0" fontId="0" fillId="0" borderId="0" xfId="0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right" vertical="center" indent="15"/>
    </xf>
    <xf numFmtId="0" fontId="5" fillId="0" borderId="0" xfId="0" applyFont="1" applyAlignment="1">
      <alignment horizontal="justify" vertical="center"/>
    </xf>
    <xf numFmtId="0" fontId="11" fillId="0" borderId="0" xfId="0" applyFont="1" applyAlignment="1">
      <alignment horizontal="left" vertical="center" indent="2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0" borderId="0" xfId="0" applyFont="1"/>
    <xf numFmtId="0" fontId="0" fillId="0" borderId="0" xfId="0" applyFill="1"/>
    <xf numFmtId="0" fontId="4" fillId="0" borderId="0" xfId="0" applyFont="1" applyFill="1"/>
    <xf numFmtId="0" fontId="6" fillId="0" borderId="0" xfId="0" applyFont="1" applyFill="1" applyAlignment="1">
      <alignment horizontal="center" vertical="center"/>
    </xf>
    <xf numFmtId="4" fontId="5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4" fontId="5" fillId="0" borderId="0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7" fillId="0" borderId="0" xfId="0" applyFont="1" applyFill="1" applyAlignment="1">
      <alignment vertical="center" wrapText="1"/>
    </xf>
    <xf numFmtId="0" fontId="18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0" fontId="5" fillId="0" borderId="0" xfId="4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4" fontId="7" fillId="0" borderId="1" xfId="0" applyNumberFormat="1" applyFont="1" applyFill="1" applyBorder="1" applyAlignment="1">
      <alignment horizontal="center" vertical="center" wrapText="1"/>
    </xf>
    <xf numFmtId="4" fontId="7" fillId="0" borderId="0" xfId="0" applyNumberFormat="1" applyFont="1" applyFill="1" applyBorder="1" applyAlignment="1">
      <alignment horizontal="center" vertical="center" wrapText="1"/>
    </xf>
    <xf numFmtId="0" fontId="20" fillId="0" borderId="0" xfId="0" applyFont="1" applyFill="1"/>
    <xf numFmtId="4" fontId="20" fillId="0" borderId="0" xfId="0" applyNumberFormat="1" applyFont="1" applyFill="1"/>
    <xf numFmtId="4" fontId="21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horizontal="center" wrapText="1"/>
    </xf>
    <xf numFmtId="0" fontId="0" fillId="0" borderId="0" xfId="0" applyFill="1" applyAlignment="1"/>
    <xf numFmtId="0" fontId="6" fillId="0" borderId="0" xfId="0" applyFont="1" applyFill="1" applyAlignment="1"/>
    <xf numFmtId="0" fontId="14" fillId="0" borderId="0" xfId="0" applyFont="1" applyFill="1" applyAlignment="1">
      <alignment vertical="center"/>
    </xf>
    <xf numFmtId="0" fontId="0" fillId="0" borderId="0" xfId="0" applyFill="1" applyBorder="1"/>
    <xf numFmtId="0" fontId="15" fillId="0" borderId="0" xfId="0" applyFont="1" applyFill="1"/>
    <xf numFmtId="0" fontId="1" fillId="0" borderId="0" xfId="0" applyFont="1" applyAlignment="1">
      <alignment vertical="center" wrapText="1"/>
    </xf>
    <xf numFmtId="0" fontId="20" fillId="0" borderId="0" xfId="0" applyFont="1"/>
    <xf numFmtId="0" fontId="0" fillId="0" borderId="0" xfId="0" applyFont="1" applyAlignment="1">
      <alignment wrapText="1"/>
    </xf>
    <xf numFmtId="0" fontId="0" fillId="0" borderId="0" xfId="0" applyFont="1"/>
    <xf numFmtId="0" fontId="12" fillId="3" borderId="0" xfId="0" applyFont="1" applyFill="1" applyBorder="1" applyAlignment="1">
      <alignment horizontal="left" vertical="center"/>
    </xf>
    <xf numFmtId="165" fontId="5" fillId="0" borderId="0" xfId="4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15" fillId="0" borderId="0" xfId="0" applyFont="1" applyAlignment="1">
      <alignment horizontal="right" indent="1"/>
    </xf>
    <xf numFmtId="4" fontId="13" fillId="2" borderId="1" xfId="0" applyNumberFormat="1" applyFont="1" applyFill="1" applyBorder="1" applyAlignment="1">
      <alignment horizontal="right" vertical="center" wrapText="1" indent="1"/>
    </xf>
    <xf numFmtId="0" fontId="6" fillId="0" borderId="0" xfId="0" applyFont="1" applyFill="1" applyAlignment="1">
      <alignment horizontal="right" wrapText="1" indent="1"/>
    </xf>
    <xf numFmtId="0" fontId="0" fillId="0" borderId="0" xfId="0" applyAlignment="1">
      <alignment horizontal="right" indent="1"/>
    </xf>
    <xf numFmtId="4" fontId="24" fillId="0" borderId="1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4" fontId="24" fillId="0" borderId="0" xfId="0" applyNumberFormat="1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left" vertical="center"/>
    </xf>
    <xf numFmtId="0" fontId="0" fillId="0" borderId="0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justify" vertical="center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justify" vertical="center"/>
    </xf>
    <xf numFmtId="0" fontId="6" fillId="0" borderId="0" xfId="0" applyFont="1" applyFill="1" applyAlignment="1">
      <alignment vertical="top" wrapText="1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/>
    <xf numFmtId="0" fontId="0" fillId="0" borderId="0" xfId="0" applyAlignment="1"/>
    <xf numFmtId="0" fontId="17" fillId="0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6" fillId="0" borderId="0" xfId="0" applyFont="1" applyFill="1" applyBorder="1" applyAlignment="1">
      <alignment vertical="top" wrapText="1"/>
    </xf>
    <xf numFmtId="0" fontId="0" fillId="0" borderId="0" xfId="0" applyBorder="1"/>
    <xf numFmtId="0" fontId="6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2" fillId="0" borderId="0" xfId="0" applyFont="1" applyFill="1"/>
    <xf numFmtId="0" fontId="12" fillId="0" borderId="0" xfId="0" applyFont="1" applyFill="1" applyAlignment="1"/>
    <xf numFmtId="166" fontId="25" fillId="0" borderId="0" xfId="0" applyNumberFormat="1" applyFont="1"/>
    <xf numFmtId="166" fontId="26" fillId="0" borderId="0" xfId="0" applyNumberFormat="1" applyFont="1"/>
    <xf numFmtId="0" fontId="27" fillId="0" borderId="0" xfId="0" applyFont="1" applyAlignment="1">
      <alignment horizontal="center" vertical="center"/>
    </xf>
    <xf numFmtId="0" fontId="28" fillId="0" borderId="0" xfId="0" applyFont="1"/>
    <xf numFmtId="4" fontId="27" fillId="0" borderId="0" xfId="0" applyNumberFormat="1" applyFont="1" applyAlignment="1">
      <alignment horizontal="center" vertical="center"/>
    </xf>
    <xf numFmtId="4" fontId="29" fillId="0" borderId="0" xfId="0" applyNumberFormat="1" applyFont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22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 indent="1"/>
    </xf>
    <xf numFmtId="0" fontId="5" fillId="0" borderId="1" xfId="0" applyFont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164" fontId="31" fillId="2" borderId="1" xfId="0" applyNumberFormat="1" applyFont="1" applyFill="1" applyBorder="1" applyAlignment="1">
      <alignment horizontal="center" vertical="center" wrapText="1"/>
    </xf>
    <xf numFmtId="4" fontId="31" fillId="0" borderId="1" xfId="0" applyNumberFormat="1" applyFont="1" applyBorder="1" applyAlignment="1">
      <alignment horizontal="center" vertical="center" wrapText="1"/>
    </xf>
    <xf numFmtId="4" fontId="31" fillId="2" borderId="1" xfId="0" applyNumberFormat="1" applyFont="1" applyFill="1" applyBorder="1" applyAlignment="1">
      <alignment horizontal="right" vertical="center" wrapText="1" indent="1"/>
    </xf>
    <xf numFmtId="0" fontId="31" fillId="0" borderId="1" xfId="0" applyFont="1" applyBorder="1" applyAlignment="1">
      <alignment horizontal="center" vertical="center" wrapText="1"/>
    </xf>
    <xf numFmtId="164" fontId="31" fillId="0" borderId="1" xfId="0" applyNumberFormat="1" applyFont="1" applyBorder="1" applyAlignment="1">
      <alignment horizontal="center" vertical="center" wrapText="1"/>
    </xf>
    <xf numFmtId="4" fontId="31" fillId="0" borderId="1" xfId="0" applyNumberFormat="1" applyFont="1" applyBorder="1" applyAlignment="1">
      <alignment horizontal="right" vertical="center" wrapText="1" indent="1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4" fontId="13" fillId="3" borderId="1" xfId="0" applyNumberFormat="1" applyFont="1" applyFill="1" applyBorder="1" applyAlignment="1">
      <alignment horizontal="center" vertical="center" wrapText="1"/>
    </xf>
    <xf numFmtId="4" fontId="24" fillId="0" borderId="0" xfId="0" applyNumberFormat="1" applyFont="1"/>
    <xf numFmtId="4" fontId="24" fillId="3" borderId="1" xfId="0" applyNumberFormat="1" applyFont="1" applyFill="1" applyBorder="1" applyAlignment="1">
      <alignment horizontal="center" vertical="center" wrapText="1"/>
    </xf>
    <xf numFmtId="4" fontId="5" fillId="3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24" fillId="0" borderId="2" xfId="0" applyFont="1" applyBorder="1" applyAlignment="1">
      <alignment horizontal="center" vertical="center" textRotation="90" wrapText="1"/>
    </xf>
    <xf numFmtId="0" fontId="24" fillId="0" borderId="3" xfId="0" applyFont="1" applyBorder="1" applyAlignment="1">
      <alignment horizontal="center" vertical="center" textRotation="90" wrapText="1"/>
    </xf>
    <xf numFmtId="0" fontId="24" fillId="0" borderId="4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4" fillId="0" borderId="0" xfId="0" applyFont="1" applyFill="1" applyAlignment="1">
      <alignment horizontal="center" vertical="top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164" fontId="30" fillId="3" borderId="1" xfId="0" applyNumberFormat="1" applyFont="1" applyFill="1" applyBorder="1" applyAlignment="1">
      <alignment horizontal="center" vertical="center" wrapText="1"/>
    </xf>
    <xf numFmtId="164" fontId="32" fillId="2" borderId="1" xfId="0" applyNumberFormat="1" applyFont="1" applyFill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left" vertical="center"/>
    </xf>
    <xf numFmtId="0" fontId="33" fillId="0" borderId="0" xfId="0" applyFont="1"/>
    <xf numFmtId="4" fontId="30" fillId="0" borderId="10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4" fontId="30" fillId="3" borderId="0" xfId="0" applyNumberFormat="1" applyFont="1" applyFill="1" applyAlignment="1">
      <alignment horizontal="center" vertical="center"/>
    </xf>
    <xf numFmtId="3" fontId="30" fillId="3" borderId="0" xfId="0" applyNumberFormat="1" applyFont="1" applyFill="1"/>
    <xf numFmtId="4" fontId="30" fillId="0" borderId="0" xfId="0" applyNumberFormat="1" applyFont="1" applyAlignment="1">
      <alignment horizontal="center" vertical="center"/>
    </xf>
    <xf numFmtId="4" fontId="30" fillId="0" borderId="0" xfId="0" applyNumberFormat="1" applyFont="1"/>
    <xf numFmtId="3" fontId="30" fillId="0" borderId="0" xfId="0" applyNumberFormat="1" applyFont="1"/>
    <xf numFmtId="164" fontId="30" fillId="0" borderId="0" xfId="0" applyNumberFormat="1" applyFont="1"/>
    <xf numFmtId="0" fontId="30" fillId="0" borderId="0" xfId="0" applyFont="1" applyFill="1" applyAlignment="1">
      <alignment horizontal="center" vertical="center" wrapText="1"/>
    </xf>
  </cellXfs>
  <cellStyles count="6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3" xfId="5" xr:uid="{00000000-0005-0000-0000-000003000000}"/>
    <cellStyle name="Обычный 7" xfId="3" xr:uid="{00000000-0005-0000-0000-000004000000}"/>
    <cellStyle name="Процентный" xfId="4" builtinId="5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5</xdr:row>
      <xdr:rowOff>200025</xdr:rowOff>
    </xdr:from>
    <xdr:to>
      <xdr:col>7</xdr:col>
      <xdr:colOff>704850</xdr:colOff>
      <xdr:row>7</xdr:row>
      <xdr:rowOff>361950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4E8DD23A-F693-4A59-86CF-2A11B7C7C8B4}"/>
            </a:ext>
          </a:extLst>
        </xdr:cNvPr>
        <xdr:cNvGrpSpPr/>
      </xdr:nvGrpSpPr>
      <xdr:grpSpPr>
        <a:xfrm>
          <a:off x="866775" y="2847975"/>
          <a:ext cx="7734300" cy="1038225"/>
          <a:chOff x="2914650" y="2419395"/>
          <a:chExt cx="4884848" cy="954233"/>
        </a:xfrm>
      </xdr:grpSpPr>
      <xdr:grpSp>
        <xdr:nvGrpSpPr>
          <xdr:cNvPr id="3" name="Группа 2">
            <a:extLst>
              <a:ext uri="{FF2B5EF4-FFF2-40B4-BE49-F238E27FC236}">
                <a16:creationId xmlns:a16="http://schemas.microsoft.com/office/drawing/2014/main" id="{0790E406-8314-4CDB-B44E-22A956648509}"/>
              </a:ext>
            </a:extLst>
          </xdr:cNvPr>
          <xdr:cNvGrpSpPr/>
        </xdr:nvGrpSpPr>
        <xdr:grpSpPr>
          <a:xfrm>
            <a:off x="2914650" y="2419395"/>
            <a:ext cx="4884848" cy="954233"/>
            <a:chOff x="2914650" y="2419395"/>
            <a:chExt cx="4884848" cy="954233"/>
          </a:xfrm>
        </xdr:grpSpPr>
        <xdr:cxnSp macro="">
          <xdr:nvCxnSpPr>
            <xdr:cNvPr id="5" name="Прямая соединительная линия 4">
              <a:extLst>
                <a:ext uri="{FF2B5EF4-FFF2-40B4-BE49-F238E27FC236}">
                  <a16:creationId xmlns:a16="http://schemas.microsoft.com/office/drawing/2014/main" id="{D0528C43-02F0-4335-9EA9-B4E0EDCC3C6E}"/>
                </a:ext>
              </a:extLst>
            </xdr:cNvPr>
            <xdr:cNvCxnSpPr/>
          </xdr:nvCxnSpPr>
          <xdr:spPr>
            <a:xfrm flipV="1">
              <a:off x="2946993" y="2420715"/>
              <a:ext cx="4849091" cy="8660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Прямая соединительная линия 5">
              <a:extLst>
                <a:ext uri="{FF2B5EF4-FFF2-40B4-BE49-F238E27FC236}">
                  <a16:creationId xmlns:a16="http://schemas.microsoft.com/office/drawing/2014/main" id="{A8F033A6-3A3D-4E13-BDD5-4B282B916F04}"/>
                </a:ext>
              </a:extLst>
            </xdr:cNvPr>
            <xdr:cNvCxnSpPr/>
          </xdr:nvCxnSpPr>
          <xdr:spPr>
            <a:xfrm flipV="1">
              <a:off x="2914650" y="3364923"/>
              <a:ext cx="4849091" cy="8660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Прямая соединительная линия 6">
              <a:extLst>
                <a:ext uri="{FF2B5EF4-FFF2-40B4-BE49-F238E27FC236}">
                  <a16:creationId xmlns:a16="http://schemas.microsoft.com/office/drawing/2014/main" id="{A308E26F-0FD7-4B93-9A69-468D75645EED}"/>
                </a:ext>
              </a:extLst>
            </xdr:cNvPr>
            <xdr:cNvCxnSpPr/>
          </xdr:nvCxnSpPr>
          <xdr:spPr>
            <a:xfrm flipV="1">
              <a:off x="2917502" y="2419395"/>
              <a:ext cx="4881996" cy="954233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Прямая соединительная линия 3">
            <a:extLst>
              <a:ext uri="{FF2B5EF4-FFF2-40B4-BE49-F238E27FC236}">
                <a16:creationId xmlns:a16="http://schemas.microsoft.com/office/drawing/2014/main" id="{85069749-2466-4DF2-8D2B-4F3EA95113FC}"/>
              </a:ext>
            </a:extLst>
          </xdr:cNvPr>
          <xdr:cNvCxnSpPr/>
        </xdr:nvCxnSpPr>
        <xdr:spPr>
          <a:xfrm>
            <a:off x="4424796" y="2866159"/>
            <a:ext cx="2277341" cy="17319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4</xdr:row>
      <xdr:rowOff>142875</xdr:rowOff>
    </xdr:from>
    <xdr:to>
      <xdr:col>6</xdr:col>
      <xdr:colOff>647700</xdr:colOff>
      <xdr:row>6</xdr:row>
      <xdr:rowOff>323850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9E493AEE-A803-498C-9E7F-9BEFE540753A}"/>
            </a:ext>
          </a:extLst>
        </xdr:cNvPr>
        <xdr:cNvGrpSpPr/>
      </xdr:nvGrpSpPr>
      <xdr:grpSpPr>
        <a:xfrm>
          <a:off x="1085850" y="2181225"/>
          <a:ext cx="8105775" cy="1038225"/>
          <a:chOff x="2914650" y="2419395"/>
          <a:chExt cx="4884848" cy="954233"/>
        </a:xfrm>
      </xdr:grpSpPr>
      <xdr:grpSp>
        <xdr:nvGrpSpPr>
          <xdr:cNvPr id="3" name="Группа 2">
            <a:extLst>
              <a:ext uri="{FF2B5EF4-FFF2-40B4-BE49-F238E27FC236}">
                <a16:creationId xmlns:a16="http://schemas.microsoft.com/office/drawing/2014/main" id="{03D2B827-955D-467F-8069-54C75A965BD9}"/>
              </a:ext>
            </a:extLst>
          </xdr:cNvPr>
          <xdr:cNvGrpSpPr/>
        </xdr:nvGrpSpPr>
        <xdr:grpSpPr>
          <a:xfrm>
            <a:off x="2914650" y="2419395"/>
            <a:ext cx="4884848" cy="954233"/>
            <a:chOff x="2914650" y="2419395"/>
            <a:chExt cx="4884848" cy="954233"/>
          </a:xfrm>
        </xdr:grpSpPr>
        <xdr:cxnSp macro="">
          <xdr:nvCxnSpPr>
            <xdr:cNvPr id="5" name="Прямая соединительная линия 4">
              <a:extLst>
                <a:ext uri="{FF2B5EF4-FFF2-40B4-BE49-F238E27FC236}">
                  <a16:creationId xmlns:a16="http://schemas.microsoft.com/office/drawing/2014/main" id="{F585D737-DC8A-48E1-A52B-C460AA055485}"/>
                </a:ext>
              </a:extLst>
            </xdr:cNvPr>
            <xdr:cNvCxnSpPr/>
          </xdr:nvCxnSpPr>
          <xdr:spPr>
            <a:xfrm flipV="1">
              <a:off x="2946993" y="2420715"/>
              <a:ext cx="4849091" cy="8660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Прямая соединительная линия 5">
              <a:extLst>
                <a:ext uri="{FF2B5EF4-FFF2-40B4-BE49-F238E27FC236}">
                  <a16:creationId xmlns:a16="http://schemas.microsoft.com/office/drawing/2014/main" id="{864C874D-9DD7-4C12-88AC-21E9005D7F34}"/>
                </a:ext>
              </a:extLst>
            </xdr:cNvPr>
            <xdr:cNvCxnSpPr/>
          </xdr:nvCxnSpPr>
          <xdr:spPr>
            <a:xfrm flipV="1">
              <a:off x="2914650" y="3364923"/>
              <a:ext cx="4849091" cy="8660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Прямая соединительная линия 6">
              <a:extLst>
                <a:ext uri="{FF2B5EF4-FFF2-40B4-BE49-F238E27FC236}">
                  <a16:creationId xmlns:a16="http://schemas.microsoft.com/office/drawing/2014/main" id="{64C90522-1DF5-44F7-B70A-188807DE6088}"/>
                </a:ext>
              </a:extLst>
            </xdr:cNvPr>
            <xdr:cNvCxnSpPr/>
          </xdr:nvCxnSpPr>
          <xdr:spPr>
            <a:xfrm flipV="1">
              <a:off x="2917502" y="2419395"/>
              <a:ext cx="4881996" cy="954233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Прямая соединительная линия 3">
            <a:extLst>
              <a:ext uri="{FF2B5EF4-FFF2-40B4-BE49-F238E27FC236}">
                <a16:creationId xmlns:a16="http://schemas.microsoft.com/office/drawing/2014/main" id="{66B4C921-B1E8-4ADF-8B4C-9FA74C4E83C7}"/>
              </a:ext>
            </a:extLst>
          </xdr:cNvPr>
          <xdr:cNvCxnSpPr/>
        </xdr:nvCxnSpPr>
        <xdr:spPr>
          <a:xfrm>
            <a:off x="4424796" y="2866159"/>
            <a:ext cx="2277341" cy="17319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4</xdr:row>
      <xdr:rowOff>57150</xdr:rowOff>
    </xdr:from>
    <xdr:to>
      <xdr:col>6</xdr:col>
      <xdr:colOff>1323975</xdr:colOff>
      <xdr:row>6</xdr:row>
      <xdr:rowOff>314325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288C95B8-63E5-44F5-9AF5-90E36358BD22}"/>
            </a:ext>
          </a:extLst>
        </xdr:cNvPr>
        <xdr:cNvGrpSpPr/>
      </xdr:nvGrpSpPr>
      <xdr:grpSpPr>
        <a:xfrm>
          <a:off x="1219200" y="2066925"/>
          <a:ext cx="8296275" cy="1038225"/>
          <a:chOff x="2914650" y="2419395"/>
          <a:chExt cx="4884848" cy="954233"/>
        </a:xfrm>
      </xdr:grpSpPr>
      <xdr:grpSp>
        <xdr:nvGrpSpPr>
          <xdr:cNvPr id="3" name="Группа 2">
            <a:extLst>
              <a:ext uri="{FF2B5EF4-FFF2-40B4-BE49-F238E27FC236}">
                <a16:creationId xmlns:a16="http://schemas.microsoft.com/office/drawing/2014/main" id="{38D6849E-A39A-4FE1-8199-BF4B00BBA62D}"/>
              </a:ext>
            </a:extLst>
          </xdr:cNvPr>
          <xdr:cNvGrpSpPr/>
        </xdr:nvGrpSpPr>
        <xdr:grpSpPr>
          <a:xfrm>
            <a:off x="2914650" y="2419395"/>
            <a:ext cx="4884848" cy="954233"/>
            <a:chOff x="2914650" y="2419395"/>
            <a:chExt cx="4884848" cy="954233"/>
          </a:xfrm>
        </xdr:grpSpPr>
        <xdr:cxnSp macro="">
          <xdr:nvCxnSpPr>
            <xdr:cNvPr id="5" name="Прямая соединительная линия 4">
              <a:extLst>
                <a:ext uri="{FF2B5EF4-FFF2-40B4-BE49-F238E27FC236}">
                  <a16:creationId xmlns:a16="http://schemas.microsoft.com/office/drawing/2014/main" id="{12FC04C8-978A-4B7E-87D2-2A92571988E4}"/>
                </a:ext>
              </a:extLst>
            </xdr:cNvPr>
            <xdr:cNvCxnSpPr/>
          </xdr:nvCxnSpPr>
          <xdr:spPr>
            <a:xfrm flipV="1">
              <a:off x="2946993" y="2420715"/>
              <a:ext cx="4849091" cy="8660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Прямая соединительная линия 5">
              <a:extLst>
                <a:ext uri="{FF2B5EF4-FFF2-40B4-BE49-F238E27FC236}">
                  <a16:creationId xmlns:a16="http://schemas.microsoft.com/office/drawing/2014/main" id="{8298D1F4-EB8B-481D-A0CA-84C5679E26C0}"/>
                </a:ext>
              </a:extLst>
            </xdr:cNvPr>
            <xdr:cNvCxnSpPr/>
          </xdr:nvCxnSpPr>
          <xdr:spPr>
            <a:xfrm flipV="1">
              <a:off x="2914650" y="3364923"/>
              <a:ext cx="4849091" cy="8660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Прямая соединительная линия 6">
              <a:extLst>
                <a:ext uri="{FF2B5EF4-FFF2-40B4-BE49-F238E27FC236}">
                  <a16:creationId xmlns:a16="http://schemas.microsoft.com/office/drawing/2014/main" id="{B7CA85F9-6ED2-4981-981C-A48FEFB836B9}"/>
                </a:ext>
              </a:extLst>
            </xdr:cNvPr>
            <xdr:cNvCxnSpPr/>
          </xdr:nvCxnSpPr>
          <xdr:spPr>
            <a:xfrm flipV="1">
              <a:off x="2917502" y="2419395"/>
              <a:ext cx="4881996" cy="954233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Прямая соединительная линия 3">
            <a:extLst>
              <a:ext uri="{FF2B5EF4-FFF2-40B4-BE49-F238E27FC236}">
                <a16:creationId xmlns:a16="http://schemas.microsoft.com/office/drawing/2014/main" id="{40BFCA89-A080-4C71-9990-AB102560F3B3}"/>
              </a:ext>
            </a:extLst>
          </xdr:cNvPr>
          <xdr:cNvCxnSpPr/>
        </xdr:nvCxnSpPr>
        <xdr:spPr>
          <a:xfrm>
            <a:off x="4424796" y="2866159"/>
            <a:ext cx="2277341" cy="17319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4</xdr:row>
      <xdr:rowOff>57150</xdr:rowOff>
    </xdr:from>
    <xdr:to>
      <xdr:col>3</xdr:col>
      <xdr:colOff>2924174</xdr:colOff>
      <xdr:row>9</xdr:row>
      <xdr:rowOff>161925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32BC8CBD-1696-467A-A757-FAA1A1FCE836}"/>
            </a:ext>
          </a:extLst>
        </xdr:cNvPr>
        <xdr:cNvGrpSpPr/>
      </xdr:nvGrpSpPr>
      <xdr:grpSpPr>
        <a:xfrm>
          <a:off x="1028700" y="1743075"/>
          <a:ext cx="6381749" cy="1057275"/>
          <a:chOff x="2914650" y="2419395"/>
          <a:chExt cx="4884848" cy="954233"/>
        </a:xfrm>
      </xdr:grpSpPr>
      <xdr:grpSp>
        <xdr:nvGrpSpPr>
          <xdr:cNvPr id="3" name="Группа 2">
            <a:extLst>
              <a:ext uri="{FF2B5EF4-FFF2-40B4-BE49-F238E27FC236}">
                <a16:creationId xmlns:a16="http://schemas.microsoft.com/office/drawing/2014/main" id="{52E6487E-0A1B-4046-AAD6-C10B5233CA26}"/>
              </a:ext>
            </a:extLst>
          </xdr:cNvPr>
          <xdr:cNvGrpSpPr/>
        </xdr:nvGrpSpPr>
        <xdr:grpSpPr>
          <a:xfrm>
            <a:off x="2914650" y="2419395"/>
            <a:ext cx="4884848" cy="954233"/>
            <a:chOff x="2914650" y="2419395"/>
            <a:chExt cx="4884848" cy="954233"/>
          </a:xfrm>
        </xdr:grpSpPr>
        <xdr:cxnSp macro="">
          <xdr:nvCxnSpPr>
            <xdr:cNvPr id="5" name="Прямая соединительная линия 4">
              <a:extLst>
                <a:ext uri="{FF2B5EF4-FFF2-40B4-BE49-F238E27FC236}">
                  <a16:creationId xmlns:a16="http://schemas.microsoft.com/office/drawing/2014/main" id="{E1D3634B-B0F6-4FC2-94F3-65AC8DD19C76}"/>
                </a:ext>
              </a:extLst>
            </xdr:cNvPr>
            <xdr:cNvCxnSpPr/>
          </xdr:nvCxnSpPr>
          <xdr:spPr>
            <a:xfrm flipV="1">
              <a:off x="2946993" y="2420715"/>
              <a:ext cx="4849091" cy="8660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Прямая соединительная линия 5">
              <a:extLst>
                <a:ext uri="{FF2B5EF4-FFF2-40B4-BE49-F238E27FC236}">
                  <a16:creationId xmlns:a16="http://schemas.microsoft.com/office/drawing/2014/main" id="{4A1DE1BC-B18B-4F1E-BA8A-BA102ED6D2DB}"/>
                </a:ext>
              </a:extLst>
            </xdr:cNvPr>
            <xdr:cNvCxnSpPr/>
          </xdr:nvCxnSpPr>
          <xdr:spPr>
            <a:xfrm flipV="1">
              <a:off x="2914650" y="3364923"/>
              <a:ext cx="4849091" cy="8660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Прямая соединительная линия 6">
              <a:extLst>
                <a:ext uri="{FF2B5EF4-FFF2-40B4-BE49-F238E27FC236}">
                  <a16:creationId xmlns:a16="http://schemas.microsoft.com/office/drawing/2014/main" id="{6B167238-874A-4A88-8E8C-F91EA32D6610}"/>
                </a:ext>
              </a:extLst>
            </xdr:cNvPr>
            <xdr:cNvCxnSpPr/>
          </xdr:nvCxnSpPr>
          <xdr:spPr>
            <a:xfrm flipV="1">
              <a:off x="2917502" y="2419395"/>
              <a:ext cx="4881996" cy="954233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Прямая соединительная линия 3">
            <a:extLst>
              <a:ext uri="{FF2B5EF4-FFF2-40B4-BE49-F238E27FC236}">
                <a16:creationId xmlns:a16="http://schemas.microsoft.com/office/drawing/2014/main" id="{EA409FE9-41FC-4905-8BEE-441AAFF52D9C}"/>
              </a:ext>
            </a:extLst>
          </xdr:cNvPr>
          <xdr:cNvCxnSpPr/>
        </xdr:nvCxnSpPr>
        <xdr:spPr>
          <a:xfrm>
            <a:off x="4424796" y="2866159"/>
            <a:ext cx="2277341" cy="17319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4</xdr:row>
      <xdr:rowOff>66676</xdr:rowOff>
    </xdr:from>
    <xdr:to>
      <xdr:col>6</xdr:col>
      <xdr:colOff>1095374</xdr:colOff>
      <xdr:row>6</xdr:row>
      <xdr:rowOff>295276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FFC7D7A8-06C1-4597-BD07-54F21D2233AB}"/>
            </a:ext>
          </a:extLst>
        </xdr:cNvPr>
        <xdr:cNvGrpSpPr/>
      </xdr:nvGrpSpPr>
      <xdr:grpSpPr>
        <a:xfrm>
          <a:off x="1409700" y="2076451"/>
          <a:ext cx="8858249" cy="1028700"/>
          <a:chOff x="2914650" y="2419395"/>
          <a:chExt cx="4884848" cy="954233"/>
        </a:xfrm>
      </xdr:grpSpPr>
      <xdr:grpSp>
        <xdr:nvGrpSpPr>
          <xdr:cNvPr id="3" name="Группа 2">
            <a:extLst>
              <a:ext uri="{FF2B5EF4-FFF2-40B4-BE49-F238E27FC236}">
                <a16:creationId xmlns:a16="http://schemas.microsoft.com/office/drawing/2014/main" id="{840DB99A-CA1D-4965-AF93-B215E9791B67}"/>
              </a:ext>
            </a:extLst>
          </xdr:cNvPr>
          <xdr:cNvGrpSpPr/>
        </xdr:nvGrpSpPr>
        <xdr:grpSpPr>
          <a:xfrm>
            <a:off x="2914650" y="2419395"/>
            <a:ext cx="4884848" cy="954233"/>
            <a:chOff x="2914650" y="2419395"/>
            <a:chExt cx="4884848" cy="954233"/>
          </a:xfrm>
        </xdr:grpSpPr>
        <xdr:cxnSp macro="">
          <xdr:nvCxnSpPr>
            <xdr:cNvPr id="5" name="Прямая соединительная линия 4">
              <a:extLst>
                <a:ext uri="{FF2B5EF4-FFF2-40B4-BE49-F238E27FC236}">
                  <a16:creationId xmlns:a16="http://schemas.microsoft.com/office/drawing/2014/main" id="{8BF064C5-EFC2-4BF6-B4D3-69AD209F0E3D}"/>
                </a:ext>
              </a:extLst>
            </xdr:cNvPr>
            <xdr:cNvCxnSpPr/>
          </xdr:nvCxnSpPr>
          <xdr:spPr>
            <a:xfrm flipV="1">
              <a:off x="2946993" y="2420715"/>
              <a:ext cx="4849091" cy="8660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Прямая соединительная линия 5">
              <a:extLst>
                <a:ext uri="{FF2B5EF4-FFF2-40B4-BE49-F238E27FC236}">
                  <a16:creationId xmlns:a16="http://schemas.microsoft.com/office/drawing/2014/main" id="{7C5695EF-86BA-4344-BDEC-E94A36D7DD68}"/>
                </a:ext>
              </a:extLst>
            </xdr:cNvPr>
            <xdr:cNvCxnSpPr/>
          </xdr:nvCxnSpPr>
          <xdr:spPr>
            <a:xfrm flipV="1">
              <a:off x="2914650" y="3364923"/>
              <a:ext cx="4849091" cy="8660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Прямая соединительная линия 6">
              <a:extLst>
                <a:ext uri="{FF2B5EF4-FFF2-40B4-BE49-F238E27FC236}">
                  <a16:creationId xmlns:a16="http://schemas.microsoft.com/office/drawing/2014/main" id="{38E4AB6F-14A4-4A56-AA0F-E3160D07F325}"/>
                </a:ext>
              </a:extLst>
            </xdr:cNvPr>
            <xdr:cNvCxnSpPr/>
          </xdr:nvCxnSpPr>
          <xdr:spPr>
            <a:xfrm flipV="1">
              <a:off x="2917502" y="2419395"/>
              <a:ext cx="4881996" cy="954233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Прямая соединительная линия 3">
            <a:extLst>
              <a:ext uri="{FF2B5EF4-FFF2-40B4-BE49-F238E27FC236}">
                <a16:creationId xmlns:a16="http://schemas.microsoft.com/office/drawing/2014/main" id="{7BD49808-F863-4AC4-A73C-716E2E296268}"/>
              </a:ext>
            </a:extLst>
          </xdr:cNvPr>
          <xdr:cNvCxnSpPr/>
        </xdr:nvCxnSpPr>
        <xdr:spPr>
          <a:xfrm>
            <a:off x="4424796" y="2866159"/>
            <a:ext cx="2277341" cy="17319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8;&#1045;&#1050;&#1059;&#1065;&#1040;&#1071;%20&#1055;&#1044;_&#1057;&#1055;&#1073;&#1055;&#1059;/&#1056;&#1059;&#1041;&#1048;&#1053;/&#1056;&#1050;&#1052;_&#1056;&#1091;&#1073;&#1080;&#1085;/2023_06_16_&#1057;&#1090;&#1088;&#1091;&#1082;&#1090;&#1091;&#1088;&#1072;%20&#1094;&#1077;&#1085;&#1099;_&#1056;&#1091;&#1073;&#1080;&#1085;_&#1079;&#1072;&#1087;&#1088;&#1086;&#1089;%20&#1086;&#1090;%2018.05.23_&#1082;&#1086;&#1088;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уктура цены"/>
      <sheetName val="Материалы"/>
      <sheetName val="Спец_обор"/>
      <sheetName val="Заработная плата"/>
      <sheetName val="Накладные"/>
      <sheetName val="командировочные"/>
      <sheetName val="Прочие прямые"/>
      <sheetName val="стор_орг"/>
    </sheetNames>
    <sheetDataSet>
      <sheetData sheetId="0">
        <row r="2">
          <cell r="A2" t="str">
            <v xml:space="preserve">Работы по теме: «Обеспечение выполнения расчетов прочности специализированного морского сооружения» </v>
          </cell>
        </row>
        <row r="3">
          <cell r="A3" t="str">
            <v>Основание: запрос АО "ЦКБ МТ "Рубин", исх. №ГГК-Ш/100-23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view="pageBreakPreview" zoomScaleNormal="100" zoomScaleSheetLayoutView="100" workbookViewId="0">
      <selection activeCell="A21" sqref="A21:B21"/>
    </sheetView>
  </sheetViews>
  <sheetFormatPr defaultColWidth="9.140625" defaultRowHeight="15" x14ac:dyDescent="0.25"/>
  <cols>
    <col min="1" max="1" width="5.85546875" style="10" customWidth="1"/>
    <col min="2" max="2" width="45.85546875" style="10" customWidth="1"/>
    <col min="3" max="3" width="14.28515625" style="10" customWidth="1"/>
    <col min="4" max="9" width="12.28515625" style="10" customWidth="1"/>
    <col min="10" max="10" width="9.5703125" style="10" customWidth="1"/>
    <col min="11" max="11" width="21" style="10" customWidth="1"/>
    <col min="12" max="13" width="9.140625" style="10"/>
    <col min="14" max="14" width="12.42578125" style="10" bestFit="1" customWidth="1"/>
    <col min="15" max="16384" width="9.140625" style="10"/>
  </cols>
  <sheetData>
    <row r="1" spans="1:17" ht="18.75" x14ac:dyDescent="0.25">
      <c r="A1" s="131" t="s">
        <v>9</v>
      </c>
      <c r="B1" s="131"/>
      <c r="C1" s="131"/>
      <c r="D1" s="131"/>
      <c r="E1" s="131"/>
      <c r="F1" s="131"/>
      <c r="G1" s="131"/>
      <c r="H1" s="131"/>
      <c r="I1" s="131"/>
      <c r="J1" s="17"/>
      <c r="K1" s="17"/>
    </row>
    <row r="2" spans="1:17" ht="45.75" customHeight="1" x14ac:dyDescent="0.25">
      <c r="A2" s="132" t="s">
        <v>117</v>
      </c>
      <c r="B2" s="132"/>
      <c r="C2" s="132"/>
      <c r="D2" s="132"/>
      <c r="E2" s="132"/>
      <c r="F2" s="132"/>
      <c r="G2" s="132"/>
      <c r="H2" s="132"/>
      <c r="I2" s="132"/>
      <c r="J2" s="18"/>
      <c r="K2" s="18"/>
    </row>
    <row r="3" spans="1:17" s="11" customFormat="1" ht="36.75" customHeight="1" x14ac:dyDescent="0.25">
      <c r="A3" s="79" t="s">
        <v>10</v>
      </c>
      <c r="B3" s="79" t="s">
        <v>105</v>
      </c>
      <c r="C3" s="79" t="s">
        <v>127</v>
      </c>
      <c r="D3" s="31" t="s">
        <v>30</v>
      </c>
      <c r="E3" s="50" t="s">
        <v>32</v>
      </c>
      <c r="F3" s="50" t="s">
        <v>34</v>
      </c>
      <c r="G3" s="50" t="s">
        <v>36</v>
      </c>
      <c r="H3" s="50" t="s">
        <v>90</v>
      </c>
      <c r="I3" s="50" t="s">
        <v>92</v>
      </c>
      <c r="J3" s="20"/>
      <c r="K3" s="20"/>
      <c r="N3" s="12"/>
    </row>
    <row r="4" spans="1:17" s="11" customFormat="1" x14ac:dyDescent="0.25">
      <c r="A4" s="28">
        <v>1</v>
      </c>
      <c r="B4" s="26" t="s">
        <v>41</v>
      </c>
      <c r="C4" s="13">
        <f>SUM(D4:I4)</f>
        <v>0</v>
      </c>
      <c r="D4" s="13">
        <f>D5+D6+D7+D10+D11+D12+D13</f>
        <v>0</v>
      </c>
      <c r="E4" s="13">
        <f t="shared" ref="E4:I4" si="0">E5+E6+E7+E10+E11+E12+E13</f>
        <v>0</v>
      </c>
      <c r="F4" s="13">
        <f t="shared" si="0"/>
        <v>0</v>
      </c>
      <c r="G4" s="13">
        <f t="shared" si="0"/>
        <v>0</v>
      </c>
      <c r="H4" s="13">
        <f t="shared" si="0"/>
        <v>0</v>
      </c>
      <c r="I4" s="13">
        <f t="shared" si="0"/>
        <v>0</v>
      </c>
      <c r="J4" s="20"/>
      <c r="K4" s="20"/>
    </row>
    <row r="5" spans="1:17" ht="14.25" customHeight="1" x14ac:dyDescent="0.25">
      <c r="A5" s="28" t="s">
        <v>54</v>
      </c>
      <c r="B5" s="26" t="s">
        <v>42</v>
      </c>
      <c r="C5" s="13">
        <f t="shared" ref="C5:C14" si="1">SUM(D5:I5)</f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21"/>
      <c r="K5" s="21"/>
    </row>
    <row r="6" spans="1:17" ht="14.25" customHeight="1" x14ac:dyDescent="0.25">
      <c r="A6" s="28" t="s">
        <v>55</v>
      </c>
      <c r="B6" s="26" t="s">
        <v>43</v>
      </c>
      <c r="C6" s="13">
        <f t="shared" si="1"/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21"/>
      <c r="K6" s="21"/>
    </row>
    <row r="7" spans="1:17" ht="14.25" customHeight="1" x14ac:dyDescent="0.25">
      <c r="A7" s="28" t="s">
        <v>56</v>
      </c>
      <c r="B7" s="26" t="s">
        <v>44</v>
      </c>
      <c r="C7" s="13">
        <f t="shared" si="1"/>
        <v>0</v>
      </c>
      <c r="D7" s="130">
        <f>SUM(D8:D9)</f>
        <v>0</v>
      </c>
      <c r="E7" s="130">
        <f t="shared" ref="E7:I7" si="2">SUM(E8:E9)</f>
        <v>0</v>
      </c>
      <c r="F7" s="130">
        <f t="shared" si="2"/>
        <v>0</v>
      </c>
      <c r="G7" s="130">
        <f t="shared" si="2"/>
        <v>0</v>
      </c>
      <c r="H7" s="130">
        <f t="shared" si="2"/>
        <v>0</v>
      </c>
      <c r="I7" s="130">
        <f t="shared" si="2"/>
        <v>0</v>
      </c>
      <c r="J7" s="21"/>
      <c r="K7" s="21"/>
    </row>
    <row r="8" spans="1:17" s="24" customFormat="1" ht="14.25" customHeight="1" x14ac:dyDescent="0.25">
      <c r="A8" s="61" t="s">
        <v>139</v>
      </c>
      <c r="B8" s="62" t="s">
        <v>118</v>
      </c>
      <c r="C8" s="13">
        <f t="shared" si="1"/>
        <v>0</v>
      </c>
      <c r="D8" s="129">
        <f>'Расшифровка ФОТ'!I14</f>
        <v>0</v>
      </c>
      <c r="E8" s="129">
        <f>'Расшифровка ФОТ'!I22</f>
        <v>0</v>
      </c>
      <c r="F8" s="129">
        <f>'Расшифровка ФОТ'!I30</f>
        <v>0</v>
      </c>
      <c r="G8" s="129">
        <f>'Расшифровка ФОТ'!I38</f>
        <v>0</v>
      </c>
      <c r="H8" s="129">
        <f>'Расшифровка ФОТ'!I46</f>
        <v>0</v>
      </c>
      <c r="I8" s="129">
        <f>'Расшифровка ФОТ'!I54</f>
        <v>0</v>
      </c>
      <c r="J8" s="63"/>
      <c r="K8" s="63"/>
    </row>
    <row r="9" spans="1:17" ht="14.25" customHeight="1" x14ac:dyDescent="0.25">
      <c r="A9" s="28" t="s">
        <v>140</v>
      </c>
      <c r="B9" s="26" t="s">
        <v>119</v>
      </c>
      <c r="C9" s="13">
        <f t="shared" si="1"/>
        <v>0</v>
      </c>
      <c r="D9" s="130">
        <f>D8*0.086866</f>
        <v>0</v>
      </c>
      <c r="E9" s="130">
        <f>E8*0.086866</f>
        <v>0</v>
      </c>
      <c r="F9" s="130">
        <f t="shared" ref="F9:I9" si="3">F8*0.086866</f>
        <v>0</v>
      </c>
      <c r="G9" s="130">
        <f t="shared" si="3"/>
        <v>0</v>
      </c>
      <c r="H9" s="130">
        <f t="shared" si="3"/>
        <v>0</v>
      </c>
      <c r="I9" s="130">
        <f t="shared" si="3"/>
        <v>0</v>
      </c>
      <c r="J9" s="21"/>
      <c r="K9" s="21"/>
    </row>
    <row r="10" spans="1:17" ht="14.25" customHeight="1" x14ac:dyDescent="0.25">
      <c r="A10" s="28" t="s">
        <v>57</v>
      </c>
      <c r="B10" s="26" t="s">
        <v>45</v>
      </c>
      <c r="C10" s="13">
        <f t="shared" si="1"/>
        <v>0</v>
      </c>
      <c r="D10" s="130">
        <f t="shared" ref="D10:I10" si="4">D7*0.302</f>
        <v>0</v>
      </c>
      <c r="E10" s="130">
        <f t="shared" si="4"/>
        <v>0</v>
      </c>
      <c r="F10" s="130">
        <f t="shared" si="4"/>
        <v>0</v>
      </c>
      <c r="G10" s="130">
        <f t="shared" si="4"/>
        <v>0</v>
      </c>
      <c r="H10" s="130">
        <f t="shared" si="4"/>
        <v>0</v>
      </c>
      <c r="I10" s="130">
        <f t="shared" si="4"/>
        <v>0</v>
      </c>
      <c r="J10" s="21"/>
      <c r="K10" s="21"/>
    </row>
    <row r="11" spans="1:17" ht="14.25" customHeight="1" x14ac:dyDescent="0.25">
      <c r="A11" s="28" t="s">
        <v>58</v>
      </c>
      <c r="B11" s="26" t="s">
        <v>46</v>
      </c>
      <c r="C11" s="13">
        <f t="shared" si="1"/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21"/>
      <c r="K11" s="21"/>
    </row>
    <row r="12" spans="1:17" ht="14.25" customHeight="1" x14ac:dyDescent="0.25">
      <c r="A12" s="28" t="s">
        <v>59</v>
      </c>
      <c r="B12" s="26" t="s">
        <v>47</v>
      </c>
      <c r="C12" s="13">
        <f t="shared" si="1"/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21"/>
      <c r="K12" s="21"/>
    </row>
    <row r="13" spans="1:17" ht="14.25" customHeight="1" x14ac:dyDescent="0.25">
      <c r="A13" s="28" t="s">
        <v>87</v>
      </c>
      <c r="B13" s="26" t="s">
        <v>88</v>
      </c>
      <c r="C13" s="13">
        <f t="shared" si="1"/>
        <v>0</v>
      </c>
      <c r="D13" s="13">
        <f>Командировочные!L6</f>
        <v>0</v>
      </c>
      <c r="E13" s="13">
        <f>Командировочные!L7</f>
        <v>0</v>
      </c>
      <c r="F13" s="13">
        <f>Командировочные!L8</f>
        <v>0</v>
      </c>
      <c r="G13" s="13">
        <f>Командировочные!L9</f>
        <v>0</v>
      </c>
      <c r="H13" s="13">
        <f>Командировочные!L10</f>
        <v>0</v>
      </c>
      <c r="I13" s="13">
        <f>Командировочные!L11</f>
        <v>0</v>
      </c>
      <c r="J13" s="21"/>
      <c r="K13" s="49"/>
    </row>
    <row r="14" spans="1:17" ht="14.25" customHeight="1" x14ac:dyDescent="0.25">
      <c r="A14" s="28">
        <v>2</v>
      </c>
      <c r="B14" s="26" t="s">
        <v>138</v>
      </c>
      <c r="C14" s="13">
        <f t="shared" si="1"/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27"/>
      <c r="K14" s="49"/>
      <c r="L14" s="49"/>
      <c r="M14" s="49"/>
      <c r="N14" s="49"/>
      <c r="O14" s="49"/>
      <c r="P14" s="49"/>
      <c r="Q14" s="49"/>
    </row>
    <row r="15" spans="1:17" ht="30.75" customHeight="1" x14ac:dyDescent="0.25">
      <c r="A15" s="28" t="s">
        <v>60</v>
      </c>
      <c r="B15" s="26" t="s">
        <v>48</v>
      </c>
      <c r="C15" s="13">
        <f t="shared" ref="C15:C20" si="5">SUM(D15:I15)</f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27"/>
      <c r="K15" s="27"/>
      <c r="L15" s="27"/>
      <c r="M15" s="27"/>
      <c r="N15" s="21"/>
      <c r="O15" s="21"/>
    </row>
    <row r="16" spans="1:17" s="34" customFormat="1" x14ac:dyDescent="0.25">
      <c r="A16" s="29">
        <v>3</v>
      </c>
      <c r="B16" s="30" t="s">
        <v>49</v>
      </c>
      <c r="C16" s="36">
        <f t="shared" si="5"/>
        <v>0</v>
      </c>
      <c r="D16" s="36">
        <f t="shared" ref="D16:I16" si="6">D4+D14</f>
        <v>0</v>
      </c>
      <c r="E16" s="36">
        <f t="shared" si="6"/>
        <v>0</v>
      </c>
      <c r="F16" s="36">
        <f t="shared" si="6"/>
        <v>0</v>
      </c>
      <c r="G16" s="36">
        <f t="shared" si="6"/>
        <v>0</v>
      </c>
      <c r="H16" s="36">
        <f t="shared" si="6"/>
        <v>0</v>
      </c>
      <c r="I16" s="36">
        <f t="shared" si="6"/>
        <v>0</v>
      </c>
      <c r="J16" s="33"/>
      <c r="K16" s="33"/>
    </row>
    <row r="17" spans="1:14" ht="25.5" x14ac:dyDescent="0.25">
      <c r="A17" s="28">
        <v>4</v>
      </c>
      <c r="B17" s="26" t="s">
        <v>50</v>
      </c>
      <c r="C17" s="13">
        <f t="shared" si="5"/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21"/>
      <c r="K17" s="21"/>
    </row>
    <row r="18" spans="1:14" s="34" customFormat="1" x14ac:dyDescent="0.25">
      <c r="A18" s="29" t="s">
        <v>141</v>
      </c>
      <c r="B18" s="30" t="s">
        <v>51</v>
      </c>
      <c r="C18" s="32">
        <f t="shared" si="5"/>
        <v>0</v>
      </c>
      <c r="D18" s="32">
        <f>D16+D17</f>
        <v>0</v>
      </c>
      <c r="E18" s="32">
        <f t="shared" ref="E18:H18" si="7">E16+E17</f>
        <v>0</v>
      </c>
      <c r="F18" s="32">
        <f t="shared" si="7"/>
        <v>0</v>
      </c>
      <c r="G18" s="32">
        <f t="shared" si="7"/>
        <v>0</v>
      </c>
      <c r="H18" s="32">
        <f t="shared" si="7"/>
        <v>0</v>
      </c>
      <c r="I18" s="32">
        <f>I16+I17</f>
        <v>0</v>
      </c>
      <c r="J18" s="33"/>
      <c r="K18" s="33"/>
      <c r="L18" s="35"/>
      <c r="M18" s="35"/>
      <c r="N18" s="35"/>
    </row>
    <row r="19" spans="1:14" x14ac:dyDescent="0.25">
      <c r="A19" s="28" t="s">
        <v>142</v>
      </c>
      <c r="B19" s="26" t="s">
        <v>52</v>
      </c>
      <c r="C19" s="13">
        <f t="shared" si="5"/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21"/>
      <c r="K19" s="21"/>
    </row>
    <row r="20" spans="1:14" s="34" customFormat="1" x14ac:dyDescent="0.25">
      <c r="A20" s="29" t="s">
        <v>143</v>
      </c>
      <c r="B20" s="30" t="s">
        <v>89</v>
      </c>
      <c r="C20" s="32">
        <f t="shared" si="5"/>
        <v>0</v>
      </c>
      <c r="D20" s="32">
        <f t="shared" ref="D20:I20" si="8">D18+D19</f>
        <v>0</v>
      </c>
      <c r="E20" s="32">
        <f t="shared" si="8"/>
        <v>0</v>
      </c>
      <c r="F20" s="32">
        <f t="shared" si="8"/>
        <v>0</v>
      </c>
      <c r="G20" s="32">
        <f t="shared" si="8"/>
        <v>0</v>
      </c>
      <c r="H20" s="32">
        <f t="shared" si="8"/>
        <v>0</v>
      </c>
      <c r="I20" s="32">
        <f t="shared" si="8"/>
        <v>0</v>
      </c>
      <c r="J20" s="33"/>
      <c r="K20" s="33"/>
    </row>
    <row r="21" spans="1:14" s="34" customFormat="1" x14ac:dyDescent="0.25">
      <c r="A21" s="28" t="s">
        <v>144</v>
      </c>
      <c r="B21" s="26" t="s">
        <v>103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33"/>
      <c r="K21" s="33"/>
    </row>
    <row r="22" spans="1:14" s="34" customFormat="1" x14ac:dyDescent="0.25">
      <c r="A22" s="29" t="s">
        <v>145</v>
      </c>
      <c r="B22" s="30" t="s">
        <v>53</v>
      </c>
      <c r="C22" s="32">
        <f t="shared" ref="C22:I22" si="9">C20+C21</f>
        <v>0</v>
      </c>
      <c r="D22" s="32">
        <f t="shared" si="9"/>
        <v>0</v>
      </c>
      <c r="E22" s="32">
        <f t="shared" si="9"/>
        <v>0</v>
      </c>
      <c r="F22" s="32">
        <f t="shared" si="9"/>
        <v>0</v>
      </c>
      <c r="G22" s="32">
        <f t="shared" si="9"/>
        <v>0</v>
      </c>
      <c r="H22" s="32">
        <f t="shared" si="9"/>
        <v>0</v>
      </c>
      <c r="I22" s="32">
        <f t="shared" si="9"/>
        <v>0</v>
      </c>
      <c r="J22" s="33"/>
      <c r="K22" s="33"/>
    </row>
    <row r="23" spans="1:14" ht="21.75" customHeight="1" x14ac:dyDescent="0.25">
      <c r="A23" s="42"/>
    </row>
    <row r="24" spans="1:14" ht="9.75" customHeight="1" x14ac:dyDescent="0.25"/>
    <row r="25" spans="1:14" ht="17.25" customHeight="1" x14ac:dyDescent="0.25">
      <c r="A25" s="135" t="s">
        <v>104</v>
      </c>
      <c r="B25" s="135"/>
      <c r="C25" s="74"/>
      <c r="D25" s="14"/>
      <c r="E25" s="14"/>
      <c r="F25" s="14"/>
      <c r="G25" s="93" t="s">
        <v>4</v>
      </c>
      <c r="H25" s="14"/>
      <c r="I25" s="14"/>
      <c r="J25" s="18"/>
      <c r="K25" s="18"/>
    </row>
    <row r="26" spans="1:14" ht="7.5" customHeight="1" x14ac:dyDescent="0.25">
      <c r="A26" s="23"/>
      <c r="B26" s="94"/>
      <c r="C26" s="84"/>
      <c r="D26" s="84"/>
      <c r="E26" s="84"/>
      <c r="F26" s="84"/>
      <c r="G26" s="84"/>
      <c r="H26" s="84"/>
      <c r="I26" s="14"/>
      <c r="J26" s="14"/>
      <c r="K26" s="14"/>
    </row>
    <row r="27" spans="1:14" s="39" customFormat="1" ht="24.75" customHeight="1" x14ac:dyDescent="0.25">
      <c r="A27" s="136" t="s">
        <v>106</v>
      </c>
      <c r="B27" s="136"/>
      <c r="C27" s="80"/>
      <c r="D27" s="71"/>
      <c r="E27" s="71"/>
      <c r="F27" s="71"/>
      <c r="G27" s="72" t="s">
        <v>13</v>
      </c>
      <c r="H27" s="71"/>
      <c r="I27" s="71"/>
      <c r="J27" s="38"/>
      <c r="K27" s="38"/>
    </row>
    <row r="28" spans="1:14" ht="11.25" customHeight="1" x14ac:dyDescent="0.25">
      <c r="A28" s="138" t="s">
        <v>1</v>
      </c>
      <c r="B28" s="138"/>
      <c r="C28" s="81"/>
      <c r="D28" s="84"/>
      <c r="E28" s="15"/>
      <c r="F28" s="15"/>
      <c r="G28" s="134" t="s">
        <v>1</v>
      </c>
      <c r="H28" s="134"/>
      <c r="I28" s="134"/>
      <c r="J28" s="19"/>
      <c r="K28" s="19"/>
    </row>
    <row r="29" spans="1:14" ht="9.75" customHeight="1" x14ac:dyDescent="0.25">
      <c r="A29" s="92"/>
      <c r="B29" s="84"/>
      <c r="C29" s="84"/>
      <c r="D29" s="84"/>
      <c r="E29" s="84"/>
      <c r="F29" s="84"/>
      <c r="G29" s="84"/>
      <c r="H29" s="84"/>
      <c r="I29" s="92"/>
      <c r="J29" s="18"/>
      <c r="K29" s="18"/>
    </row>
    <row r="30" spans="1:14" ht="15.75" x14ac:dyDescent="0.25">
      <c r="A30" s="139" t="s">
        <v>124</v>
      </c>
      <c r="B30" s="139"/>
      <c r="C30" s="14"/>
      <c r="D30" s="14"/>
      <c r="E30" s="14"/>
      <c r="F30" s="14"/>
      <c r="G30" s="72" t="s">
        <v>20</v>
      </c>
      <c r="H30" s="14"/>
      <c r="I30" s="14"/>
      <c r="J30" s="18"/>
      <c r="K30" s="18"/>
    </row>
    <row r="31" spans="1:14" s="39" customFormat="1" ht="28.5" customHeight="1" x14ac:dyDescent="0.25">
      <c r="A31" s="133" t="s">
        <v>12</v>
      </c>
      <c r="B31" s="133"/>
      <c r="C31" s="71"/>
      <c r="D31" s="85"/>
      <c r="E31" s="71"/>
      <c r="F31" s="71"/>
      <c r="G31" s="72" t="s">
        <v>22</v>
      </c>
      <c r="H31" s="71"/>
      <c r="I31" s="71"/>
      <c r="J31" s="38"/>
      <c r="K31" s="38"/>
    </row>
    <row r="32" spans="1:14" ht="15" customHeight="1" x14ac:dyDescent="0.25">
      <c r="A32" s="134" t="s">
        <v>1</v>
      </c>
      <c r="B32" s="134"/>
      <c r="C32" s="15"/>
      <c r="D32" s="84"/>
      <c r="E32" s="15"/>
      <c r="F32" s="15"/>
      <c r="G32" s="137" t="s">
        <v>1</v>
      </c>
      <c r="H32" s="137"/>
      <c r="I32" s="137"/>
      <c r="J32" s="19"/>
      <c r="K32" s="19"/>
    </row>
    <row r="33" spans="1:11" ht="10.5" customHeight="1" x14ac:dyDescent="0.25">
      <c r="A33" s="92"/>
      <c r="B33" s="84"/>
      <c r="C33" s="84"/>
      <c r="D33" s="84"/>
      <c r="E33" s="84"/>
      <c r="F33" s="84"/>
      <c r="G33" s="84"/>
      <c r="H33" s="84"/>
      <c r="I33" s="92"/>
      <c r="J33" s="18"/>
      <c r="K33" s="18"/>
    </row>
    <row r="34" spans="1:11" ht="15.75" x14ac:dyDescent="0.25">
      <c r="A34" s="132" t="s">
        <v>11</v>
      </c>
      <c r="B34" s="132"/>
      <c r="C34" s="14"/>
      <c r="D34" s="84"/>
      <c r="E34" s="84"/>
      <c r="F34" s="84"/>
      <c r="G34" s="84"/>
      <c r="H34" s="84"/>
      <c r="I34" s="92"/>
      <c r="J34" s="18"/>
      <c r="K34" s="18"/>
    </row>
    <row r="35" spans="1:11" s="39" customFormat="1" ht="32.25" customHeight="1" x14ac:dyDescent="0.25">
      <c r="A35" s="133" t="s">
        <v>125</v>
      </c>
      <c r="B35" s="133"/>
      <c r="C35" s="71"/>
      <c r="D35" s="85"/>
      <c r="E35" s="85"/>
      <c r="F35" s="85"/>
      <c r="G35" s="85"/>
      <c r="H35" s="85"/>
      <c r="I35" s="85"/>
      <c r="J35" s="38"/>
      <c r="K35" s="38"/>
    </row>
    <row r="36" spans="1:11" ht="15.75" x14ac:dyDescent="0.25">
      <c r="A36" s="134" t="s">
        <v>1</v>
      </c>
      <c r="B36" s="134"/>
      <c r="C36" s="15"/>
      <c r="D36" s="84"/>
      <c r="E36" s="84"/>
      <c r="F36" s="84"/>
      <c r="G36" s="84"/>
      <c r="H36" s="84"/>
      <c r="I36" s="84"/>
      <c r="J36" s="18"/>
      <c r="K36" s="18"/>
    </row>
    <row r="37" spans="1:11" ht="15.75" x14ac:dyDescent="0.25">
      <c r="B37" s="16"/>
      <c r="J37" s="18"/>
      <c r="K37" s="18"/>
    </row>
    <row r="38" spans="1:11" ht="15.75" x14ac:dyDescent="0.25">
      <c r="J38" s="18"/>
      <c r="K38" s="18"/>
    </row>
    <row r="39" spans="1:11" ht="15.75" x14ac:dyDescent="0.25">
      <c r="J39" s="18"/>
      <c r="K39" s="18"/>
    </row>
    <row r="40" spans="1:11" ht="15.75" x14ac:dyDescent="0.25">
      <c r="J40" s="18"/>
      <c r="K40" s="18"/>
    </row>
    <row r="41" spans="1:11" ht="15.75" x14ac:dyDescent="0.25">
      <c r="J41" s="18"/>
      <c r="K41" s="18"/>
    </row>
    <row r="42" spans="1:11" ht="15.75" x14ac:dyDescent="0.25">
      <c r="J42" s="18"/>
      <c r="K42" s="18"/>
    </row>
    <row r="43" spans="1:11" ht="15.75" x14ac:dyDescent="0.25">
      <c r="J43" s="18"/>
      <c r="K43" s="18"/>
    </row>
    <row r="44" spans="1:11" ht="15.75" x14ac:dyDescent="0.25">
      <c r="B44" s="16"/>
      <c r="J44" s="18"/>
      <c r="K44" s="18"/>
    </row>
  </sheetData>
  <mergeCells count="13">
    <mergeCell ref="A34:B34"/>
    <mergeCell ref="A35:B35"/>
    <mergeCell ref="G28:I28"/>
    <mergeCell ref="G32:I32"/>
    <mergeCell ref="A36:B36"/>
    <mergeCell ref="A28:B28"/>
    <mergeCell ref="A30:B30"/>
    <mergeCell ref="A1:I1"/>
    <mergeCell ref="A2:I2"/>
    <mergeCell ref="A31:B31"/>
    <mergeCell ref="A32:B32"/>
    <mergeCell ref="A25:B25"/>
    <mergeCell ref="A27:B27"/>
  </mergeCells>
  <phoneticPr fontId="2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7"/>
  <sheetViews>
    <sheetView view="pageBreakPreview" zoomScaleNormal="100" zoomScaleSheetLayoutView="100" workbookViewId="0">
      <selection activeCell="I5" sqref="I5"/>
    </sheetView>
  </sheetViews>
  <sheetFormatPr defaultRowHeight="15" x14ac:dyDescent="0.25"/>
  <cols>
    <col min="2" max="2" width="40.42578125" customWidth="1"/>
    <col min="3" max="3" width="22.7109375" customWidth="1"/>
    <col min="4" max="4" width="16.7109375" customWidth="1"/>
    <col min="5" max="5" width="6.7109375" customWidth="1"/>
    <col min="6" max="6" width="9.28515625" customWidth="1"/>
    <col min="7" max="8" width="13.42578125" customWidth="1"/>
    <col min="9" max="9" width="16.7109375" customWidth="1"/>
  </cols>
  <sheetData>
    <row r="1" spans="1:17" ht="15.75" x14ac:dyDescent="0.25">
      <c r="A1" s="4"/>
    </row>
    <row r="2" spans="1:17" s="9" customFormat="1" ht="18.75" customHeight="1" x14ac:dyDescent="0.25">
      <c r="A2" s="136" t="s">
        <v>115</v>
      </c>
      <c r="B2" s="136"/>
      <c r="C2" s="136"/>
      <c r="D2" s="136"/>
      <c r="E2" s="136"/>
      <c r="F2" s="136"/>
      <c r="G2" s="136"/>
      <c r="H2" s="136"/>
      <c r="J2" s="136"/>
      <c r="K2" s="136"/>
      <c r="L2" s="136"/>
      <c r="M2" s="136"/>
      <c r="N2" s="136"/>
      <c r="O2" s="136"/>
      <c r="P2" s="136"/>
      <c r="Q2" s="136"/>
    </row>
    <row r="3" spans="1:17" s="43" customFormat="1" ht="69" customHeight="1" x14ac:dyDescent="0.25">
      <c r="A3" s="142" t="str">
        <f>тема</f>
        <v>на выполнение научно-исследовательской работы по теме:
«ТЕМА»</v>
      </c>
      <c r="B3" s="142"/>
      <c r="C3" s="142"/>
      <c r="D3" s="142"/>
      <c r="E3" s="142"/>
      <c r="F3" s="142"/>
      <c r="G3" s="142"/>
      <c r="H3" s="142"/>
    </row>
    <row r="4" spans="1:17" ht="87.75" customHeight="1" x14ac:dyDescent="0.25">
      <c r="A4" s="22" t="s">
        <v>61</v>
      </c>
      <c r="B4" s="22" t="s">
        <v>68</v>
      </c>
      <c r="C4" s="22" t="s">
        <v>69</v>
      </c>
      <c r="D4" s="26" t="s">
        <v>64</v>
      </c>
      <c r="E4" s="26" t="s">
        <v>70</v>
      </c>
      <c r="F4" s="22" t="s">
        <v>65</v>
      </c>
      <c r="G4" s="22" t="s">
        <v>66</v>
      </c>
      <c r="H4" s="22" t="s">
        <v>123</v>
      </c>
      <c r="J4" s="141"/>
      <c r="K4" s="141"/>
      <c r="L4" s="141"/>
      <c r="M4" s="141"/>
      <c r="N4" s="141"/>
      <c r="O4" s="141"/>
      <c r="P4" s="141"/>
      <c r="Q4" s="141"/>
    </row>
    <row r="5" spans="1:17" ht="17.25" customHeight="1" x14ac:dyDescent="0.25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22">
        <v>6</v>
      </c>
      <c r="G5" s="22">
        <v>7</v>
      </c>
      <c r="H5" s="22">
        <v>8</v>
      </c>
    </row>
    <row r="6" spans="1:17" s="47" customFormat="1" ht="34.5" customHeight="1" x14ac:dyDescent="0.25">
      <c r="A6" s="98" t="s">
        <v>21</v>
      </c>
      <c r="B6" s="95" t="s">
        <v>21</v>
      </c>
      <c r="C6" s="95" t="s">
        <v>21</v>
      </c>
      <c r="D6" s="95" t="s">
        <v>21</v>
      </c>
      <c r="E6" s="95" t="s">
        <v>21</v>
      </c>
      <c r="F6" s="95" t="s">
        <v>21</v>
      </c>
      <c r="G6" s="95" t="s">
        <v>21</v>
      </c>
      <c r="H6" s="95" t="s">
        <v>21</v>
      </c>
      <c r="I6" s="64"/>
      <c r="J6" s="65"/>
    </row>
    <row r="7" spans="1:17" s="47" customFormat="1" ht="34.5" customHeight="1" x14ac:dyDescent="0.25">
      <c r="A7" s="98" t="s">
        <v>21</v>
      </c>
      <c r="B7" s="95" t="s">
        <v>21</v>
      </c>
      <c r="C7" s="95" t="s">
        <v>21</v>
      </c>
      <c r="D7" s="95" t="s">
        <v>21</v>
      </c>
      <c r="E7" s="95" t="s">
        <v>21</v>
      </c>
      <c r="F7" s="95" t="s">
        <v>21</v>
      </c>
      <c r="G7" s="95" t="s">
        <v>21</v>
      </c>
      <c r="H7" s="95" t="s">
        <v>21</v>
      </c>
      <c r="I7" s="48"/>
    </row>
    <row r="8" spans="1:17" s="47" customFormat="1" ht="34.5" customHeight="1" x14ac:dyDescent="0.25">
      <c r="A8" s="98" t="s">
        <v>21</v>
      </c>
      <c r="B8" s="95" t="s">
        <v>21</v>
      </c>
      <c r="C8" s="95" t="s">
        <v>21</v>
      </c>
      <c r="D8" s="95" t="s">
        <v>21</v>
      </c>
      <c r="E8" s="95" t="s">
        <v>21</v>
      </c>
      <c r="F8" s="95" t="s">
        <v>21</v>
      </c>
      <c r="G8" s="95" t="s">
        <v>21</v>
      </c>
      <c r="H8" s="95" t="s">
        <v>21</v>
      </c>
      <c r="I8" s="48"/>
    </row>
    <row r="9" spans="1:17" ht="17.25" customHeight="1" x14ac:dyDescent="0.25">
      <c r="A9" s="96"/>
      <c r="B9" s="97" t="s">
        <v>38</v>
      </c>
      <c r="C9" s="98" t="s">
        <v>67</v>
      </c>
      <c r="D9" s="98" t="s">
        <v>67</v>
      </c>
      <c r="E9" s="98" t="s">
        <v>67</v>
      </c>
      <c r="F9" s="98"/>
      <c r="G9" s="98" t="s">
        <v>67</v>
      </c>
      <c r="H9" s="99" t="s">
        <v>21</v>
      </c>
    </row>
    <row r="10" spans="1:17" ht="33.75" customHeight="1" x14ac:dyDescent="0.25">
      <c r="A10" s="5" t="s">
        <v>3</v>
      </c>
    </row>
    <row r="11" spans="1:17" ht="15.75" x14ac:dyDescent="0.25">
      <c r="A11" s="70"/>
      <c r="B11" s="70" t="s">
        <v>124</v>
      </c>
      <c r="C11" s="70"/>
      <c r="D11" s="14"/>
      <c r="E11" s="40"/>
      <c r="F11" s="40" t="s">
        <v>20</v>
      </c>
      <c r="G11" s="14"/>
    </row>
    <row r="12" spans="1:17" ht="28.5" customHeight="1" x14ac:dyDescent="0.25">
      <c r="A12" s="140" t="s">
        <v>12</v>
      </c>
      <c r="B12" s="140"/>
      <c r="C12" s="140"/>
      <c r="D12" s="37"/>
      <c r="E12" s="37"/>
      <c r="F12" s="40" t="s">
        <v>22</v>
      </c>
      <c r="G12" s="37"/>
    </row>
    <row r="13" spans="1:17" ht="15.75" customHeight="1" x14ac:dyDescent="0.25">
      <c r="A13" s="134" t="s">
        <v>1</v>
      </c>
      <c r="B13" s="134"/>
      <c r="C13" s="134"/>
      <c r="D13" s="15"/>
      <c r="E13" s="15"/>
      <c r="F13" s="137" t="s">
        <v>1</v>
      </c>
      <c r="G13" s="137"/>
      <c r="H13" s="137"/>
    </row>
    <row r="14" spans="1:17" ht="15.75" customHeight="1" x14ac:dyDescent="0.25">
      <c r="A14" s="25"/>
      <c r="B14" s="10"/>
      <c r="C14" s="10"/>
      <c r="D14" s="10"/>
      <c r="E14" s="10"/>
      <c r="F14" s="10"/>
      <c r="G14" s="25"/>
    </row>
    <row r="15" spans="1:17" ht="15.75" x14ac:dyDescent="0.25">
      <c r="B15" s="122" t="s">
        <v>11</v>
      </c>
      <c r="C15" s="122"/>
      <c r="D15" s="10"/>
      <c r="E15" s="10"/>
      <c r="F15" s="10"/>
      <c r="G15" s="25"/>
    </row>
    <row r="16" spans="1:17" ht="31.5" customHeight="1" x14ac:dyDescent="0.25">
      <c r="A16" s="140" t="s">
        <v>125</v>
      </c>
      <c r="B16" s="140"/>
      <c r="C16" s="140"/>
      <c r="D16" s="39"/>
      <c r="E16" s="39"/>
      <c r="F16" s="39"/>
      <c r="G16" s="132"/>
    </row>
    <row r="17" spans="1:7" ht="11.25" customHeight="1" x14ac:dyDescent="0.25">
      <c r="A17" s="134" t="s">
        <v>1</v>
      </c>
      <c r="B17" s="134"/>
      <c r="C17" s="134"/>
      <c r="D17" s="10"/>
      <c r="E17" s="10"/>
      <c r="F17" s="10"/>
      <c r="G17" s="132"/>
    </row>
  </sheetData>
  <mergeCells count="10">
    <mergeCell ref="A16:C16"/>
    <mergeCell ref="G16:G17"/>
    <mergeCell ref="A17:C17"/>
    <mergeCell ref="J2:Q2"/>
    <mergeCell ref="J4:Q4"/>
    <mergeCell ref="A2:H2"/>
    <mergeCell ref="A3:H3"/>
    <mergeCell ref="A12:C12"/>
    <mergeCell ref="A13:C13"/>
    <mergeCell ref="F13:H13"/>
  </mergeCells>
  <pageMargins left="0.7" right="0.7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4"/>
  <sheetViews>
    <sheetView view="pageBreakPreview" zoomScaleNormal="100" zoomScaleSheetLayoutView="100" workbookViewId="0">
      <selection activeCell="F3" sqref="F3"/>
    </sheetView>
  </sheetViews>
  <sheetFormatPr defaultRowHeight="15" x14ac:dyDescent="0.25"/>
  <cols>
    <col min="2" max="2" width="36.5703125" customWidth="1"/>
    <col min="3" max="3" width="36.28515625" customWidth="1"/>
    <col min="4" max="4" width="16.7109375" customWidth="1"/>
    <col min="5" max="5" width="13.42578125" customWidth="1"/>
    <col min="6" max="6" width="16" customWidth="1"/>
    <col min="7" max="7" width="13.42578125" customWidth="1"/>
    <col min="8" max="8" width="16.7109375" customWidth="1"/>
  </cols>
  <sheetData>
    <row r="1" spans="1:16" s="9" customFormat="1" ht="15.75" customHeight="1" x14ac:dyDescent="0.25">
      <c r="A1" s="136" t="s">
        <v>116</v>
      </c>
      <c r="B1" s="136"/>
      <c r="C1" s="136"/>
      <c r="D1" s="136"/>
      <c r="E1" s="136"/>
      <c r="F1" s="136"/>
      <c r="G1" s="136"/>
      <c r="I1" s="136"/>
      <c r="J1" s="136"/>
      <c r="K1" s="136"/>
      <c r="L1" s="136"/>
      <c r="M1" s="136"/>
      <c r="N1" s="136"/>
      <c r="O1" s="136"/>
      <c r="P1" s="136"/>
    </row>
    <row r="2" spans="1:16" s="43" customFormat="1" ht="79.5" customHeight="1" x14ac:dyDescent="0.25">
      <c r="A2" s="142" t="str">
        <f>тема</f>
        <v>на выполнение научно-исследовательской работы по теме:
«ТЕМА»</v>
      </c>
      <c r="B2" s="142"/>
      <c r="C2" s="142"/>
      <c r="D2" s="142"/>
      <c r="E2" s="142"/>
      <c r="F2" s="142"/>
      <c r="G2" s="142"/>
    </row>
    <row r="3" spans="1:16" ht="48" customHeight="1" x14ac:dyDescent="0.25">
      <c r="A3" s="22" t="s">
        <v>61</v>
      </c>
      <c r="B3" s="22" t="s">
        <v>62</v>
      </c>
      <c r="C3" s="22" t="s">
        <v>63</v>
      </c>
      <c r="D3" s="26" t="s">
        <v>64</v>
      </c>
      <c r="E3" s="22" t="s">
        <v>65</v>
      </c>
      <c r="F3" s="22" t="s">
        <v>66</v>
      </c>
      <c r="G3" s="22" t="s">
        <v>123</v>
      </c>
      <c r="H3" s="124"/>
      <c r="I3" s="124"/>
      <c r="J3" s="124"/>
      <c r="K3" s="124"/>
      <c r="L3" s="124"/>
      <c r="M3" s="124"/>
      <c r="N3" s="124"/>
      <c r="O3" s="124"/>
    </row>
    <row r="4" spans="1:16" ht="17.25" customHeight="1" x14ac:dyDescent="0.25">
      <c r="A4" s="22">
        <v>1</v>
      </c>
      <c r="B4" s="22">
        <v>2</v>
      </c>
      <c r="C4" s="22">
        <v>3</v>
      </c>
      <c r="D4" s="22">
        <v>4</v>
      </c>
      <c r="E4" s="123">
        <v>5</v>
      </c>
      <c r="F4" s="123">
        <v>6</v>
      </c>
      <c r="G4" s="123">
        <v>7</v>
      </c>
    </row>
    <row r="5" spans="1:16" ht="33.75" customHeight="1" x14ac:dyDescent="0.25">
      <c r="A5" s="98" t="s">
        <v>21</v>
      </c>
      <c r="B5" s="98" t="s">
        <v>21</v>
      </c>
      <c r="C5" s="98" t="s">
        <v>21</v>
      </c>
      <c r="D5" s="98" t="s">
        <v>21</v>
      </c>
      <c r="E5" s="98" t="s">
        <v>21</v>
      </c>
      <c r="F5" s="98" t="s">
        <v>21</v>
      </c>
      <c r="G5" s="98" t="s">
        <v>21</v>
      </c>
    </row>
    <row r="6" spans="1:16" ht="33.75" customHeight="1" x14ac:dyDescent="0.25">
      <c r="A6" s="98" t="s">
        <v>21</v>
      </c>
      <c r="B6" s="98" t="s">
        <v>21</v>
      </c>
      <c r="C6" s="98" t="s">
        <v>21</v>
      </c>
      <c r="D6" s="98" t="s">
        <v>21</v>
      </c>
      <c r="E6" s="98" t="s">
        <v>21</v>
      </c>
      <c r="F6" s="98" t="s">
        <v>21</v>
      </c>
      <c r="G6" s="98" t="s">
        <v>21</v>
      </c>
    </row>
    <row r="7" spans="1:16" ht="33.75" customHeight="1" x14ac:dyDescent="0.25">
      <c r="A7" s="98" t="s">
        <v>21</v>
      </c>
      <c r="B7" s="98" t="s">
        <v>21</v>
      </c>
      <c r="C7" s="98" t="s">
        <v>21</v>
      </c>
      <c r="D7" s="98" t="s">
        <v>21</v>
      </c>
      <c r="E7" s="98" t="s">
        <v>21</v>
      </c>
      <c r="F7" s="98" t="s">
        <v>21</v>
      </c>
      <c r="G7" s="98" t="s">
        <v>21</v>
      </c>
    </row>
    <row r="8" spans="1:16" ht="17.25" customHeight="1" x14ac:dyDescent="0.25">
      <c r="A8" s="96"/>
      <c r="B8" s="97" t="s">
        <v>38</v>
      </c>
      <c r="C8" s="98" t="s">
        <v>67</v>
      </c>
      <c r="D8" s="98" t="s">
        <v>67</v>
      </c>
      <c r="E8" s="98" t="s">
        <v>67</v>
      </c>
      <c r="F8" s="98" t="s">
        <v>67</v>
      </c>
      <c r="G8" s="98" t="s">
        <v>21</v>
      </c>
    </row>
    <row r="9" spans="1:16" ht="33.75" customHeight="1" x14ac:dyDescent="0.25">
      <c r="A9" s="5" t="s">
        <v>3</v>
      </c>
    </row>
    <row r="10" spans="1:16" ht="15.75" x14ac:dyDescent="0.25">
      <c r="A10" s="139" t="s">
        <v>124</v>
      </c>
      <c r="B10" s="139"/>
      <c r="C10" s="139"/>
      <c r="D10" s="14"/>
      <c r="E10" s="140" t="s">
        <v>20</v>
      </c>
      <c r="F10" s="140"/>
      <c r="G10" s="140"/>
    </row>
    <row r="11" spans="1:16" ht="40.5" customHeight="1" x14ac:dyDescent="0.25">
      <c r="A11" s="140" t="s">
        <v>12</v>
      </c>
      <c r="B11" s="140"/>
      <c r="C11" s="140"/>
      <c r="D11" s="37"/>
      <c r="E11" s="140" t="s">
        <v>22</v>
      </c>
      <c r="F11" s="140"/>
      <c r="G11" s="140"/>
    </row>
    <row r="12" spans="1:16" ht="15.75" customHeight="1" x14ac:dyDescent="0.25">
      <c r="A12" s="134" t="s">
        <v>1</v>
      </c>
      <c r="B12" s="134"/>
      <c r="C12" s="134"/>
      <c r="D12" s="15"/>
      <c r="E12" s="15"/>
      <c r="F12" s="41" t="s">
        <v>1</v>
      </c>
      <c r="G12" s="41"/>
    </row>
    <row r="13" spans="1:16" ht="15.75" customHeight="1" x14ac:dyDescent="0.25">
      <c r="A13" s="25"/>
      <c r="B13" s="10"/>
      <c r="C13" s="10"/>
      <c r="D13" s="10"/>
      <c r="E13" s="10"/>
      <c r="F13" s="10"/>
      <c r="G13" s="25"/>
    </row>
    <row r="14" spans="1:16" ht="15.75" x14ac:dyDescent="0.25">
      <c r="A14" s="143" t="s">
        <v>11</v>
      </c>
      <c r="B14" s="143"/>
      <c r="C14" s="143"/>
      <c r="D14" s="10"/>
      <c r="E14" s="10"/>
      <c r="F14" s="10"/>
      <c r="G14" s="25"/>
    </row>
    <row r="15" spans="1:16" ht="38.25" customHeight="1" x14ac:dyDescent="0.25">
      <c r="A15" s="140" t="s">
        <v>125</v>
      </c>
      <c r="B15" s="140"/>
      <c r="C15" s="140"/>
      <c r="D15" s="39"/>
      <c r="E15" s="39"/>
      <c r="F15" s="39"/>
      <c r="G15" s="132"/>
    </row>
    <row r="16" spans="1:16" ht="11.25" customHeight="1" x14ac:dyDescent="0.25">
      <c r="A16" s="134" t="s">
        <v>1</v>
      </c>
      <c r="B16" s="134"/>
      <c r="C16" s="134"/>
      <c r="D16" s="10"/>
      <c r="E16" s="10"/>
      <c r="F16" s="10"/>
      <c r="G16" s="132"/>
    </row>
    <row r="17" spans="1:7" ht="15.75" x14ac:dyDescent="0.25">
      <c r="A17" s="10"/>
      <c r="B17" s="25"/>
      <c r="C17" s="10"/>
      <c r="D17" s="10"/>
      <c r="E17" s="10"/>
      <c r="F17" s="10"/>
      <c r="G17" s="132"/>
    </row>
    <row r="18" spans="1:7" x14ac:dyDescent="0.25">
      <c r="A18" s="10"/>
      <c r="B18" s="10"/>
      <c r="C18" s="10"/>
      <c r="D18" s="10"/>
      <c r="E18" s="10"/>
      <c r="F18" s="10"/>
      <c r="G18" s="132"/>
    </row>
    <row r="19" spans="1:7" x14ac:dyDescent="0.25">
      <c r="A19" s="10"/>
      <c r="B19" s="10"/>
      <c r="C19" s="10"/>
      <c r="D19" s="10"/>
      <c r="E19" s="10"/>
      <c r="F19" s="10"/>
      <c r="G19" s="132"/>
    </row>
    <row r="20" spans="1:7" x14ac:dyDescent="0.25">
      <c r="A20" s="10"/>
      <c r="B20" s="10"/>
      <c r="C20" s="10"/>
      <c r="D20" s="10"/>
      <c r="E20" s="10"/>
      <c r="F20" s="10"/>
      <c r="G20" s="132"/>
    </row>
    <row r="21" spans="1:7" x14ac:dyDescent="0.25">
      <c r="A21" s="10"/>
      <c r="B21" s="10"/>
      <c r="C21" s="10"/>
      <c r="D21" s="10"/>
      <c r="E21" s="10"/>
      <c r="F21" s="10"/>
      <c r="G21" s="132"/>
    </row>
    <row r="22" spans="1:7" x14ac:dyDescent="0.25">
      <c r="A22" s="10"/>
      <c r="B22" s="10"/>
      <c r="C22" s="10"/>
      <c r="D22" s="10"/>
      <c r="E22" s="10"/>
      <c r="F22" s="10"/>
      <c r="G22" s="132"/>
    </row>
    <row r="23" spans="1:7" x14ac:dyDescent="0.25">
      <c r="A23" s="10"/>
      <c r="B23" s="10"/>
      <c r="C23" s="10"/>
      <c r="D23" s="10"/>
      <c r="E23" s="10"/>
      <c r="F23" s="10"/>
      <c r="G23" s="132"/>
    </row>
    <row r="24" spans="1:7" ht="15.75" x14ac:dyDescent="0.25">
      <c r="A24" s="10"/>
      <c r="B24" s="25"/>
      <c r="C24" s="10"/>
      <c r="D24" s="10"/>
      <c r="E24" s="10"/>
      <c r="F24" s="10"/>
      <c r="G24" s="132"/>
    </row>
  </sheetData>
  <mergeCells count="12">
    <mergeCell ref="I1:P1"/>
    <mergeCell ref="A2:G2"/>
    <mergeCell ref="A1:G1"/>
    <mergeCell ref="E10:G10"/>
    <mergeCell ref="E11:G11"/>
    <mergeCell ref="G15:G24"/>
    <mergeCell ref="A10:C10"/>
    <mergeCell ref="A15:C15"/>
    <mergeCell ref="A11:C11"/>
    <mergeCell ref="A12:C12"/>
    <mergeCell ref="A16:C16"/>
    <mergeCell ref="A14:C1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72"/>
  <sheetViews>
    <sheetView tabSelected="1" view="pageBreakPreview" topLeftCell="A2" zoomScaleNormal="100" zoomScaleSheetLayoutView="100" workbookViewId="0">
      <selection activeCell="J4" sqref="J4"/>
    </sheetView>
  </sheetViews>
  <sheetFormatPr defaultRowHeight="15" x14ac:dyDescent="0.25"/>
  <cols>
    <col min="1" max="1" width="7.140625" customWidth="1"/>
    <col min="2" max="2" width="10.28515625" customWidth="1"/>
    <col min="3" max="3" width="24" customWidth="1"/>
    <col min="4" max="4" width="25.42578125" customWidth="1"/>
    <col min="5" max="5" width="12" customWidth="1"/>
    <col min="6" max="6" width="14.85546875" customWidth="1"/>
    <col min="7" max="7" width="14.28515625" customWidth="1"/>
    <col min="8" max="8" width="18.42578125" customWidth="1"/>
    <col min="9" max="9" width="18.42578125" style="59" customWidth="1"/>
    <col min="10" max="10" width="13.140625" style="172" bestFit="1" customWidth="1"/>
    <col min="11" max="11" width="12.140625" style="173" customWidth="1"/>
    <col min="12" max="12" width="14.140625" style="128" customWidth="1"/>
    <col min="13" max="13" width="7.5703125" style="87" bestFit="1" customWidth="1"/>
    <col min="16" max="17" width="15" customWidth="1"/>
  </cols>
  <sheetData>
    <row r="1" spans="1:19" s="9" customFormat="1" ht="14.25" hidden="1" customHeight="1" x14ac:dyDescent="0.25">
      <c r="I1" s="56"/>
      <c r="J1" s="172"/>
      <c r="K1" s="173"/>
      <c r="L1" s="128"/>
      <c r="M1" s="86"/>
    </row>
    <row r="2" spans="1:19" s="9" customFormat="1" ht="15.75" customHeight="1" x14ac:dyDescent="0.25">
      <c r="B2" s="136" t="s">
        <v>114</v>
      </c>
      <c r="C2" s="136"/>
      <c r="D2" s="136"/>
      <c r="E2" s="136"/>
      <c r="F2" s="136"/>
      <c r="G2" s="136"/>
      <c r="H2" s="136"/>
      <c r="I2" s="136"/>
      <c r="J2" s="174" t="s">
        <v>133</v>
      </c>
      <c r="K2" s="174"/>
      <c r="L2" s="128"/>
      <c r="M2" s="86"/>
      <c r="N2" s="88"/>
      <c r="O2" s="88"/>
      <c r="P2" s="88"/>
      <c r="Q2" s="88"/>
      <c r="R2" s="88"/>
      <c r="S2" s="89"/>
    </row>
    <row r="3" spans="1:19" s="9" customFormat="1" ht="54" customHeight="1" x14ac:dyDescent="0.25">
      <c r="B3" s="142" t="str">
        <f>тема</f>
        <v>на выполнение научно-исследовательской работы по теме:
«ТЕМА»</v>
      </c>
      <c r="C3" s="142"/>
      <c r="D3" s="142"/>
      <c r="E3" s="142"/>
      <c r="F3" s="142"/>
      <c r="G3" s="142"/>
      <c r="H3" s="142"/>
      <c r="I3" s="142"/>
      <c r="J3" s="174" t="s">
        <v>134</v>
      </c>
      <c r="K3" s="174"/>
      <c r="L3" s="128"/>
      <c r="M3" s="86"/>
      <c r="N3" s="88"/>
      <c r="O3" s="88"/>
      <c r="P3" s="88"/>
      <c r="Q3" s="88"/>
      <c r="R3" s="88"/>
      <c r="S3" s="89"/>
    </row>
    <row r="4" spans="1:19" ht="36" customHeight="1" x14ac:dyDescent="0.25">
      <c r="A4" s="22" t="s">
        <v>23</v>
      </c>
      <c r="B4" s="150" t="s">
        <v>0</v>
      </c>
      <c r="C4" s="144" t="s">
        <v>40</v>
      </c>
      <c r="D4" s="146" t="s">
        <v>25</v>
      </c>
      <c r="E4" s="146" t="s">
        <v>26</v>
      </c>
      <c r="F4" s="148" t="s">
        <v>147</v>
      </c>
      <c r="G4" s="146" t="s">
        <v>27</v>
      </c>
      <c r="H4" s="146" t="s">
        <v>28</v>
      </c>
      <c r="I4" s="100" t="s">
        <v>29</v>
      </c>
      <c r="J4" s="174" t="s">
        <v>146</v>
      </c>
      <c r="K4" s="175"/>
      <c r="N4" s="88"/>
      <c r="O4" s="90"/>
      <c r="P4" s="91"/>
      <c r="Q4" s="91"/>
      <c r="R4" s="88"/>
      <c r="S4" s="89"/>
    </row>
    <row r="5" spans="1:19" x14ac:dyDescent="0.25">
      <c r="A5" s="22" t="s">
        <v>24</v>
      </c>
      <c r="B5" s="150"/>
      <c r="C5" s="145"/>
      <c r="D5" s="146"/>
      <c r="E5" s="146"/>
      <c r="F5" s="149"/>
      <c r="G5" s="146"/>
      <c r="H5" s="146"/>
      <c r="I5" s="123" t="s">
        <v>128</v>
      </c>
      <c r="K5" s="175"/>
      <c r="N5" s="88"/>
      <c r="O5" s="90"/>
      <c r="P5" s="90"/>
      <c r="Q5" s="90"/>
      <c r="R5" s="88"/>
    </row>
    <row r="6" spans="1:19" ht="26.25" x14ac:dyDescent="0.25">
      <c r="A6" s="22">
        <v>1</v>
      </c>
      <c r="B6" s="22">
        <v>2</v>
      </c>
      <c r="C6" s="22">
        <v>3</v>
      </c>
      <c r="D6" s="22">
        <v>4</v>
      </c>
      <c r="E6" s="22">
        <v>5</v>
      </c>
      <c r="F6" s="171" t="s">
        <v>148</v>
      </c>
      <c r="G6" s="22">
        <v>6</v>
      </c>
      <c r="H6" s="22">
        <v>7</v>
      </c>
      <c r="I6" s="22">
        <v>8</v>
      </c>
      <c r="J6" s="176" t="s">
        <v>135</v>
      </c>
      <c r="K6" s="177" t="s">
        <v>136</v>
      </c>
      <c r="N6" s="88"/>
      <c r="O6" s="90"/>
      <c r="P6" s="90"/>
      <c r="Q6" s="90"/>
      <c r="R6" s="88"/>
    </row>
    <row r="7" spans="1:19" ht="12.95" customHeight="1" x14ac:dyDescent="0.25">
      <c r="A7" s="22">
        <v>1</v>
      </c>
      <c r="B7" s="146" t="s">
        <v>30</v>
      </c>
      <c r="C7" s="22"/>
      <c r="D7" s="125" t="s">
        <v>17</v>
      </c>
      <c r="E7" s="125">
        <v>0</v>
      </c>
      <c r="F7" s="167">
        <v>0</v>
      </c>
      <c r="G7" s="126">
        <f>E7*F7</f>
        <v>0</v>
      </c>
      <c r="H7" s="127">
        <v>0</v>
      </c>
      <c r="I7" s="57">
        <f>G7*H7</f>
        <v>0</v>
      </c>
      <c r="J7" s="178" t="s">
        <v>137</v>
      </c>
      <c r="K7" s="179" t="s">
        <v>137</v>
      </c>
      <c r="N7" s="88"/>
      <c r="O7" s="90"/>
      <c r="P7" s="90"/>
      <c r="Q7" s="90"/>
      <c r="R7" s="88"/>
    </row>
    <row r="8" spans="1:19" ht="12.95" customHeight="1" x14ac:dyDescent="0.25">
      <c r="A8" s="22">
        <v>2</v>
      </c>
      <c r="B8" s="146"/>
      <c r="C8" s="22"/>
      <c r="D8" s="125" t="s">
        <v>14</v>
      </c>
      <c r="E8" s="125">
        <v>0</v>
      </c>
      <c r="F8" s="167">
        <v>0</v>
      </c>
      <c r="G8" s="126">
        <f t="shared" ref="G8:G13" si="0">E8*F8</f>
        <v>0</v>
      </c>
      <c r="H8" s="127">
        <v>0</v>
      </c>
      <c r="I8" s="57">
        <f>G8*H8</f>
        <v>0</v>
      </c>
      <c r="J8" s="178" t="s">
        <v>137</v>
      </c>
      <c r="K8" s="179" t="s">
        <v>137</v>
      </c>
      <c r="N8" s="88"/>
      <c r="O8" s="90"/>
      <c r="P8" s="90"/>
      <c r="Q8" s="90"/>
      <c r="R8" s="88"/>
    </row>
    <row r="9" spans="1:19" ht="12.95" customHeight="1" x14ac:dyDescent="0.25">
      <c r="A9" s="22">
        <v>3</v>
      </c>
      <c r="B9" s="146"/>
      <c r="C9" s="22"/>
      <c r="D9" s="125" t="s">
        <v>18</v>
      </c>
      <c r="E9" s="125">
        <v>0</v>
      </c>
      <c r="F9" s="167">
        <v>0</v>
      </c>
      <c r="G9" s="126">
        <f t="shared" si="0"/>
        <v>0</v>
      </c>
      <c r="H9" s="127">
        <v>0</v>
      </c>
      <c r="I9" s="57">
        <f t="shared" ref="I9:I12" si="1">G9*H9</f>
        <v>0</v>
      </c>
      <c r="J9" s="178" t="s">
        <v>137</v>
      </c>
      <c r="K9" s="179" t="s">
        <v>137</v>
      </c>
      <c r="N9" s="88"/>
      <c r="O9" s="90"/>
      <c r="P9" s="90"/>
      <c r="Q9" s="90"/>
      <c r="R9" s="88"/>
    </row>
    <row r="10" spans="1:19" ht="12.95" customHeight="1" x14ac:dyDescent="0.25">
      <c r="A10" s="22">
        <v>4</v>
      </c>
      <c r="B10" s="146"/>
      <c r="C10" s="22"/>
      <c r="D10" s="125" t="s">
        <v>19</v>
      </c>
      <c r="E10" s="125">
        <v>0</v>
      </c>
      <c r="F10" s="167">
        <v>0</v>
      </c>
      <c r="G10" s="126">
        <f t="shared" si="0"/>
        <v>0</v>
      </c>
      <c r="H10" s="127">
        <v>0</v>
      </c>
      <c r="I10" s="57">
        <f t="shared" si="1"/>
        <v>0</v>
      </c>
      <c r="J10" s="178" t="s">
        <v>137</v>
      </c>
      <c r="K10" s="179" t="s">
        <v>137</v>
      </c>
    </row>
    <row r="11" spans="1:19" ht="12.95" customHeight="1" x14ac:dyDescent="0.25">
      <c r="A11" s="22">
        <v>5</v>
      </c>
      <c r="B11" s="146"/>
      <c r="C11" s="22"/>
      <c r="D11" s="125" t="s">
        <v>15</v>
      </c>
      <c r="E11" s="125">
        <v>0</v>
      </c>
      <c r="F11" s="167">
        <v>0</v>
      </c>
      <c r="G11" s="126">
        <f t="shared" si="0"/>
        <v>0</v>
      </c>
      <c r="H11" s="127">
        <v>0</v>
      </c>
      <c r="I11" s="57">
        <f t="shared" si="1"/>
        <v>0</v>
      </c>
      <c r="J11" s="178" t="s">
        <v>137</v>
      </c>
      <c r="K11" s="179" t="s">
        <v>137</v>
      </c>
    </row>
    <row r="12" spans="1:19" ht="12.95" customHeight="1" x14ac:dyDescent="0.25">
      <c r="A12" s="22">
        <v>6</v>
      </c>
      <c r="B12" s="146"/>
      <c r="C12" s="22"/>
      <c r="D12" s="125" t="s">
        <v>94</v>
      </c>
      <c r="E12" s="125">
        <v>0</v>
      </c>
      <c r="F12" s="167">
        <v>0</v>
      </c>
      <c r="G12" s="126">
        <f t="shared" si="0"/>
        <v>0</v>
      </c>
      <c r="H12" s="127">
        <v>0</v>
      </c>
      <c r="I12" s="57">
        <f t="shared" si="1"/>
        <v>0</v>
      </c>
      <c r="J12" s="178" t="s">
        <v>137</v>
      </c>
      <c r="K12" s="179" t="s">
        <v>137</v>
      </c>
    </row>
    <row r="13" spans="1:19" ht="12.95" customHeight="1" x14ac:dyDescent="0.25">
      <c r="A13" s="22">
        <v>7</v>
      </c>
      <c r="B13" s="146"/>
      <c r="C13" s="22"/>
      <c r="D13" s="125" t="s">
        <v>95</v>
      </c>
      <c r="E13" s="125">
        <v>0</v>
      </c>
      <c r="F13" s="167">
        <v>0</v>
      </c>
      <c r="G13" s="126">
        <f t="shared" si="0"/>
        <v>0</v>
      </c>
      <c r="H13" s="127">
        <v>0</v>
      </c>
      <c r="I13" s="57">
        <f>G13*H13</f>
        <v>0</v>
      </c>
      <c r="J13" s="178" t="s">
        <v>137</v>
      </c>
      <c r="K13" s="179" t="s">
        <v>137</v>
      </c>
    </row>
    <row r="14" spans="1:19" ht="12.95" customHeight="1" x14ac:dyDescent="0.25">
      <c r="A14" s="22"/>
      <c r="B14" s="101" t="s">
        <v>31</v>
      </c>
      <c r="C14" s="22"/>
      <c r="D14" s="22"/>
      <c r="E14" s="102">
        <f>SUM(E7:E13)</f>
        <v>0</v>
      </c>
      <c r="F14" s="168">
        <f>SUM(F7:F13)</f>
        <v>0</v>
      </c>
      <c r="G14" s="103">
        <f>SUM(G7:G13)</f>
        <v>0</v>
      </c>
      <c r="H14" s="104" t="e">
        <f>I14/G14</f>
        <v>#DIV/0!</v>
      </c>
      <c r="I14" s="105">
        <f>SUM(I7:I13)</f>
        <v>0</v>
      </c>
      <c r="J14" s="180"/>
      <c r="K14" s="181"/>
    </row>
    <row r="15" spans="1:19" ht="12.95" customHeight="1" x14ac:dyDescent="0.25">
      <c r="A15" s="22">
        <v>1</v>
      </c>
      <c r="B15" s="146" t="s">
        <v>32</v>
      </c>
      <c r="C15" s="22"/>
      <c r="D15" s="125" t="s">
        <v>17</v>
      </c>
      <c r="E15" s="125">
        <v>0</v>
      </c>
      <c r="F15" s="167">
        <v>0</v>
      </c>
      <c r="G15" s="126">
        <f t="shared" ref="G15:G21" si="2">E15*F15</f>
        <v>0</v>
      </c>
      <c r="H15" s="127">
        <v>0</v>
      </c>
      <c r="I15" s="57">
        <f>G15*H15</f>
        <v>0</v>
      </c>
      <c r="J15" s="180" t="s">
        <v>137</v>
      </c>
      <c r="K15" s="182" t="s">
        <v>137</v>
      </c>
    </row>
    <row r="16" spans="1:19" ht="12.95" customHeight="1" x14ac:dyDescent="0.25">
      <c r="A16" s="22">
        <v>2</v>
      </c>
      <c r="B16" s="146"/>
      <c r="C16" s="22"/>
      <c r="D16" s="125" t="s">
        <v>14</v>
      </c>
      <c r="E16" s="125">
        <v>0</v>
      </c>
      <c r="F16" s="167">
        <v>0</v>
      </c>
      <c r="G16" s="126">
        <f t="shared" si="2"/>
        <v>0</v>
      </c>
      <c r="H16" s="127">
        <v>0</v>
      </c>
      <c r="I16" s="57">
        <f t="shared" ref="I16:I21" si="3">G16*H16</f>
        <v>0</v>
      </c>
      <c r="J16" s="180" t="s">
        <v>137</v>
      </c>
      <c r="K16" s="182" t="s">
        <v>137</v>
      </c>
    </row>
    <row r="17" spans="1:11" ht="12.95" customHeight="1" x14ac:dyDescent="0.25">
      <c r="A17" s="22">
        <v>3</v>
      </c>
      <c r="B17" s="146"/>
      <c r="C17" s="22"/>
      <c r="D17" s="125" t="s">
        <v>18</v>
      </c>
      <c r="E17" s="125">
        <v>0</v>
      </c>
      <c r="F17" s="167">
        <v>0</v>
      </c>
      <c r="G17" s="126">
        <f t="shared" si="2"/>
        <v>0</v>
      </c>
      <c r="H17" s="127">
        <v>0</v>
      </c>
      <c r="I17" s="57">
        <f t="shared" si="3"/>
        <v>0</v>
      </c>
      <c r="J17" s="180" t="s">
        <v>137</v>
      </c>
      <c r="K17" s="182" t="s">
        <v>137</v>
      </c>
    </row>
    <row r="18" spans="1:11" ht="12.95" customHeight="1" x14ac:dyDescent="0.25">
      <c r="A18" s="22">
        <v>4</v>
      </c>
      <c r="B18" s="146"/>
      <c r="C18" s="22"/>
      <c r="D18" s="125" t="s">
        <v>19</v>
      </c>
      <c r="E18" s="125">
        <v>0</v>
      </c>
      <c r="F18" s="167">
        <v>0</v>
      </c>
      <c r="G18" s="126">
        <f t="shared" si="2"/>
        <v>0</v>
      </c>
      <c r="H18" s="127">
        <v>0</v>
      </c>
      <c r="I18" s="57">
        <f t="shared" si="3"/>
        <v>0</v>
      </c>
      <c r="J18" s="180" t="s">
        <v>137</v>
      </c>
      <c r="K18" s="182" t="s">
        <v>137</v>
      </c>
    </row>
    <row r="19" spans="1:11" ht="12.95" customHeight="1" x14ac:dyDescent="0.25">
      <c r="A19" s="22">
        <v>5</v>
      </c>
      <c r="B19" s="146"/>
      <c r="C19" s="22"/>
      <c r="D19" s="125" t="s">
        <v>15</v>
      </c>
      <c r="E19" s="125">
        <v>0</v>
      </c>
      <c r="F19" s="167">
        <v>0</v>
      </c>
      <c r="G19" s="126">
        <f t="shared" si="2"/>
        <v>0</v>
      </c>
      <c r="H19" s="127">
        <v>0</v>
      </c>
      <c r="I19" s="57">
        <f t="shared" si="3"/>
        <v>0</v>
      </c>
      <c r="J19" s="180" t="s">
        <v>137</v>
      </c>
      <c r="K19" s="182" t="s">
        <v>137</v>
      </c>
    </row>
    <row r="20" spans="1:11" ht="12.95" customHeight="1" x14ac:dyDescent="0.25">
      <c r="A20" s="22">
        <v>6</v>
      </c>
      <c r="B20" s="146"/>
      <c r="C20" s="22"/>
      <c r="D20" s="125" t="s">
        <v>94</v>
      </c>
      <c r="E20" s="125">
        <v>0</v>
      </c>
      <c r="F20" s="167">
        <v>0</v>
      </c>
      <c r="G20" s="126">
        <f t="shared" si="2"/>
        <v>0</v>
      </c>
      <c r="H20" s="127">
        <v>0</v>
      </c>
      <c r="I20" s="57">
        <f t="shared" si="3"/>
        <v>0</v>
      </c>
      <c r="J20" s="180" t="s">
        <v>137</v>
      </c>
      <c r="K20" s="182" t="s">
        <v>137</v>
      </c>
    </row>
    <row r="21" spans="1:11" ht="12.95" customHeight="1" x14ac:dyDescent="0.25">
      <c r="A21" s="22">
        <v>7</v>
      </c>
      <c r="B21" s="146"/>
      <c r="C21" s="22"/>
      <c r="D21" s="125" t="s">
        <v>95</v>
      </c>
      <c r="E21" s="125">
        <v>0</v>
      </c>
      <c r="F21" s="167">
        <v>0</v>
      </c>
      <c r="G21" s="126">
        <f t="shared" si="2"/>
        <v>0</v>
      </c>
      <c r="H21" s="127">
        <v>0</v>
      </c>
      <c r="I21" s="57">
        <f t="shared" si="3"/>
        <v>0</v>
      </c>
      <c r="J21" s="180" t="s">
        <v>137</v>
      </c>
      <c r="K21" s="182" t="s">
        <v>137</v>
      </c>
    </row>
    <row r="22" spans="1:11" ht="12.95" customHeight="1" x14ac:dyDescent="0.25">
      <c r="A22" s="22"/>
      <c r="B22" s="101" t="s">
        <v>33</v>
      </c>
      <c r="C22" s="22"/>
      <c r="D22" s="22"/>
      <c r="E22" s="102">
        <f>SUM(E15:E21)</f>
        <v>0</v>
      </c>
      <c r="F22" s="168">
        <f>SUM(F15:F21)</f>
        <v>0</v>
      </c>
      <c r="G22" s="103">
        <f>SUM(G15:G21)</f>
        <v>0</v>
      </c>
      <c r="H22" s="104" t="e">
        <f>I22/G22</f>
        <v>#DIV/0!</v>
      </c>
      <c r="I22" s="105">
        <f>SUM(I15:I21)</f>
        <v>0</v>
      </c>
      <c r="J22" s="180"/>
    </row>
    <row r="23" spans="1:11" ht="12.95" customHeight="1" x14ac:dyDescent="0.25">
      <c r="A23" s="22">
        <v>1</v>
      </c>
      <c r="B23" s="146" t="s">
        <v>34</v>
      </c>
      <c r="C23" s="22"/>
      <c r="D23" s="125" t="s">
        <v>17</v>
      </c>
      <c r="E23" s="125">
        <v>0</v>
      </c>
      <c r="F23" s="167">
        <v>0</v>
      </c>
      <c r="G23" s="126">
        <f>E23*F23</f>
        <v>0</v>
      </c>
      <c r="H23" s="127">
        <v>0</v>
      </c>
      <c r="I23" s="57">
        <f>G23*H23</f>
        <v>0</v>
      </c>
      <c r="J23" s="180" t="s">
        <v>137</v>
      </c>
      <c r="K23" s="182" t="s">
        <v>137</v>
      </c>
    </row>
    <row r="24" spans="1:11" ht="12.95" customHeight="1" x14ac:dyDescent="0.25">
      <c r="A24" s="22">
        <v>2</v>
      </c>
      <c r="B24" s="146"/>
      <c r="C24" s="22"/>
      <c r="D24" s="125" t="s">
        <v>14</v>
      </c>
      <c r="E24" s="125">
        <v>0</v>
      </c>
      <c r="F24" s="167">
        <v>0</v>
      </c>
      <c r="G24" s="126">
        <f t="shared" ref="G24:G29" si="4">E24*F24</f>
        <v>0</v>
      </c>
      <c r="H24" s="127">
        <v>0</v>
      </c>
      <c r="I24" s="57">
        <f t="shared" ref="I24:I28" si="5">G24*H24</f>
        <v>0</v>
      </c>
      <c r="J24" s="180" t="s">
        <v>137</v>
      </c>
      <c r="K24" s="182" t="s">
        <v>137</v>
      </c>
    </row>
    <row r="25" spans="1:11" ht="12.95" customHeight="1" x14ac:dyDescent="0.25">
      <c r="A25" s="22">
        <v>3</v>
      </c>
      <c r="B25" s="146"/>
      <c r="C25" s="22"/>
      <c r="D25" s="125" t="s">
        <v>18</v>
      </c>
      <c r="E25" s="125">
        <v>0</v>
      </c>
      <c r="F25" s="167">
        <v>0</v>
      </c>
      <c r="G25" s="126">
        <f t="shared" si="4"/>
        <v>0</v>
      </c>
      <c r="H25" s="127">
        <v>0</v>
      </c>
      <c r="I25" s="57">
        <f t="shared" si="5"/>
        <v>0</v>
      </c>
      <c r="J25" s="180" t="s">
        <v>137</v>
      </c>
      <c r="K25" s="182" t="s">
        <v>137</v>
      </c>
    </row>
    <row r="26" spans="1:11" ht="12.95" customHeight="1" x14ac:dyDescent="0.25">
      <c r="A26" s="22">
        <v>4</v>
      </c>
      <c r="B26" s="146"/>
      <c r="C26" s="22"/>
      <c r="D26" s="125" t="s">
        <v>19</v>
      </c>
      <c r="E26" s="125">
        <v>0</v>
      </c>
      <c r="F26" s="167">
        <v>0</v>
      </c>
      <c r="G26" s="126">
        <f t="shared" si="4"/>
        <v>0</v>
      </c>
      <c r="H26" s="127">
        <v>0</v>
      </c>
      <c r="I26" s="57">
        <f t="shared" si="5"/>
        <v>0</v>
      </c>
      <c r="J26" s="180" t="s">
        <v>137</v>
      </c>
      <c r="K26" s="182" t="s">
        <v>137</v>
      </c>
    </row>
    <row r="27" spans="1:11" ht="12.95" customHeight="1" x14ac:dyDescent="0.25">
      <c r="A27" s="22">
        <v>5</v>
      </c>
      <c r="B27" s="146"/>
      <c r="C27" s="22"/>
      <c r="D27" s="125" t="s">
        <v>15</v>
      </c>
      <c r="E27" s="125">
        <v>0</v>
      </c>
      <c r="F27" s="167">
        <v>0</v>
      </c>
      <c r="G27" s="126">
        <f t="shared" si="4"/>
        <v>0</v>
      </c>
      <c r="H27" s="127">
        <v>0</v>
      </c>
      <c r="I27" s="57">
        <f t="shared" si="5"/>
        <v>0</v>
      </c>
      <c r="J27" s="180" t="s">
        <v>137</v>
      </c>
      <c r="K27" s="182" t="s">
        <v>137</v>
      </c>
    </row>
    <row r="28" spans="1:11" ht="12.95" customHeight="1" x14ac:dyDescent="0.25">
      <c r="A28" s="22">
        <v>6</v>
      </c>
      <c r="B28" s="146"/>
      <c r="C28" s="22"/>
      <c r="D28" s="125" t="s">
        <v>94</v>
      </c>
      <c r="E28" s="125">
        <v>0</v>
      </c>
      <c r="F28" s="167">
        <v>0</v>
      </c>
      <c r="G28" s="126">
        <f t="shared" si="4"/>
        <v>0</v>
      </c>
      <c r="H28" s="127">
        <v>0</v>
      </c>
      <c r="I28" s="57">
        <f t="shared" si="5"/>
        <v>0</v>
      </c>
      <c r="J28" s="180" t="s">
        <v>137</v>
      </c>
      <c r="K28" s="182" t="s">
        <v>137</v>
      </c>
    </row>
    <row r="29" spans="1:11" ht="12.95" customHeight="1" x14ac:dyDescent="0.25">
      <c r="A29" s="22">
        <v>7</v>
      </c>
      <c r="B29" s="146"/>
      <c r="C29" s="22"/>
      <c r="D29" s="125" t="s">
        <v>95</v>
      </c>
      <c r="E29" s="125">
        <v>0</v>
      </c>
      <c r="F29" s="167">
        <v>0</v>
      </c>
      <c r="G29" s="126">
        <f t="shared" si="4"/>
        <v>0</v>
      </c>
      <c r="H29" s="127">
        <v>0</v>
      </c>
      <c r="I29" s="57">
        <f>G29*H29</f>
        <v>0</v>
      </c>
      <c r="J29" s="180" t="s">
        <v>137</v>
      </c>
      <c r="K29" s="182" t="s">
        <v>137</v>
      </c>
    </row>
    <row r="30" spans="1:11" ht="12.95" customHeight="1" x14ac:dyDescent="0.25">
      <c r="A30" s="22"/>
      <c r="B30" s="101" t="s">
        <v>35</v>
      </c>
      <c r="C30" s="22"/>
      <c r="D30" s="22"/>
      <c r="E30" s="102">
        <f>SUM(E23:E29)</f>
        <v>0</v>
      </c>
      <c r="F30" s="168">
        <f>SUM(F23:F29)</f>
        <v>0</v>
      </c>
      <c r="G30" s="103">
        <f>SUM(G23:G29)</f>
        <v>0</v>
      </c>
      <c r="H30" s="104" t="e">
        <f>I30/G30</f>
        <v>#DIV/0!</v>
      </c>
      <c r="I30" s="105">
        <f>SUM(I23:I29)</f>
        <v>0</v>
      </c>
      <c r="J30" s="180"/>
    </row>
    <row r="31" spans="1:11" ht="12.95" customHeight="1" x14ac:dyDescent="0.25">
      <c r="A31" s="22">
        <v>1</v>
      </c>
      <c r="B31" s="146" t="s">
        <v>36</v>
      </c>
      <c r="C31" s="22"/>
      <c r="D31" s="125" t="s">
        <v>17</v>
      </c>
      <c r="E31" s="125">
        <v>0</v>
      </c>
      <c r="F31" s="167">
        <v>0</v>
      </c>
      <c r="G31" s="126">
        <f t="shared" ref="G31:G37" si="6">E31*F31</f>
        <v>0</v>
      </c>
      <c r="H31" s="127">
        <v>0</v>
      </c>
      <c r="I31" s="57">
        <f>G31*H31</f>
        <v>0</v>
      </c>
      <c r="J31" s="180" t="s">
        <v>137</v>
      </c>
      <c r="K31" s="182" t="s">
        <v>137</v>
      </c>
    </row>
    <row r="32" spans="1:11" ht="12.95" customHeight="1" x14ac:dyDescent="0.25">
      <c r="A32" s="22">
        <v>2</v>
      </c>
      <c r="B32" s="146"/>
      <c r="C32" s="22"/>
      <c r="D32" s="125" t="s">
        <v>14</v>
      </c>
      <c r="E32" s="125">
        <v>0</v>
      </c>
      <c r="F32" s="167">
        <v>0</v>
      </c>
      <c r="G32" s="126">
        <f t="shared" si="6"/>
        <v>0</v>
      </c>
      <c r="H32" s="127">
        <v>0</v>
      </c>
      <c r="I32" s="57">
        <f t="shared" ref="I32:I37" si="7">G32*H32</f>
        <v>0</v>
      </c>
      <c r="J32" s="180" t="s">
        <v>137</v>
      </c>
      <c r="K32" s="182" t="s">
        <v>137</v>
      </c>
    </row>
    <row r="33" spans="1:11" ht="12.95" customHeight="1" x14ac:dyDescent="0.25">
      <c r="A33" s="22">
        <v>3</v>
      </c>
      <c r="B33" s="146"/>
      <c r="C33" s="22"/>
      <c r="D33" s="125" t="s">
        <v>18</v>
      </c>
      <c r="E33" s="125">
        <v>0</v>
      </c>
      <c r="F33" s="167">
        <v>0</v>
      </c>
      <c r="G33" s="126">
        <f t="shared" si="6"/>
        <v>0</v>
      </c>
      <c r="H33" s="127">
        <v>0</v>
      </c>
      <c r="I33" s="57">
        <f t="shared" si="7"/>
        <v>0</v>
      </c>
      <c r="J33" s="180" t="s">
        <v>137</v>
      </c>
      <c r="K33" s="182" t="s">
        <v>137</v>
      </c>
    </row>
    <row r="34" spans="1:11" ht="12.95" customHeight="1" x14ac:dyDescent="0.25">
      <c r="A34" s="22">
        <v>4</v>
      </c>
      <c r="B34" s="146"/>
      <c r="C34" s="22"/>
      <c r="D34" s="125" t="s">
        <v>19</v>
      </c>
      <c r="E34" s="125">
        <v>0</v>
      </c>
      <c r="F34" s="167">
        <v>0</v>
      </c>
      <c r="G34" s="126">
        <f t="shared" si="6"/>
        <v>0</v>
      </c>
      <c r="H34" s="127">
        <v>0</v>
      </c>
      <c r="I34" s="57">
        <f t="shared" si="7"/>
        <v>0</v>
      </c>
      <c r="J34" s="180" t="s">
        <v>137</v>
      </c>
      <c r="K34" s="182" t="s">
        <v>137</v>
      </c>
    </row>
    <row r="35" spans="1:11" ht="12.95" customHeight="1" x14ac:dyDescent="0.25">
      <c r="A35" s="22">
        <v>5</v>
      </c>
      <c r="B35" s="146"/>
      <c r="C35" s="22"/>
      <c r="D35" s="125" t="s">
        <v>15</v>
      </c>
      <c r="E35" s="125">
        <v>0</v>
      </c>
      <c r="F35" s="167">
        <v>0</v>
      </c>
      <c r="G35" s="126">
        <f t="shared" si="6"/>
        <v>0</v>
      </c>
      <c r="H35" s="127">
        <v>0</v>
      </c>
      <c r="I35" s="57">
        <f t="shared" si="7"/>
        <v>0</v>
      </c>
      <c r="J35" s="180" t="s">
        <v>137</v>
      </c>
      <c r="K35" s="182" t="s">
        <v>137</v>
      </c>
    </row>
    <row r="36" spans="1:11" ht="12.95" customHeight="1" x14ac:dyDescent="0.25">
      <c r="A36" s="22">
        <v>6</v>
      </c>
      <c r="B36" s="146"/>
      <c r="C36" s="22"/>
      <c r="D36" s="125" t="s">
        <v>94</v>
      </c>
      <c r="E36" s="125">
        <v>0</v>
      </c>
      <c r="F36" s="167">
        <v>0</v>
      </c>
      <c r="G36" s="126">
        <f t="shared" si="6"/>
        <v>0</v>
      </c>
      <c r="H36" s="127">
        <v>0</v>
      </c>
      <c r="I36" s="57">
        <f t="shared" si="7"/>
        <v>0</v>
      </c>
      <c r="J36" s="180" t="s">
        <v>137</v>
      </c>
      <c r="K36" s="182" t="s">
        <v>137</v>
      </c>
    </row>
    <row r="37" spans="1:11" ht="12.95" customHeight="1" x14ac:dyDescent="0.25">
      <c r="A37" s="22">
        <v>7</v>
      </c>
      <c r="B37" s="146"/>
      <c r="C37" s="22"/>
      <c r="D37" s="125" t="s">
        <v>95</v>
      </c>
      <c r="E37" s="125">
        <v>0</v>
      </c>
      <c r="F37" s="167">
        <v>0</v>
      </c>
      <c r="G37" s="126">
        <f t="shared" si="6"/>
        <v>0</v>
      </c>
      <c r="H37" s="127">
        <v>0</v>
      </c>
      <c r="I37" s="57">
        <f t="shared" si="7"/>
        <v>0</v>
      </c>
      <c r="J37" s="180" t="s">
        <v>137</v>
      </c>
      <c r="K37" s="182" t="s">
        <v>137</v>
      </c>
    </row>
    <row r="38" spans="1:11" ht="12.95" customHeight="1" x14ac:dyDescent="0.25">
      <c r="A38" s="22"/>
      <c r="B38" s="101" t="s">
        <v>37</v>
      </c>
      <c r="C38" s="22"/>
      <c r="D38" s="22"/>
      <c r="E38" s="102">
        <f>SUM(E31:E37)</f>
        <v>0</v>
      </c>
      <c r="F38" s="168">
        <f>SUM(F31:F37)</f>
        <v>0</v>
      </c>
      <c r="G38" s="103">
        <f>SUM(G31:G37)</f>
        <v>0</v>
      </c>
      <c r="H38" s="104" t="e">
        <f>I38/G38</f>
        <v>#DIV/0!</v>
      </c>
      <c r="I38" s="105">
        <f>SUM(I31:I37)</f>
        <v>0</v>
      </c>
      <c r="J38" s="180"/>
    </row>
    <row r="39" spans="1:11" ht="12.95" customHeight="1" x14ac:dyDescent="0.25">
      <c r="A39" s="22">
        <v>1</v>
      </c>
      <c r="B39" s="146" t="s">
        <v>90</v>
      </c>
      <c r="C39" s="22"/>
      <c r="D39" s="125" t="s">
        <v>17</v>
      </c>
      <c r="E39" s="125">
        <v>0</v>
      </c>
      <c r="F39" s="167">
        <v>0</v>
      </c>
      <c r="G39" s="126">
        <f t="shared" ref="G39:G45" si="8">E39*F39</f>
        <v>0</v>
      </c>
      <c r="H39" s="127">
        <v>0</v>
      </c>
      <c r="I39" s="57">
        <f>G39*H39</f>
        <v>0</v>
      </c>
      <c r="J39" s="180" t="s">
        <v>137</v>
      </c>
      <c r="K39" s="182" t="s">
        <v>137</v>
      </c>
    </row>
    <row r="40" spans="1:11" ht="12.95" customHeight="1" x14ac:dyDescent="0.25">
      <c r="A40" s="22">
        <v>2</v>
      </c>
      <c r="B40" s="146"/>
      <c r="C40" s="22"/>
      <c r="D40" s="125" t="s">
        <v>14</v>
      </c>
      <c r="E40" s="125">
        <v>0</v>
      </c>
      <c r="F40" s="167">
        <v>0</v>
      </c>
      <c r="G40" s="126">
        <f t="shared" si="8"/>
        <v>0</v>
      </c>
      <c r="H40" s="127">
        <v>0</v>
      </c>
      <c r="I40" s="57">
        <f t="shared" ref="I40:I45" si="9">G40*H40</f>
        <v>0</v>
      </c>
      <c r="J40" s="180" t="s">
        <v>137</v>
      </c>
      <c r="K40" s="182" t="s">
        <v>137</v>
      </c>
    </row>
    <row r="41" spans="1:11" ht="12.95" customHeight="1" x14ac:dyDescent="0.25">
      <c r="A41" s="22">
        <v>3</v>
      </c>
      <c r="B41" s="146"/>
      <c r="C41" s="22"/>
      <c r="D41" s="125" t="s">
        <v>18</v>
      </c>
      <c r="E41" s="125">
        <v>0</v>
      </c>
      <c r="F41" s="167">
        <v>0</v>
      </c>
      <c r="G41" s="126">
        <f t="shared" si="8"/>
        <v>0</v>
      </c>
      <c r="H41" s="127">
        <v>0</v>
      </c>
      <c r="I41" s="57">
        <f t="shared" si="9"/>
        <v>0</v>
      </c>
      <c r="J41" s="180" t="s">
        <v>137</v>
      </c>
      <c r="K41" s="182" t="s">
        <v>137</v>
      </c>
    </row>
    <row r="42" spans="1:11" ht="12.95" customHeight="1" x14ac:dyDescent="0.25">
      <c r="A42" s="22">
        <v>4</v>
      </c>
      <c r="B42" s="146"/>
      <c r="C42" s="22"/>
      <c r="D42" s="125" t="s">
        <v>19</v>
      </c>
      <c r="E42" s="125">
        <v>0</v>
      </c>
      <c r="F42" s="167">
        <v>0</v>
      </c>
      <c r="G42" s="126">
        <f t="shared" si="8"/>
        <v>0</v>
      </c>
      <c r="H42" s="127">
        <v>0</v>
      </c>
      <c r="I42" s="57">
        <f t="shared" si="9"/>
        <v>0</v>
      </c>
      <c r="J42" s="180" t="s">
        <v>137</v>
      </c>
      <c r="K42" s="182" t="s">
        <v>137</v>
      </c>
    </row>
    <row r="43" spans="1:11" ht="12.95" customHeight="1" x14ac:dyDescent="0.25">
      <c r="A43" s="22">
        <v>5</v>
      </c>
      <c r="B43" s="146"/>
      <c r="C43" s="22"/>
      <c r="D43" s="125" t="s">
        <v>15</v>
      </c>
      <c r="E43" s="125">
        <v>0</v>
      </c>
      <c r="F43" s="167">
        <v>0</v>
      </c>
      <c r="G43" s="126">
        <f t="shared" si="8"/>
        <v>0</v>
      </c>
      <c r="H43" s="127">
        <v>0</v>
      </c>
      <c r="I43" s="57">
        <f t="shared" si="9"/>
        <v>0</v>
      </c>
      <c r="J43" s="180" t="s">
        <v>137</v>
      </c>
      <c r="K43" s="182" t="s">
        <v>137</v>
      </c>
    </row>
    <row r="44" spans="1:11" ht="12.95" customHeight="1" x14ac:dyDescent="0.25">
      <c r="A44" s="22">
        <v>6</v>
      </c>
      <c r="B44" s="146"/>
      <c r="C44" s="22"/>
      <c r="D44" s="125" t="s">
        <v>94</v>
      </c>
      <c r="E44" s="125">
        <v>0</v>
      </c>
      <c r="F44" s="167">
        <v>0</v>
      </c>
      <c r="G44" s="126">
        <f t="shared" si="8"/>
        <v>0</v>
      </c>
      <c r="H44" s="127">
        <v>0</v>
      </c>
      <c r="I44" s="57">
        <f t="shared" si="9"/>
        <v>0</v>
      </c>
      <c r="J44" s="180" t="s">
        <v>137</v>
      </c>
      <c r="K44" s="182" t="s">
        <v>137</v>
      </c>
    </row>
    <row r="45" spans="1:11" ht="12.95" customHeight="1" x14ac:dyDescent="0.25">
      <c r="A45" s="22">
        <v>7</v>
      </c>
      <c r="B45" s="146"/>
      <c r="C45" s="22"/>
      <c r="D45" s="125" t="s">
        <v>95</v>
      </c>
      <c r="E45" s="125">
        <v>0</v>
      </c>
      <c r="F45" s="167">
        <v>0</v>
      </c>
      <c r="G45" s="126">
        <f t="shared" si="8"/>
        <v>0</v>
      </c>
      <c r="H45" s="127">
        <v>0</v>
      </c>
      <c r="I45" s="57">
        <f t="shared" si="9"/>
        <v>0</v>
      </c>
      <c r="J45" s="180" t="s">
        <v>137</v>
      </c>
      <c r="K45" s="182" t="s">
        <v>137</v>
      </c>
    </row>
    <row r="46" spans="1:11" ht="12.95" customHeight="1" x14ac:dyDescent="0.25">
      <c r="A46" s="22"/>
      <c r="B46" s="101" t="s">
        <v>91</v>
      </c>
      <c r="C46" s="22"/>
      <c r="D46" s="22"/>
      <c r="E46" s="102">
        <f>SUM(E39:E45)</f>
        <v>0</v>
      </c>
      <c r="F46" s="168">
        <f>SUM(F39:F45)</f>
        <v>0</v>
      </c>
      <c r="G46" s="103">
        <f>SUM(G39:G45)</f>
        <v>0</v>
      </c>
      <c r="H46" s="104" t="e">
        <f>I46/G46</f>
        <v>#DIV/0!</v>
      </c>
      <c r="I46" s="105">
        <f>SUM(I39:I45)</f>
        <v>0</v>
      </c>
      <c r="J46" s="180"/>
    </row>
    <row r="47" spans="1:11" ht="12.95" customHeight="1" x14ac:dyDescent="0.25">
      <c r="A47" s="22">
        <v>1</v>
      </c>
      <c r="B47" s="146" t="s">
        <v>92</v>
      </c>
      <c r="C47" s="22"/>
      <c r="D47" s="125" t="s">
        <v>17</v>
      </c>
      <c r="E47" s="125">
        <v>0</v>
      </c>
      <c r="F47" s="167">
        <v>0</v>
      </c>
      <c r="G47" s="126">
        <f t="shared" ref="G47:G53" si="10">E47*F47</f>
        <v>0</v>
      </c>
      <c r="H47" s="127">
        <v>0</v>
      </c>
      <c r="I47" s="57">
        <f>G47*H47</f>
        <v>0</v>
      </c>
      <c r="J47" s="180" t="s">
        <v>137</v>
      </c>
      <c r="K47" s="182" t="s">
        <v>137</v>
      </c>
    </row>
    <row r="48" spans="1:11" ht="12.95" customHeight="1" x14ac:dyDescent="0.25">
      <c r="A48" s="22">
        <v>2</v>
      </c>
      <c r="B48" s="146"/>
      <c r="C48" s="22"/>
      <c r="D48" s="125" t="s">
        <v>14</v>
      </c>
      <c r="E48" s="125">
        <v>0</v>
      </c>
      <c r="F48" s="167">
        <v>0</v>
      </c>
      <c r="G48" s="126">
        <f t="shared" si="10"/>
        <v>0</v>
      </c>
      <c r="H48" s="127">
        <v>0</v>
      </c>
      <c r="I48" s="57">
        <f t="shared" ref="I48:I53" si="11">G48*H48</f>
        <v>0</v>
      </c>
      <c r="J48" s="180" t="s">
        <v>137</v>
      </c>
      <c r="K48" s="182" t="s">
        <v>137</v>
      </c>
    </row>
    <row r="49" spans="1:11" ht="12.95" customHeight="1" x14ac:dyDescent="0.25">
      <c r="A49" s="22">
        <v>3</v>
      </c>
      <c r="B49" s="146"/>
      <c r="C49" s="22"/>
      <c r="D49" s="125" t="s">
        <v>18</v>
      </c>
      <c r="E49" s="125">
        <v>0</v>
      </c>
      <c r="F49" s="167">
        <v>0</v>
      </c>
      <c r="G49" s="126">
        <f t="shared" si="10"/>
        <v>0</v>
      </c>
      <c r="H49" s="127">
        <v>0</v>
      </c>
      <c r="I49" s="57">
        <f t="shared" si="11"/>
        <v>0</v>
      </c>
      <c r="J49" s="180" t="s">
        <v>137</v>
      </c>
      <c r="K49" s="182" t="s">
        <v>137</v>
      </c>
    </row>
    <row r="50" spans="1:11" ht="12.95" customHeight="1" x14ac:dyDescent="0.25">
      <c r="A50" s="22">
        <v>4</v>
      </c>
      <c r="B50" s="146"/>
      <c r="C50" s="22"/>
      <c r="D50" s="125" t="s">
        <v>19</v>
      </c>
      <c r="E50" s="125">
        <v>0</v>
      </c>
      <c r="F50" s="167">
        <v>0</v>
      </c>
      <c r="G50" s="126">
        <f t="shared" si="10"/>
        <v>0</v>
      </c>
      <c r="H50" s="127">
        <v>0</v>
      </c>
      <c r="I50" s="57">
        <f t="shared" si="11"/>
        <v>0</v>
      </c>
      <c r="J50" s="180" t="s">
        <v>137</v>
      </c>
      <c r="K50" s="182" t="s">
        <v>137</v>
      </c>
    </row>
    <row r="51" spans="1:11" ht="12.95" customHeight="1" x14ac:dyDescent="0.25">
      <c r="A51" s="22">
        <v>5</v>
      </c>
      <c r="B51" s="146"/>
      <c r="C51" s="22"/>
      <c r="D51" s="125" t="s">
        <v>15</v>
      </c>
      <c r="E51" s="125">
        <v>0</v>
      </c>
      <c r="F51" s="167">
        <v>0</v>
      </c>
      <c r="G51" s="126">
        <f t="shared" si="10"/>
        <v>0</v>
      </c>
      <c r="H51" s="127">
        <v>0</v>
      </c>
      <c r="I51" s="57">
        <f t="shared" si="11"/>
        <v>0</v>
      </c>
      <c r="J51" s="180" t="s">
        <v>137</v>
      </c>
      <c r="K51" s="182" t="s">
        <v>137</v>
      </c>
    </row>
    <row r="52" spans="1:11" ht="12.95" customHeight="1" x14ac:dyDescent="0.25">
      <c r="A52" s="22">
        <v>6</v>
      </c>
      <c r="B52" s="146"/>
      <c r="C52" s="22"/>
      <c r="D52" s="125" t="s">
        <v>94</v>
      </c>
      <c r="E52" s="125">
        <v>0</v>
      </c>
      <c r="F52" s="167">
        <v>0</v>
      </c>
      <c r="G52" s="126">
        <f t="shared" si="10"/>
        <v>0</v>
      </c>
      <c r="H52" s="127">
        <v>0</v>
      </c>
      <c r="I52" s="57">
        <f t="shared" si="11"/>
        <v>0</v>
      </c>
      <c r="J52" s="180" t="s">
        <v>137</v>
      </c>
      <c r="K52" s="182" t="s">
        <v>137</v>
      </c>
    </row>
    <row r="53" spans="1:11" ht="12.95" customHeight="1" x14ac:dyDescent="0.25">
      <c r="A53" s="22">
        <v>7</v>
      </c>
      <c r="B53" s="146"/>
      <c r="C53" s="22"/>
      <c r="D53" s="125" t="s">
        <v>95</v>
      </c>
      <c r="E53" s="125">
        <v>0</v>
      </c>
      <c r="F53" s="167">
        <v>0</v>
      </c>
      <c r="G53" s="126">
        <f t="shared" si="10"/>
        <v>0</v>
      </c>
      <c r="H53" s="127">
        <v>0</v>
      </c>
      <c r="I53" s="57">
        <f t="shared" si="11"/>
        <v>0</v>
      </c>
      <c r="J53" s="180" t="s">
        <v>137</v>
      </c>
      <c r="K53" s="182" t="s">
        <v>137</v>
      </c>
    </row>
    <row r="54" spans="1:11" ht="12.95" customHeight="1" x14ac:dyDescent="0.25">
      <c r="A54" s="22"/>
      <c r="B54" s="101" t="s">
        <v>93</v>
      </c>
      <c r="C54" s="22"/>
      <c r="D54" s="22"/>
      <c r="E54" s="106">
        <f>SUM(E47:E53)</f>
        <v>0</v>
      </c>
      <c r="F54" s="169">
        <f>SUM(F47:F53)</f>
        <v>0</v>
      </c>
      <c r="G54" s="107">
        <f>SUM(G47:G53)</f>
        <v>0</v>
      </c>
      <c r="H54" s="104" t="e">
        <f>I54/G54</f>
        <v>#DIV/0!</v>
      </c>
      <c r="I54" s="108">
        <f>SUM(I47:I53)</f>
        <v>0</v>
      </c>
      <c r="J54" s="180"/>
      <c r="K54" s="183"/>
    </row>
    <row r="55" spans="1:11" ht="14.25" customHeight="1" x14ac:dyDescent="0.25">
      <c r="A55" s="22"/>
      <c r="B55" s="109" t="s">
        <v>38</v>
      </c>
      <c r="C55" s="110" t="s">
        <v>39</v>
      </c>
      <c r="D55" s="110" t="s">
        <v>39</v>
      </c>
      <c r="E55" s="110" t="s">
        <v>39</v>
      </c>
      <c r="F55" s="170" t="s">
        <v>39</v>
      </c>
      <c r="G55" s="110" t="s">
        <v>39</v>
      </c>
      <c r="H55" s="110" t="s">
        <v>39</v>
      </c>
      <c r="I55" s="111">
        <f>I14+I38+I46+I54+I30+I22</f>
        <v>0</v>
      </c>
      <c r="J55" s="180"/>
    </row>
    <row r="58" spans="1:11" ht="15.75" x14ac:dyDescent="0.25">
      <c r="A58" s="139" t="s">
        <v>124</v>
      </c>
      <c r="B58" s="139"/>
      <c r="C58" s="139"/>
      <c r="H58" s="147" t="s">
        <v>20</v>
      </c>
      <c r="I58" s="147"/>
      <c r="J58" s="184"/>
    </row>
    <row r="59" spans="1:11" ht="36" customHeight="1" x14ac:dyDescent="0.25">
      <c r="A59" s="133" t="s">
        <v>12</v>
      </c>
      <c r="B59" s="133"/>
      <c r="C59" s="133"/>
      <c r="H59" s="40" t="s">
        <v>22</v>
      </c>
      <c r="I59" s="58"/>
      <c r="J59" s="184"/>
    </row>
    <row r="60" spans="1:11" ht="15" customHeight="1" x14ac:dyDescent="0.25">
      <c r="A60" s="134" t="s">
        <v>1</v>
      </c>
      <c r="B60" s="134"/>
      <c r="C60" s="134"/>
      <c r="H60" s="134" t="s">
        <v>1</v>
      </c>
      <c r="I60" s="134"/>
      <c r="J60" s="184"/>
    </row>
    <row r="61" spans="1:11" ht="15.75" x14ac:dyDescent="0.25">
      <c r="A61" s="25"/>
      <c r="B61" s="10"/>
      <c r="C61" s="10"/>
      <c r="D61" s="10"/>
      <c r="E61" s="10"/>
      <c r="F61" s="10"/>
      <c r="G61" s="25"/>
    </row>
    <row r="62" spans="1:11" ht="17.25" customHeight="1" x14ac:dyDescent="0.25">
      <c r="A62" s="143" t="s">
        <v>11</v>
      </c>
      <c r="B62" s="143"/>
      <c r="C62" s="143"/>
      <c r="D62" s="10"/>
      <c r="E62" s="10"/>
      <c r="F62" s="10"/>
      <c r="G62" s="25"/>
    </row>
    <row r="63" spans="1:11" ht="39" customHeight="1" x14ac:dyDescent="0.25">
      <c r="A63" s="140" t="s">
        <v>125</v>
      </c>
      <c r="B63" s="140"/>
      <c r="C63" s="140"/>
      <c r="D63" s="39"/>
      <c r="E63" s="39"/>
      <c r="F63" s="39"/>
      <c r="G63" s="132"/>
    </row>
    <row r="64" spans="1:11" ht="15" customHeight="1" x14ac:dyDescent="0.25">
      <c r="A64" s="134" t="s">
        <v>1</v>
      </c>
      <c r="B64" s="134"/>
      <c r="C64" s="134"/>
      <c r="D64" s="10"/>
      <c r="E64" s="10"/>
      <c r="F64" s="10"/>
      <c r="G64" s="132"/>
    </row>
    <row r="65" spans="1:7" ht="15.75" x14ac:dyDescent="0.25">
      <c r="A65" s="10"/>
      <c r="B65" s="25"/>
      <c r="C65" s="10"/>
      <c r="D65" s="10"/>
      <c r="E65" s="10"/>
      <c r="F65" s="10"/>
      <c r="G65" s="132"/>
    </row>
    <row r="66" spans="1:7" x14ac:dyDescent="0.25">
      <c r="A66" s="10"/>
      <c r="B66" s="10"/>
      <c r="C66" s="10"/>
      <c r="D66" s="10"/>
      <c r="E66" s="10"/>
      <c r="F66" s="10"/>
      <c r="G66" s="132"/>
    </row>
    <row r="67" spans="1:7" x14ac:dyDescent="0.25">
      <c r="A67" s="10"/>
      <c r="B67" s="10"/>
      <c r="C67" s="10"/>
      <c r="D67" s="10"/>
      <c r="E67" s="10"/>
      <c r="F67" s="10"/>
      <c r="G67" s="132"/>
    </row>
    <row r="68" spans="1:7" x14ac:dyDescent="0.25">
      <c r="A68" s="10"/>
      <c r="B68" s="10"/>
      <c r="C68" s="10"/>
      <c r="D68" s="10"/>
      <c r="E68" s="10"/>
      <c r="F68" s="10"/>
      <c r="G68" s="132"/>
    </row>
    <row r="69" spans="1:7" x14ac:dyDescent="0.25">
      <c r="A69" s="10"/>
      <c r="B69" s="10"/>
      <c r="C69" s="10"/>
      <c r="D69" s="10"/>
      <c r="E69" s="10"/>
      <c r="F69" s="10"/>
      <c r="G69" s="132"/>
    </row>
    <row r="70" spans="1:7" x14ac:dyDescent="0.25">
      <c r="A70" s="10"/>
      <c r="B70" s="10"/>
      <c r="C70" s="10"/>
      <c r="D70" s="10"/>
      <c r="E70" s="10"/>
      <c r="F70" s="10"/>
      <c r="G70" s="132"/>
    </row>
    <row r="71" spans="1:7" x14ac:dyDescent="0.25">
      <c r="A71" s="10"/>
      <c r="B71" s="10"/>
      <c r="C71" s="10"/>
      <c r="D71" s="10"/>
      <c r="E71" s="10"/>
      <c r="F71" s="10"/>
      <c r="G71" s="132"/>
    </row>
    <row r="72" spans="1:7" ht="15.75" x14ac:dyDescent="0.25">
      <c r="A72" s="10"/>
      <c r="B72" s="25"/>
      <c r="C72" s="10"/>
      <c r="D72" s="10"/>
      <c r="E72" s="10"/>
      <c r="F72" s="10"/>
      <c r="G72" s="132"/>
    </row>
  </sheetData>
  <mergeCells count="24">
    <mergeCell ref="G4:G5"/>
    <mergeCell ref="G63:G72"/>
    <mergeCell ref="A58:C58"/>
    <mergeCell ref="A59:C59"/>
    <mergeCell ref="A64:C64"/>
    <mergeCell ref="A63:C63"/>
    <mergeCell ref="A60:C60"/>
    <mergeCell ref="A62:C62"/>
    <mergeCell ref="B2:I2"/>
    <mergeCell ref="B3:I3"/>
    <mergeCell ref="H60:I60"/>
    <mergeCell ref="C4:C5"/>
    <mergeCell ref="B15:B21"/>
    <mergeCell ref="B23:B29"/>
    <mergeCell ref="H58:I58"/>
    <mergeCell ref="F4:F5"/>
    <mergeCell ref="B39:B45"/>
    <mergeCell ref="B47:B53"/>
    <mergeCell ref="H4:H5"/>
    <mergeCell ref="B7:B13"/>
    <mergeCell ref="B31:B37"/>
    <mergeCell ref="B4:B5"/>
    <mergeCell ref="D4:D5"/>
    <mergeCell ref="E4:E5"/>
  </mergeCells>
  <pageMargins left="0.7" right="0.7" top="0.75" bottom="0.75" header="0.3" footer="0.3"/>
  <pageSetup paperSize="9" scale="9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9"/>
  <sheetViews>
    <sheetView view="pageBreakPreview" zoomScaleNormal="100" zoomScaleSheetLayoutView="100" workbookViewId="0">
      <selection activeCell="H4" sqref="H4"/>
    </sheetView>
  </sheetViews>
  <sheetFormatPr defaultRowHeight="15" x14ac:dyDescent="0.25"/>
  <cols>
    <col min="1" max="1" width="8.5703125" style="83" customWidth="1"/>
    <col min="2" max="2" width="19.85546875" style="83" customWidth="1"/>
    <col min="3" max="3" width="35.5703125" style="83" customWidth="1"/>
    <col min="4" max="4" width="19.7109375" style="83" customWidth="1"/>
    <col min="5" max="5" width="19.42578125" style="83" customWidth="1"/>
    <col min="6" max="6" width="19.7109375" style="83" customWidth="1"/>
    <col min="7" max="7" width="26.28515625" style="83" customWidth="1"/>
    <col min="8" max="16384" width="9.140625" style="83"/>
  </cols>
  <sheetData>
    <row r="1" spans="1:7" s="82" customFormat="1" ht="15.75" x14ac:dyDescent="0.25">
      <c r="A1" s="136" t="s">
        <v>111</v>
      </c>
      <c r="B1" s="136"/>
      <c r="C1" s="136"/>
      <c r="D1" s="136"/>
      <c r="E1" s="136"/>
      <c r="F1" s="136"/>
      <c r="G1" s="136"/>
    </row>
    <row r="2" spans="1:7" s="82" customFormat="1" ht="64.5" customHeight="1" x14ac:dyDescent="0.25">
      <c r="A2" s="136" t="str">
        <f>тема</f>
        <v>на выполнение научно-исследовательской работы по теме:
«ТЕМА»</v>
      </c>
      <c r="B2" s="136"/>
      <c r="C2" s="136"/>
      <c r="D2" s="136"/>
      <c r="E2" s="136"/>
      <c r="F2" s="136"/>
      <c r="G2" s="136"/>
    </row>
    <row r="3" spans="1:7" ht="63" customHeight="1" x14ac:dyDescent="0.25">
      <c r="A3" s="22" t="s">
        <v>8</v>
      </c>
      <c r="B3" s="22" t="s">
        <v>62</v>
      </c>
      <c r="C3" s="22" t="s">
        <v>82</v>
      </c>
      <c r="D3" s="22" t="s">
        <v>83</v>
      </c>
      <c r="E3" s="22" t="s">
        <v>84</v>
      </c>
      <c r="F3" s="22" t="s">
        <v>85</v>
      </c>
      <c r="G3" s="22" t="s">
        <v>86</v>
      </c>
    </row>
    <row r="4" spans="1:7" x14ac:dyDescent="0.25">
      <c r="A4" s="22">
        <v>1</v>
      </c>
      <c r="B4" s="22">
        <v>2</v>
      </c>
      <c r="C4" s="22">
        <v>3</v>
      </c>
      <c r="D4" s="22">
        <v>4</v>
      </c>
      <c r="E4" s="22">
        <v>5</v>
      </c>
      <c r="F4" s="22">
        <v>6</v>
      </c>
      <c r="G4" s="22">
        <v>7</v>
      </c>
    </row>
    <row r="5" spans="1:7" ht="30.75" customHeight="1" x14ac:dyDescent="0.25">
      <c r="A5" s="22" t="s">
        <v>21</v>
      </c>
      <c r="B5" s="22" t="s">
        <v>21</v>
      </c>
      <c r="C5" s="22" t="s">
        <v>21</v>
      </c>
      <c r="D5" s="22" t="s">
        <v>21</v>
      </c>
      <c r="E5" s="22" t="s">
        <v>21</v>
      </c>
      <c r="F5" s="22" t="s">
        <v>21</v>
      </c>
      <c r="G5" s="22" t="s">
        <v>21</v>
      </c>
    </row>
    <row r="6" spans="1:7" ht="30.75" customHeight="1" x14ac:dyDescent="0.25">
      <c r="A6" s="22" t="s">
        <v>21</v>
      </c>
      <c r="B6" s="22" t="s">
        <v>21</v>
      </c>
      <c r="C6" s="22" t="s">
        <v>21</v>
      </c>
      <c r="D6" s="22" t="s">
        <v>21</v>
      </c>
      <c r="E6" s="22" t="s">
        <v>21</v>
      </c>
      <c r="F6" s="22" t="s">
        <v>21</v>
      </c>
      <c r="G6" s="22" t="s">
        <v>21</v>
      </c>
    </row>
    <row r="7" spans="1:7" ht="30.75" customHeight="1" x14ac:dyDescent="0.25">
      <c r="A7" s="22" t="s">
        <v>21</v>
      </c>
      <c r="B7" s="22" t="s">
        <v>21</v>
      </c>
      <c r="C7" s="22" t="s">
        <v>21</v>
      </c>
      <c r="D7" s="22" t="s">
        <v>21</v>
      </c>
      <c r="E7" s="22" t="s">
        <v>21</v>
      </c>
      <c r="F7" s="22" t="s">
        <v>21</v>
      </c>
      <c r="G7" s="22" t="s">
        <v>21</v>
      </c>
    </row>
    <row r="8" spans="1:7" ht="15.75" customHeight="1" x14ac:dyDescent="0.25">
      <c r="A8" s="117"/>
      <c r="B8" s="116" t="s">
        <v>38</v>
      </c>
      <c r="C8" s="116" t="s">
        <v>67</v>
      </c>
      <c r="D8" s="116" t="s">
        <v>67</v>
      </c>
      <c r="E8" s="116" t="s">
        <v>67</v>
      </c>
      <c r="F8" s="116" t="s">
        <v>67</v>
      </c>
      <c r="G8" s="116" t="s">
        <v>21</v>
      </c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6"/>
    </row>
    <row r="11" spans="1:7" ht="15.75" x14ac:dyDescent="0.25">
      <c r="A11" s="139" t="s">
        <v>124</v>
      </c>
      <c r="B11" s="139"/>
      <c r="C11" s="139"/>
      <c r="D11" s="14"/>
      <c r="E11" s="140" t="s">
        <v>20</v>
      </c>
      <c r="F11" s="140"/>
      <c r="G11" s="140"/>
    </row>
    <row r="12" spans="1:7" ht="40.5" customHeight="1" x14ac:dyDescent="0.25">
      <c r="A12" s="140" t="s">
        <v>12</v>
      </c>
      <c r="B12" s="140"/>
      <c r="C12" s="140"/>
      <c r="D12" s="71"/>
      <c r="E12" s="140" t="s">
        <v>22</v>
      </c>
      <c r="F12" s="140"/>
      <c r="G12" s="140"/>
    </row>
    <row r="13" spans="1:7" ht="15.75" customHeight="1" x14ac:dyDescent="0.25">
      <c r="A13" s="134" t="s">
        <v>1</v>
      </c>
      <c r="B13" s="134"/>
      <c r="C13" s="134"/>
      <c r="D13" s="15"/>
      <c r="E13" s="137" t="s">
        <v>1</v>
      </c>
      <c r="F13" s="137"/>
      <c r="G13" s="137"/>
    </row>
    <row r="14" spans="1:7" ht="15.75" customHeight="1" x14ac:dyDescent="0.25">
      <c r="A14" s="78"/>
      <c r="B14" s="84"/>
      <c r="C14" s="84"/>
      <c r="D14" s="84"/>
      <c r="E14" s="84"/>
      <c r="F14" s="84"/>
      <c r="G14" s="78"/>
    </row>
    <row r="15" spans="1:7" ht="15.75" x14ac:dyDescent="0.25">
      <c r="A15" s="143" t="s">
        <v>11</v>
      </c>
      <c r="B15" s="143"/>
      <c r="C15" s="143"/>
      <c r="D15" s="84"/>
      <c r="E15" s="84"/>
      <c r="F15" s="84"/>
      <c r="G15" s="78"/>
    </row>
    <row r="16" spans="1:7" ht="38.25" customHeight="1" x14ac:dyDescent="0.25">
      <c r="A16" s="140" t="s">
        <v>125</v>
      </c>
      <c r="B16" s="140"/>
      <c r="C16" s="140"/>
      <c r="D16" s="85"/>
      <c r="E16" s="85"/>
      <c r="F16" s="85"/>
    </row>
    <row r="17" spans="1:6" ht="11.25" customHeight="1" x14ac:dyDescent="0.25">
      <c r="A17" s="134" t="s">
        <v>1</v>
      </c>
      <c r="B17" s="134"/>
      <c r="C17" s="134"/>
      <c r="D17" s="84"/>
      <c r="E17" s="84"/>
      <c r="F17" s="84"/>
    </row>
    <row r="18" spans="1:6" ht="15.75" x14ac:dyDescent="0.25">
      <c r="A18" s="84"/>
      <c r="B18" s="78"/>
      <c r="C18" s="84"/>
      <c r="D18" s="84"/>
      <c r="E18" s="84"/>
      <c r="F18" s="84"/>
    </row>
    <row r="19" spans="1:6" x14ac:dyDescent="0.25">
      <c r="A19" s="84"/>
      <c r="B19" s="84"/>
      <c r="C19" s="84"/>
      <c r="D19" s="84"/>
      <c r="E19" s="84"/>
      <c r="F19" s="84"/>
    </row>
  </sheetData>
  <mergeCells count="11">
    <mergeCell ref="A13:C13"/>
    <mergeCell ref="A16:C16"/>
    <mergeCell ref="A17:C17"/>
    <mergeCell ref="A1:G1"/>
    <mergeCell ref="A2:G2"/>
    <mergeCell ref="A11:C11"/>
    <mergeCell ref="E11:G11"/>
    <mergeCell ref="A12:C12"/>
    <mergeCell ref="E12:G12"/>
    <mergeCell ref="A15:C15"/>
    <mergeCell ref="E13:G13"/>
  </mergeCells>
  <pageMargins left="0.7" right="0.7" top="0.75" bottom="0.75" header="0.3" footer="0.3"/>
  <pageSetup paperSize="9" scale="8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0"/>
  <sheetViews>
    <sheetView view="pageBreakPreview" zoomScaleNormal="100" zoomScaleSheetLayoutView="100" workbookViewId="0">
      <selection activeCell="E4" sqref="E4"/>
    </sheetView>
  </sheetViews>
  <sheetFormatPr defaultRowHeight="15" x14ac:dyDescent="0.25"/>
  <cols>
    <col min="1" max="1" width="7.85546875" customWidth="1"/>
    <col min="2" max="2" width="42.28515625" customWidth="1"/>
    <col min="3" max="3" width="17.140625" customWidth="1"/>
    <col min="4" max="4" width="50.5703125" customWidth="1"/>
  </cols>
  <sheetData>
    <row r="1" spans="1:12" ht="15.75" x14ac:dyDescent="0.25">
      <c r="A1" s="136" t="s">
        <v>120</v>
      </c>
      <c r="B1" s="136"/>
      <c r="C1" s="136"/>
      <c r="D1" s="136"/>
    </row>
    <row r="2" spans="1:12" ht="39" customHeight="1" x14ac:dyDescent="0.25">
      <c r="A2" s="136" t="str">
        <f>тема</f>
        <v>на выполнение научно-исследовательской работы по теме:
«ТЕМА»</v>
      </c>
      <c r="B2" s="136"/>
      <c r="C2" s="136"/>
      <c r="D2" s="136"/>
      <c r="E2" s="14"/>
      <c r="F2" s="14"/>
      <c r="G2" s="14"/>
      <c r="H2" s="14"/>
      <c r="I2" s="14"/>
      <c r="J2" s="14"/>
      <c r="K2" s="14"/>
      <c r="L2" s="14"/>
    </row>
    <row r="3" spans="1:12" s="3" customFormat="1" ht="63" customHeight="1" x14ac:dyDescent="0.25">
      <c r="A3" s="110" t="s">
        <v>0</v>
      </c>
      <c r="B3" s="110" t="s">
        <v>5</v>
      </c>
      <c r="C3" s="110" t="s">
        <v>16</v>
      </c>
      <c r="D3" s="110" t="s">
        <v>6</v>
      </c>
    </row>
    <row r="4" spans="1:12" x14ac:dyDescent="0.25">
      <c r="A4" s="22">
        <v>1</v>
      </c>
      <c r="B4" s="22">
        <v>2</v>
      </c>
      <c r="C4" s="22">
        <v>3</v>
      </c>
      <c r="D4" s="22">
        <v>4</v>
      </c>
    </row>
    <row r="5" spans="1:12" x14ac:dyDescent="0.25">
      <c r="A5" s="146" t="s">
        <v>122</v>
      </c>
      <c r="B5" s="119" t="s">
        <v>21</v>
      </c>
      <c r="C5" s="119" t="s">
        <v>21</v>
      </c>
      <c r="D5" s="119" t="s">
        <v>21</v>
      </c>
    </row>
    <row r="6" spans="1:12" x14ac:dyDescent="0.25">
      <c r="A6" s="146"/>
      <c r="B6" s="120" t="s">
        <v>2</v>
      </c>
      <c r="C6" s="119" t="s">
        <v>21</v>
      </c>
      <c r="D6" s="119" t="s">
        <v>21</v>
      </c>
    </row>
    <row r="7" spans="1:12" x14ac:dyDescent="0.25">
      <c r="A7" s="146" t="s">
        <v>122</v>
      </c>
      <c r="B7" s="119" t="s">
        <v>21</v>
      </c>
      <c r="C7" s="119" t="s">
        <v>21</v>
      </c>
      <c r="D7" s="119" t="s">
        <v>21</v>
      </c>
    </row>
    <row r="8" spans="1:12" x14ac:dyDescent="0.25">
      <c r="A8" s="146"/>
      <c r="B8" s="120" t="s">
        <v>96</v>
      </c>
      <c r="C8" s="119" t="s">
        <v>21</v>
      </c>
      <c r="D8" s="119" t="s">
        <v>21</v>
      </c>
    </row>
    <row r="9" spans="1:12" x14ac:dyDescent="0.25">
      <c r="A9" s="146" t="s">
        <v>122</v>
      </c>
      <c r="B9" s="119" t="s">
        <v>21</v>
      </c>
      <c r="C9" s="119" t="s">
        <v>21</v>
      </c>
      <c r="D9" s="119" t="s">
        <v>21</v>
      </c>
    </row>
    <row r="10" spans="1:12" x14ac:dyDescent="0.25">
      <c r="A10" s="146"/>
      <c r="B10" s="120" t="s">
        <v>96</v>
      </c>
      <c r="C10" s="119" t="s">
        <v>21</v>
      </c>
      <c r="D10" s="119" t="s">
        <v>21</v>
      </c>
    </row>
    <row r="11" spans="1:12" ht="31.5" customHeight="1" x14ac:dyDescent="0.25">
      <c r="A11" s="151" t="s">
        <v>121</v>
      </c>
      <c r="B11" s="151"/>
      <c r="C11" s="119" t="s">
        <v>21</v>
      </c>
      <c r="D11" s="116" t="s">
        <v>67</v>
      </c>
    </row>
    <row r="12" spans="1:12" ht="45.75" customHeight="1" x14ac:dyDescent="0.25">
      <c r="A12" s="6"/>
    </row>
    <row r="13" spans="1:12" ht="15.75" x14ac:dyDescent="0.25">
      <c r="A13" s="139" t="s">
        <v>124</v>
      </c>
      <c r="B13" s="139"/>
      <c r="C13" s="70"/>
      <c r="D13" s="55" t="s">
        <v>20</v>
      </c>
      <c r="E13" s="53"/>
      <c r="F13" s="14"/>
      <c r="G13" s="14"/>
    </row>
    <row r="14" spans="1:12" ht="39" customHeight="1" x14ac:dyDescent="0.25">
      <c r="A14" s="133" t="s">
        <v>12</v>
      </c>
      <c r="B14" s="133"/>
      <c r="C14" s="71"/>
      <c r="D14" s="55" t="s">
        <v>22</v>
      </c>
      <c r="E14" s="37"/>
      <c r="F14" s="37"/>
      <c r="G14" s="37"/>
    </row>
    <row r="15" spans="1:12" x14ac:dyDescent="0.25">
      <c r="A15" s="134" t="s">
        <v>1</v>
      </c>
      <c r="B15" s="134"/>
      <c r="C15" s="15"/>
      <c r="D15" s="52" t="s">
        <v>1</v>
      </c>
      <c r="E15" s="52"/>
      <c r="F15" s="52"/>
      <c r="G15" s="52"/>
      <c r="H15" s="52"/>
    </row>
    <row r="16" spans="1:12" ht="15.75" x14ac:dyDescent="0.25">
      <c r="A16" s="140" t="s">
        <v>11</v>
      </c>
      <c r="B16" s="140"/>
      <c r="C16" s="14"/>
    </row>
    <row r="17" spans="1:3" ht="37.5" customHeight="1" x14ac:dyDescent="0.25">
      <c r="A17" s="140" t="s">
        <v>125</v>
      </c>
      <c r="B17" s="140"/>
      <c r="C17" s="72"/>
    </row>
    <row r="18" spans="1:3" ht="15" customHeight="1" x14ac:dyDescent="0.25">
      <c r="A18" s="134" t="s">
        <v>1</v>
      </c>
      <c r="B18" s="134"/>
      <c r="C18" s="15"/>
    </row>
    <row r="19" spans="1:3" x14ac:dyDescent="0.25">
      <c r="A19" s="73"/>
      <c r="B19" s="73"/>
      <c r="C19" s="73"/>
    </row>
    <row r="20" spans="1:3" x14ac:dyDescent="0.25">
      <c r="A20" s="73"/>
      <c r="B20" s="73"/>
      <c r="C20" s="73"/>
    </row>
  </sheetData>
  <mergeCells count="12">
    <mergeCell ref="A11:B11"/>
    <mergeCell ref="A1:D1"/>
    <mergeCell ref="A2:D2"/>
    <mergeCell ref="A9:A10"/>
    <mergeCell ref="A5:A6"/>
    <mergeCell ref="A7:A8"/>
    <mergeCell ref="A18:B18"/>
    <mergeCell ref="A15:B15"/>
    <mergeCell ref="A17:B17"/>
    <mergeCell ref="A13:B13"/>
    <mergeCell ref="A14:B14"/>
    <mergeCell ref="A16:B16"/>
  </mergeCells>
  <pageMargins left="0.9055118110236221" right="0.51181102362204722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view="pageBreakPreview" zoomScaleNormal="100" zoomScaleSheetLayoutView="100" workbookViewId="0">
      <selection activeCell="M11" sqref="M11"/>
    </sheetView>
  </sheetViews>
  <sheetFormatPr defaultRowHeight="15" x14ac:dyDescent="0.25"/>
  <cols>
    <col min="1" max="1" width="7.28515625" customWidth="1"/>
    <col min="2" max="2" width="33.7109375" customWidth="1"/>
    <col min="3" max="7" width="7.85546875" customWidth="1"/>
    <col min="8" max="8" width="12.140625" customWidth="1"/>
    <col min="9" max="9" width="7.85546875" customWidth="1"/>
    <col min="10" max="12" width="12.42578125" customWidth="1"/>
    <col min="13" max="13" width="10.85546875" customWidth="1"/>
  </cols>
  <sheetData>
    <row r="1" spans="1:14" s="9" customFormat="1" ht="18.75" customHeight="1" x14ac:dyDescent="0.25">
      <c r="B1" s="136" t="s">
        <v>113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80"/>
    </row>
    <row r="2" spans="1:14" s="9" customFormat="1" ht="60.75" customHeight="1" x14ac:dyDescent="0.25">
      <c r="B2" s="142" t="str">
        <f>тема</f>
        <v>на выполнение научно-исследовательской работы по теме:
«ТЕМА»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14" ht="78" customHeight="1" x14ac:dyDescent="0.25">
      <c r="A3" s="158" t="s">
        <v>61</v>
      </c>
      <c r="B3" s="158" t="s">
        <v>71</v>
      </c>
      <c r="C3" s="152" t="s">
        <v>72</v>
      </c>
      <c r="D3" s="152" t="s">
        <v>7</v>
      </c>
      <c r="E3" s="152" t="s">
        <v>73</v>
      </c>
      <c r="F3" s="154" t="s">
        <v>129</v>
      </c>
      <c r="G3" s="155"/>
      <c r="H3" s="156"/>
      <c r="I3" s="154" t="s">
        <v>123</v>
      </c>
      <c r="J3" s="155"/>
      <c r="K3" s="156"/>
      <c r="L3" s="158" t="s">
        <v>130</v>
      </c>
      <c r="M3" s="158" t="s">
        <v>0</v>
      </c>
      <c r="N3" s="44"/>
    </row>
    <row r="4" spans="1:14" ht="75.75" customHeight="1" x14ac:dyDescent="0.25">
      <c r="A4" s="159"/>
      <c r="B4" s="159"/>
      <c r="C4" s="153"/>
      <c r="D4" s="153"/>
      <c r="E4" s="153"/>
      <c r="F4" s="112" t="s">
        <v>74</v>
      </c>
      <c r="G4" s="112" t="s">
        <v>75</v>
      </c>
      <c r="H4" s="112" t="s">
        <v>76</v>
      </c>
      <c r="I4" s="112" t="s">
        <v>74</v>
      </c>
      <c r="J4" s="112" t="s">
        <v>75</v>
      </c>
      <c r="K4" s="112" t="s">
        <v>76</v>
      </c>
      <c r="L4" s="159"/>
      <c r="M4" s="159"/>
      <c r="N4" s="44"/>
    </row>
    <row r="5" spans="1:14" x14ac:dyDescent="0.25">
      <c r="A5" s="113">
        <v>1</v>
      </c>
      <c r="B5" s="113">
        <v>2</v>
      </c>
      <c r="C5" s="113">
        <v>3</v>
      </c>
      <c r="D5" s="113">
        <v>4</v>
      </c>
      <c r="E5" s="113">
        <v>5</v>
      </c>
      <c r="F5" s="113">
        <v>6</v>
      </c>
      <c r="G5" s="113">
        <v>7</v>
      </c>
      <c r="H5" s="113">
        <v>8</v>
      </c>
      <c r="I5" s="113">
        <v>9</v>
      </c>
      <c r="J5" s="113">
        <v>10</v>
      </c>
      <c r="K5" s="113">
        <v>11</v>
      </c>
      <c r="L5" s="113">
        <v>12</v>
      </c>
      <c r="M5" s="113">
        <v>13</v>
      </c>
    </row>
    <row r="6" spans="1:14" ht="18.75" customHeight="1" x14ac:dyDescent="0.25">
      <c r="A6" s="113">
        <v>1</v>
      </c>
      <c r="B6" s="114"/>
      <c r="C6" s="115">
        <v>0</v>
      </c>
      <c r="D6" s="115">
        <v>0</v>
      </c>
      <c r="E6" s="115">
        <v>0</v>
      </c>
      <c r="F6" s="60">
        <v>700</v>
      </c>
      <c r="G6" s="60">
        <v>0</v>
      </c>
      <c r="H6" s="60">
        <v>0</v>
      </c>
      <c r="I6" s="60">
        <f>F6*E6*C6</f>
        <v>0</v>
      </c>
      <c r="J6" s="60">
        <f>G6*C6</f>
        <v>0</v>
      </c>
      <c r="K6" s="60">
        <f>H6*C6</f>
        <v>0</v>
      </c>
      <c r="L6" s="60">
        <f>SUM(I6:K6)</f>
        <v>0</v>
      </c>
      <c r="M6" s="113">
        <v>1</v>
      </c>
    </row>
    <row r="7" spans="1:14" ht="18.75" customHeight="1" x14ac:dyDescent="0.25">
      <c r="A7" s="113">
        <v>2</v>
      </c>
      <c r="B7" s="114"/>
      <c r="C7" s="115">
        <v>0</v>
      </c>
      <c r="D7" s="115">
        <v>0</v>
      </c>
      <c r="E7" s="115">
        <v>2</v>
      </c>
      <c r="F7" s="60">
        <v>700</v>
      </c>
      <c r="G7" s="60">
        <v>0</v>
      </c>
      <c r="H7" s="60">
        <v>0</v>
      </c>
      <c r="I7" s="60">
        <f t="shared" ref="I7:I11" si="0">F7*E7*D7*C7</f>
        <v>0</v>
      </c>
      <c r="J7" s="60">
        <f t="shared" ref="J7:J11" si="1">G7*C7</f>
        <v>0</v>
      </c>
      <c r="K7" s="60">
        <f t="shared" ref="K7:K11" si="2">H7*C7</f>
        <v>0</v>
      </c>
      <c r="L7" s="60">
        <f t="shared" ref="L7:L11" si="3">SUM(I7:K7)</f>
        <v>0</v>
      </c>
      <c r="M7" s="113">
        <v>2</v>
      </c>
    </row>
    <row r="8" spans="1:14" ht="18.75" customHeight="1" x14ac:dyDescent="0.25">
      <c r="A8" s="113">
        <v>3</v>
      </c>
      <c r="B8" s="114"/>
      <c r="C8" s="115">
        <v>0</v>
      </c>
      <c r="D8" s="115">
        <v>0</v>
      </c>
      <c r="E8" s="115">
        <v>2</v>
      </c>
      <c r="F8" s="60">
        <v>700</v>
      </c>
      <c r="G8" s="60">
        <v>0</v>
      </c>
      <c r="H8" s="60">
        <v>0</v>
      </c>
      <c r="I8" s="60">
        <f t="shared" si="0"/>
        <v>0</v>
      </c>
      <c r="J8" s="60">
        <f t="shared" si="1"/>
        <v>0</v>
      </c>
      <c r="K8" s="60">
        <f t="shared" si="2"/>
        <v>0</v>
      </c>
      <c r="L8" s="60">
        <f t="shared" si="3"/>
        <v>0</v>
      </c>
      <c r="M8" s="113">
        <v>3</v>
      </c>
    </row>
    <row r="9" spans="1:14" ht="18.75" customHeight="1" x14ac:dyDescent="0.25">
      <c r="A9" s="113">
        <v>4</v>
      </c>
      <c r="B9" s="114"/>
      <c r="C9" s="115">
        <v>0</v>
      </c>
      <c r="D9" s="115">
        <v>0</v>
      </c>
      <c r="E9" s="115">
        <v>2</v>
      </c>
      <c r="F9" s="60">
        <v>700</v>
      </c>
      <c r="G9" s="60">
        <v>0</v>
      </c>
      <c r="H9" s="60">
        <v>0</v>
      </c>
      <c r="I9" s="60">
        <f t="shared" si="0"/>
        <v>0</v>
      </c>
      <c r="J9" s="60">
        <f t="shared" si="1"/>
        <v>0</v>
      </c>
      <c r="K9" s="60">
        <f t="shared" si="2"/>
        <v>0</v>
      </c>
      <c r="L9" s="60">
        <f t="shared" si="3"/>
        <v>0</v>
      </c>
      <c r="M9" s="113">
        <v>4</v>
      </c>
    </row>
    <row r="10" spans="1:14" ht="18.75" customHeight="1" x14ac:dyDescent="0.25">
      <c r="A10" s="113">
        <v>5</v>
      </c>
      <c r="B10" s="114"/>
      <c r="C10" s="115">
        <v>0</v>
      </c>
      <c r="D10" s="115">
        <v>0</v>
      </c>
      <c r="E10" s="115">
        <v>2</v>
      </c>
      <c r="F10" s="60">
        <v>700</v>
      </c>
      <c r="G10" s="60">
        <v>0</v>
      </c>
      <c r="H10" s="60">
        <v>0</v>
      </c>
      <c r="I10" s="60">
        <f t="shared" si="0"/>
        <v>0</v>
      </c>
      <c r="J10" s="60">
        <f t="shared" si="1"/>
        <v>0</v>
      </c>
      <c r="K10" s="60">
        <f t="shared" si="2"/>
        <v>0</v>
      </c>
      <c r="L10" s="60">
        <f t="shared" si="3"/>
        <v>0</v>
      </c>
      <c r="M10" s="113">
        <v>5</v>
      </c>
    </row>
    <row r="11" spans="1:14" ht="18.75" customHeight="1" x14ac:dyDescent="0.25">
      <c r="A11" s="113">
        <v>6</v>
      </c>
      <c r="B11" s="114"/>
      <c r="C11" s="115">
        <v>0</v>
      </c>
      <c r="D11" s="115">
        <v>0</v>
      </c>
      <c r="E11" s="115">
        <v>2</v>
      </c>
      <c r="F11" s="60">
        <v>700</v>
      </c>
      <c r="G11" s="60">
        <v>0</v>
      </c>
      <c r="H11" s="60">
        <v>0</v>
      </c>
      <c r="I11" s="60">
        <f t="shared" si="0"/>
        <v>0</v>
      </c>
      <c r="J11" s="60">
        <f t="shared" si="1"/>
        <v>0</v>
      </c>
      <c r="K11" s="60">
        <f t="shared" si="2"/>
        <v>0</v>
      </c>
      <c r="L11" s="60">
        <f t="shared" si="3"/>
        <v>0</v>
      </c>
      <c r="M11" s="113">
        <v>6</v>
      </c>
    </row>
    <row r="12" spans="1:14" s="45" customFormat="1" ht="15.75" customHeight="1" x14ac:dyDescent="0.25">
      <c r="A12" s="116"/>
      <c r="B12" s="117" t="s">
        <v>38</v>
      </c>
      <c r="C12" s="116" t="s">
        <v>67</v>
      </c>
      <c r="D12" s="116" t="s">
        <v>67</v>
      </c>
      <c r="E12" s="116" t="s">
        <v>67</v>
      </c>
      <c r="F12" s="116" t="s">
        <v>67</v>
      </c>
      <c r="G12" s="116" t="s">
        <v>67</v>
      </c>
      <c r="H12" s="116" t="s">
        <v>67</v>
      </c>
      <c r="I12" s="116" t="s">
        <v>67</v>
      </c>
      <c r="J12" s="116" t="s">
        <v>67</v>
      </c>
      <c r="K12" s="116" t="s">
        <v>67</v>
      </c>
      <c r="L12" s="118">
        <f>SUM(L6:L11)</f>
        <v>0</v>
      </c>
      <c r="M12" s="116" t="s">
        <v>67</v>
      </c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4" ht="15.75" x14ac:dyDescent="0.25">
      <c r="K14" s="7"/>
      <c r="L14" s="8"/>
    </row>
    <row r="15" spans="1:14" ht="15.75" x14ac:dyDescent="0.25">
      <c r="A15" s="139" t="s">
        <v>124</v>
      </c>
      <c r="B15" s="139"/>
      <c r="C15" s="139"/>
      <c r="H15" s="140" t="s">
        <v>20</v>
      </c>
      <c r="I15" s="140"/>
      <c r="J15" s="140"/>
      <c r="K15" s="140"/>
      <c r="L15" s="140"/>
      <c r="M15" s="140"/>
    </row>
    <row r="16" spans="1:14" ht="36" customHeight="1" x14ac:dyDescent="0.25">
      <c r="A16" s="133" t="s">
        <v>12</v>
      </c>
      <c r="B16" s="133"/>
      <c r="C16" s="133"/>
      <c r="H16" s="140" t="s">
        <v>22</v>
      </c>
      <c r="I16" s="140"/>
      <c r="J16" s="140"/>
      <c r="K16" s="140"/>
      <c r="L16" s="140"/>
      <c r="M16" s="140"/>
    </row>
    <row r="17" spans="1:13" s="75" customFormat="1" ht="36" customHeight="1" x14ac:dyDescent="0.25">
      <c r="A17" s="160" t="s">
        <v>1</v>
      </c>
      <c r="B17" s="160"/>
      <c r="C17" s="160"/>
      <c r="H17" s="157" t="s">
        <v>1</v>
      </c>
      <c r="I17" s="157"/>
      <c r="J17" s="157"/>
      <c r="K17" s="157"/>
      <c r="L17" s="157"/>
      <c r="M17" s="157"/>
    </row>
    <row r="18" spans="1:13" ht="15.75" x14ac:dyDescent="0.25">
      <c r="A18" s="143" t="s">
        <v>11</v>
      </c>
      <c r="B18" s="143"/>
      <c r="C18" s="143"/>
    </row>
    <row r="19" spans="1:13" ht="35.25" customHeight="1" x14ac:dyDescent="0.25">
      <c r="A19" s="140" t="s">
        <v>125</v>
      </c>
      <c r="B19" s="140"/>
      <c r="C19" s="140"/>
    </row>
    <row r="20" spans="1:13" x14ac:dyDescent="0.25">
      <c r="A20" s="134" t="s">
        <v>1</v>
      </c>
      <c r="B20" s="134"/>
      <c r="C20" s="134"/>
    </row>
  </sheetData>
  <mergeCells count="20">
    <mergeCell ref="H17:M17"/>
    <mergeCell ref="A19:C19"/>
    <mergeCell ref="A20:C20"/>
    <mergeCell ref="L3:L4"/>
    <mergeCell ref="B3:B4"/>
    <mergeCell ref="C3:C4"/>
    <mergeCell ref="A3:A4"/>
    <mergeCell ref="A15:C15"/>
    <mergeCell ref="A16:C16"/>
    <mergeCell ref="A18:C18"/>
    <mergeCell ref="A17:C17"/>
    <mergeCell ref="H15:M15"/>
    <mergeCell ref="M3:M4"/>
    <mergeCell ref="H16:M16"/>
    <mergeCell ref="D3:D4"/>
    <mergeCell ref="E3:E4"/>
    <mergeCell ref="F3:H3"/>
    <mergeCell ref="I3:K3"/>
    <mergeCell ref="B1:L1"/>
    <mergeCell ref="B2:L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24"/>
  <sheetViews>
    <sheetView view="pageBreakPreview" zoomScaleNormal="100" zoomScaleSheetLayoutView="100" workbookViewId="0">
      <selection activeCell="E8" sqref="E8"/>
    </sheetView>
  </sheetViews>
  <sheetFormatPr defaultRowHeight="15" x14ac:dyDescent="0.25"/>
  <cols>
    <col min="1" max="3" width="15.140625" customWidth="1"/>
    <col min="4" max="4" width="26.140625" customWidth="1"/>
    <col min="5" max="5" width="21.85546875" customWidth="1"/>
  </cols>
  <sheetData>
    <row r="1" spans="1:9" ht="15.75" x14ac:dyDescent="0.25">
      <c r="A1" s="161" t="s">
        <v>97</v>
      </c>
      <c r="B1" s="161"/>
      <c r="C1" s="161"/>
      <c r="D1" s="161"/>
      <c r="E1" s="161"/>
    </row>
    <row r="2" spans="1:9" ht="15.75" x14ac:dyDescent="0.25">
      <c r="A2" s="161" t="s">
        <v>98</v>
      </c>
      <c r="B2" s="161"/>
      <c r="C2" s="161"/>
      <c r="D2" s="161"/>
      <c r="E2" s="161"/>
    </row>
    <row r="3" spans="1:9" ht="53.25" customHeight="1" x14ac:dyDescent="0.25">
      <c r="A3" s="162" t="str">
        <f>тема</f>
        <v>на выполнение научно-исследовательской работы по теме:
«ТЕМА»</v>
      </c>
      <c r="B3" s="162"/>
      <c r="C3" s="162"/>
      <c r="D3" s="162"/>
      <c r="E3" s="162"/>
      <c r="F3" s="76"/>
      <c r="G3" s="76"/>
      <c r="H3" s="76"/>
      <c r="I3" s="77"/>
    </row>
    <row r="4" spans="1:9" s="66" customFormat="1" ht="110.25" customHeight="1" x14ac:dyDescent="0.25">
      <c r="A4" s="146" t="s">
        <v>107</v>
      </c>
      <c r="B4" s="146"/>
      <c r="C4" s="146"/>
      <c r="D4" s="163" t="s">
        <v>108</v>
      </c>
      <c r="E4" s="146" t="s">
        <v>109</v>
      </c>
    </row>
    <row r="5" spans="1:9" ht="32.25" customHeight="1" x14ac:dyDescent="0.25">
      <c r="A5" s="146" t="s">
        <v>131</v>
      </c>
      <c r="B5" s="146"/>
      <c r="C5" s="22" t="s">
        <v>99</v>
      </c>
      <c r="D5" s="164"/>
      <c r="E5" s="146"/>
    </row>
    <row r="6" spans="1:9" ht="32.25" customHeight="1" x14ac:dyDescent="0.25">
      <c r="A6" s="22" t="s">
        <v>100</v>
      </c>
      <c r="B6" s="22" t="s">
        <v>101</v>
      </c>
      <c r="C6" s="22" t="s">
        <v>110</v>
      </c>
      <c r="D6" s="165"/>
      <c r="E6" s="146"/>
    </row>
    <row r="7" spans="1:9" x14ac:dyDescent="0.25">
      <c r="A7" s="22">
        <v>1</v>
      </c>
      <c r="B7" s="22">
        <v>2</v>
      </c>
      <c r="C7" s="22">
        <v>3</v>
      </c>
      <c r="D7" s="22">
        <v>4</v>
      </c>
      <c r="E7" s="22">
        <v>5</v>
      </c>
    </row>
    <row r="8" spans="1:9" ht="41.25" customHeight="1" x14ac:dyDescent="0.25">
      <c r="A8" s="113" t="s">
        <v>132</v>
      </c>
      <c r="B8" s="113" t="s">
        <v>132</v>
      </c>
      <c r="C8" s="113" t="s">
        <v>132</v>
      </c>
      <c r="D8" s="113" t="s">
        <v>132</v>
      </c>
      <c r="E8" s="121">
        <v>0</v>
      </c>
    </row>
    <row r="9" spans="1:9" ht="15.75" x14ac:dyDescent="0.25">
      <c r="A9" s="67"/>
    </row>
    <row r="10" spans="1:9" ht="15.75" x14ac:dyDescent="0.25">
      <c r="A10" s="136" t="s">
        <v>4</v>
      </c>
      <c r="B10" s="136"/>
      <c r="C10" s="136"/>
      <c r="D10" s="136" t="s">
        <v>20</v>
      </c>
      <c r="E10" s="136"/>
    </row>
    <row r="11" spans="1:9" ht="31.5" customHeight="1" x14ac:dyDescent="0.25">
      <c r="A11" s="166" t="s">
        <v>102</v>
      </c>
      <c r="B11" s="166"/>
      <c r="C11" s="166"/>
      <c r="D11" s="166" t="s">
        <v>22</v>
      </c>
      <c r="E11" s="166"/>
    </row>
    <row r="12" spans="1:9" ht="15" customHeight="1" x14ac:dyDescent="0.25">
      <c r="A12" s="138" t="s">
        <v>1</v>
      </c>
      <c r="B12" s="138"/>
      <c r="C12" s="138"/>
      <c r="D12" s="138" t="s">
        <v>1</v>
      </c>
      <c r="E12" s="138"/>
    </row>
    <row r="13" spans="1:9" ht="18.75" x14ac:dyDescent="0.25">
      <c r="A13" s="54"/>
      <c r="B13" s="68"/>
    </row>
    <row r="14" spans="1:9" x14ac:dyDescent="0.25">
      <c r="A14" s="136"/>
      <c r="B14" s="136"/>
    </row>
    <row r="15" spans="1:9" x14ac:dyDescent="0.25">
      <c r="A15" s="136"/>
      <c r="B15" s="136"/>
    </row>
    <row r="16" spans="1:9" ht="15.75" x14ac:dyDescent="0.25">
      <c r="A16" s="51"/>
      <c r="B16" s="51"/>
    </row>
    <row r="17" spans="1:2" ht="15.75" x14ac:dyDescent="0.25">
      <c r="A17" s="51"/>
      <c r="B17" s="51"/>
    </row>
    <row r="18" spans="1:2" ht="15.75" x14ac:dyDescent="0.25">
      <c r="A18" s="67"/>
    </row>
    <row r="19" spans="1:2" ht="15.75" x14ac:dyDescent="0.25">
      <c r="A19" s="2"/>
    </row>
    <row r="20" spans="1:2" ht="18.75" x14ac:dyDescent="0.25">
      <c r="A20" s="69"/>
    </row>
    <row r="21" spans="1:2" ht="18.75" x14ac:dyDescent="0.25">
      <c r="A21" s="69"/>
    </row>
    <row r="22" spans="1:2" ht="18.75" x14ac:dyDescent="0.25">
      <c r="A22" s="69"/>
    </row>
    <row r="23" spans="1:2" ht="18.75" x14ac:dyDescent="0.25">
      <c r="A23" s="69"/>
    </row>
    <row r="24" spans="1:2" ht="18.75" x14ac:dyDescent="0.25">
      <c r="A24" s="69"/>
    </row>
  </sheetData>
  <mergeCells count="15">
    <mergeCell ref="A14:A15"/>
    <mergeCell ref="B14:B15"/>
    <mergeCell ref="A1:E1"/>
    <mergeCell ref="A2:E2"/>
    <mergeCell ref="A3:E3"/>
    <mergeCell ref="A10:C10"/>
    <mergeCell ref="A12:C12"/>
    <mergeCell ref="D10:E10"/>
    <mergeCell ref="A4:C4"/>
    <mergeCell ref="D4:D6"/>
    <mergeCell ref="E4:E6"/>
    <mergeCell ref="A5:B5"/>
    <mergeCell ref="A11:C11"/>
    <mergeCell ref="D11:E11"/>
    <mergeCell ref="D12:E12"/>
  </mergeCells>
  <printOptions horizontalCentered="1"/>
  <pageMargins left="0.9055118110236221" right="0.5118110236220472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9"/>
  <sheetViews>
    <sheetView view="pageBreakPreview" zoomScaleNormal="100" zoomScaleSheetLayoutView="100" workbookViewId="0">
      <selection activeCell="E8" sqref="E8"/>
    </sheetView>
  </sheetViews>
  <sheetFormatPr defaultRowHeight="15" x14ac:dyDescent="0.25"/>
  <cols>
    <col min="1" max="1" width="8.5703125" customWidth="1"/>
    <col min="2" max="2" width="19.85546875" customWidth="1"/>
    <col min="3" max="3" width="35.5703125" customWidth="1"/>
    <col min="4" max="4" width="23.28515625" customWidth="1"/>
    <col min="5" max="5" width="24" customWidth="1"/>
    <col min="6" max="7" width="26.28515625" customWidth="1"/>
  </cols>
  <sheetData>
    <row r="1" spans="1:7" s="46" customFormat="1" ht="15.75" x14ac:dyDescent="0.25">
      <c r="A1" s="136" t="s">
        <v>112</v>
      </c>
      <c r="B1" s="136"/>
      <c r="C1" s="136"/>
      <c r="D1" s="136"/>
      <c r="E1" s="136"/>
      <c r="F1" s="136"/>
      <c r="G1" s="136"/>
    </row>
    <row r="2" spans="1:7" s="46" customFormat="1" ht="64.5" customHeight="1" x14ac:dyDescent="0.25">
      <c r="A2" s="136" t="str">
        <f>тема</f>
        <v>на выполнение научно-исследовательской работы по теме:
«ТЕМА»</v>
      </c>
      <c r="B2" s="136"/>
      <c r="C2" s="136"/>
      <c r="D2" s="136"/>
      <c r="E2" s="136"/>
      <c r="F2" s="136"/>
      <c r="G2" s="136"/>
    </row>
    <row r="3" spans="1:7" ht="63" customHeight="1" x14ac:dyDescent="0.25">
      <c r="A3" s="22" t="s">
        <v>8</v>
      </c>
      <c r="B3" s="22" t="s">
        <v>77</v>
      </c>
      <c r="C3" s="22" t="s">
        <v>78</v>
      </c>
      <c r="D3" s="22" t="s">
        <v>79</v>
      </c>
      <c r="E3" s="22" t="s">
        <v>80</v>
      </c>
      <c r="F3" s="26" t="s">
        <v>81</v>
      </c>
      <c r="G3" s="26" t="s">
        <v>0</v>
      </c>
    </row>
    <row r="4" spans="1:7" x14ac:dyDescent="0.25">
      <c r="A4" s="22">
        <v>1</v>
      </c>
      <c r="B4" s="22">
        <v>2</v>
      </c>
      <c r="C4" s="22">
        <v>3</v>
      </c>
      <c r="D4" s="22">
        <v>4</v>
      </c>
      <c r="E4" s="22">
        <v>5</v>
      </c>
      <c r="F4" s="22">
        <v>6</v>
      </c>
      <c r="G4" s="22">
        <v>7</v>
      </c>
    </row>
    <row r="5" spans="1:7" ht="31.5" customHeight="1" x14ac:dyDescent="0.25">
      <c r="A5" s="22" t="s">
        <v>21</v>
      </c>
      <c r="B5" s="22" t="s">
        <v>21</v>
      </c>
      <c r="C5" s="22" t="s">
        <v>21</v>
      </c>
      <c r="D5" s="22" t="s">
        <v>21</v>
      </c>
      <c r="E5" s="22" t="s">
        <v>21</v>
      </c>
      <c r="F5" s="22" t="s">
        <v>21</v>
      </c>
      <c r="G5" s="22" t="s">
        <v>21</v>
      </c>
    </row>
    <row r="6" spans="1:7" ht="31.5" customHeight="1" x14ac:dyDescent="0.25">
      <c r="A6" s="22" t="s">
        <v>21</v>
      </c>
      <c r="B6" s="22" t="s">
        <v>21</v>
      </c>
      <c r="C6" s="22" t="s">
        <v>21</v>
      </c>
      <c r="D6" s="22" t="s">
        <v>21</v>
      </c>
      <c r="E6" s="22" t="s">
        <v>21</v>
      </c>
      <c r="F6" s="22" t="s">
        <v>21</v>
      </c>
      <c r="G6" s="22" t="s">
        <v>21</v>
      </c>
    </row>
    <row r="7" spans="1:7" ht="31.5" customHeight="1" x14ac:dyDescent="0.25">
      <c r="A7" s="22" t="s">
        <v>21</v>
      </c>
      <c r="B7" s="22" t="s">
        <v>21</v>
      </c>
      <c r="C7" s="22" t="s">
        <v>21</v>
      </c>
      <c r="D7" s="22" t="s">
        <v>21</v>
      </c>
      <c r="E7" s="22" t="s">
        <v>21</v>
      </c>
      <c r="F7" s="22" t="s">
        <v>21</v>
      </c>
      <c r="G7" s="22" t="s">
        <v>21</v>
      </c>
    </row>
    <row r="8" spans="1:7" ht="15.75" customHeight="1" x14ac:dyDescent="0.25">
      <c r="A8" s="117"/>
      <c r="B8" s="116" t="s">
        <v>38</v>
      </c>
      <c r="C8" s="116" t="s">
        <v>67</v>
      </c>
      <c r="D8" s="116" t="s">
        <v>67</v>
      </c>
      <c r="E8" s="116" t="s">
        <v>126</v>
      </c>
      <c r="F8" s="116" t="s">
        <v>67</v>
      </c>
      <c r="G8" s="116" t="s">
        <v>67</v>
      </c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6"/>
    </row>
    <row r="11" spans="1:7" ht="15.75" x14ac:dyDescent="0.25">
      <c r="A11" s="139" t="s">
        <v>124</v>
      </c>
      <c r="B11" s="139"/>
      <c r="C11" s="139"/>
      <c r="D11" s="14"/>
      <c r="E11" s="140" t="s">
        <v>20</v>
      </c>
      <c r="F11" s="140"/>
      <c r="G11" s="140"/>
    </row>
    <row r="12" spans="1:7" ht="40.5" customHeight="1" x14ac:dyDescent="0.25">
      <c r="A12" s="140" t="s">
        <v>12</v>
      </c>
      <c r="B12" s="140"/>
      <c r="C12" s="140"/>
      <c r="D12" s="37"/>
      <c r="E12" s="140" t="s">
        <v>22</v>
      </c>
      <c r="F12" s="140"/>
      <c r="G12" s="140"/>
    </row>
    <row r="13" spans="1:7" ht="15.75" customHeight="1" x14ac:dyDescent="0.25">
      <c r="A13" s="134" t="s">
        <v>1</v>
      </c>
      <c r="B13" s="134"/>
      <c r="C13" s="134"/>
      <c r="D13" s="15"/>
      <c r="E13" s="15"/>
      <c r="F13" s="41" t="s">
        <v>1</v>
      </c>
      <c r="G13" s="41"/>
    </row>
    <row r="14" spans="1:7" ht="15.75" customHeight="1" x14ac:dyDescent="0.25">
      <c r="A14" s="25"/>
      <c r="B14" s="10"/>
      <c r="C14" s="10"/>
      <c r="D14" s="10"/>
      <c r="E14" s="10"/>
      <c r="F14" s="10"/>
      <c r="G14" s="25"/>
    </row>
    <row r="15" spans="1:7" ht="15.75" x14ac:dyDescent="0.25">
      <c r="A15" s="143" t="s">
        <v>11</v>
      </c>
      <c r="B15" s="143"/>
      <c r="C15" s="143"/>
      <c r="D15" s="10"/>
      <c r="E15" s="10"/>
      <c r="F15" s="10"/>
      <c r="G15" s="25"/>
    </row>
    <row r="16" spans="1:7" ht="38.25" customHeight="1" x14ac:dyDescent="0.25">
      <c r="A16" s="140" t="s">
        <v>125</v>
      </c>
      <c r="B16" s="140"/>
      <c r="C16" s="140"/>
      <c r="D16" s="39"/>
      <c r="E16" s="39"/>
      <c r="F16" s="39"/>
    </row>
    <row r="17" spans="1:6" ht="11.25" customHeight="1" x14ac:dyDescent="0.25">
      <c r="A17" s="134" t="s">
        <v>1</v>
      </c>
      <c r="B17" s="134"/>
      <c r="C17" s="134"/>
      <c r="D17" s="10"/>
      <c r="E17" s="10"/>
      <c r="F17" s="10"/>
    </row>
    <row r="18" spans="1:6" ht="15.75" x14ac:dyDescent="0.25">
      <c r="A18" s="10"/>
      <c r="B18" s="25"/>
      <c r="C18" s="10"/>
      <c r="D18" s="10"/>
      <c r="E18" s="10"/>
      <c r="F18" s="10"/>
    </row>
    <row r="19" spans="1:6" x14ac:dyDescent="0.25">
      <c r="A19" s="10"/>
      <c r="B19" s="10"/>
      <c r="C19" s="10"/>
      <c r="D19" s="10"/>
      <c r="E19" s="10"/>
      <c r="F19" s="10"/>
    </row>
  </sheetData>
  <mergeCells count="10">
    <mergeCell ref="A1:G1"/>
    <mergeCell ref="A2:G2"/>
    <mergeCell ref="A17:C17"/>
    <mergeCell ref="A11:C11"/>
    <mergeCell ref="E11:G11"/>
    <mergeCell ref="A12:C12"/>
    <mergeCell ref="E12:G12"/>
    <mergeCell ref="A13:C13"/>
    <mergeCell ref="A16:C16"/>
    <mergeCell ref="A15:C15"/>
  </mergeCells>
  <pageMargins left="0.7" right="0.7" top="0.75" bottom="0.75" header="0.3" footer="0.3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10</vt:i4>
      </vt:variant>
    </vt:vector>
  </HeadingPairs>
  <TitlesOfParts>
    <vt:vector size="19" baseType="lpstr">
      <vt:lpstr>Структура цены</vt:lpstr>
      <vt:lpstr>Материалы</vt:lpstr>
      <vt:lpstr>Спец_обор</vt:lpstr>
      <vt:lpstr>Расшифровка ФОТ</vt:lpstr>
      <vt:lpstr>Амортизация</vt:lpstr>
      <vt:lpstr>Прочие прямые</vt:lpstr>
      <vt:lpstr>Командировочные</vt:lpstr>
      <vt:lpstr>Накладные</vt:lpstr>
      <vt:lpstr>Стор_орг</vt:lpstr>
      <vt:lpstr>Амортизация!_Hlk68180980</vt:lpstr>
      <vt:lpstr>Стор_орг!_Hlk68180980</vt:lpstr>
      <vt:lpstr>Командировочные!Область_печати</vt:lpstr>
      <vt:lpstr>Материалы!Область_печати</vt:lpstr>
      <vt:lpstr>Накладные!Область_печати</vt:lpstr>
      <vt:lpstr>'Прочие прямые'!Область_печати</vt:lpstr>
      <vt:lpstr>'Расшифровка ФОТ'!Область_печати</vt:lpstr>
      <vt:lpstr>Спец_обор!Область_печати</vt:lpstr>
      <vt:lpstr>'Структура цены'!Область_печати</vt:lpstr>
      <vt:lpstr>тема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Senko</dc:creator>
  <cp:lastModifiedBy>Корсакова Гузель</cp:lastModifiedBy>
  <cp:lastPrinted>2026-07-23T13:57:41Z</cp:lastPrinted>
  <dcterms:created xsi:type="dcterms:W3CDTF">2015-06-05T18:19:34Z</dcterms:created>
  <dcterms:modified xsi:type="dcterms:W3CDTF">2026-08-05T14:39:33Z</dcterms:modified>
</cp:coreProperties>
</file>