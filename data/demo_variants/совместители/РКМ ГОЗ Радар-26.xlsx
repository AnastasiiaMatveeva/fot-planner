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08" yWindow="-108" windowWidth="23256" windowHeight="12576" tabRatio="933" firstSheet="1" activeTab="8" autoFilterDateGrouping="1"/>
  </bookViews>
  <sheets>
    <sheet name="Прил. № 5 Ф1(1д) прот" sheetId="1" state="visible" r:id="rId1"/>
    <sheet name="2д план кальк (2)" sheetId="2" state="visible" r:id="rId2"/>
    <sheet name="Ф.2а(2ад)" sheetId="3" state="visible" r:id="rId3"/>
    <sheet name="9 (9д) ОЗП НИР(ОКР)" sheetId="4" state="visible" r:id="rId4"/>
    <sheet name="20 (20д) приб (26г.)" sheetId="5" state="visible" r:id="rId5"/>
    <sheet name="20 (20д) приб (27г.)" sheetId="6" state="visible" r:id="rId6"/>
    <sheet name="22 (22д) свед. о норм_25" sheetId="7" state="visible" r:id="rId7"/>
    <sheet name="22 (22д) свед. о норм_26" sheetId="8" state="visible" r:id="rId8"/>
    <sheet name="22 (22д) свед. о норм_27" sheetId="9" state="visible" r:id="rId9"/>
    <sheet name="10 (10д) ДЗП (КФО2) (25-27)" sheetId="10" state="visible" r:id="rId10"/>
    <sheet name="10 (10д) ДЗП (ГОЗ) (25-27)" sheetId="11" state="visible" r:id="rId11"/>
    <sheet name="12 ОХР (КФО2_ГОЗ) (25-27)" sheetId="12" state="visible" r:id="rId12"/>
    <sheet name="21 свед. об V поставки (25-27)" sheetId="13" state="visible" r:id="rId13"/>
    <sheet name="23 труд (25-27)" sheetId="14" state="visible" r:id="rId14"/>
    <sheet name="4д матер" sheetId="15" state="visible" r:id="rId15"/>
    <sheet name="5д полуф" sheetId="16" state="visible" r:id="rId16"/>
    <sheet name="6д пки" sheetId="17" state="visible" r:id="rId17"/>
    <sheet name="7(7д) работы(усл) НИР(ОКР)" sheetId="18" state="visible" r:id="rId18"/>
    <sheet name="8 (8д) ТЗР" sheetId="19" state="visible" r:id="rId19"/>
    <sheet name="11дОПР" sheetId="20" state="visible" r:id="rId20"/>
    <sheet name="13д внепроизв. расх." sheetId="21" state="visible" r:id="rId21"/>
    <sheet name="14д СЗ" sheetId="22" state="visible" r:id="rId22"/>
    <sheet name=" 15 (15д) НИР(ОКР) Спецобор" sheetId="23" state="visible" r:id="rId23"/>
    <sheet name="16д спец. тех. оснастка" sheetId="24" state="visible" r:id="rId24"/>
    <sheet name="17 (17д) осв пр-ва" sheetId="25" state="visible" r:id="rId25"/>
    <sheet name="18 (18д) проч з" sheetId="26" state="visible" r:id="rId26"/>
    <sheet name="19 (19д) Командировки" sheetId="27" state="visible" r:id="rId27"/>
    <sheet name="10 (10д) ДЗП" sheetId="28" state="visible" r:id="rId28"/>
    <sheet name="Ф.12" sheetId="29" state="visible" r:id="rId29"/>
    <sheet name="Ф.23" sheetId="30" state="visible"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 comment="Списки выбора">#REF!</definedName>
    <definedName name="\\">#REF!</definedName>
    <definedName name="\хз">#REF!</definedName>
    <definedName name="_1" comment="Списки выбора">#REF!</definedName>
    <definedName name="Excel_BuiltIn_Print_Area_1_1">#REF!</definedName>
    <definedName name="Excel_BuiltIn_Print_Area_20_1">#REF!</definedName>
    <definedName name="Excel_BuiltIn_Print_Area_4">#REF!</definedName>
    <definedName name="Excel_BuiltIn_Print_Area_5">#REF!</definedName>
    <definedName name="H">#REF!</definedName>
    <definedName name="kjhiu">#REF!</definedName>
    <definedName name="smet">#REF!</definedName>
    <definedName name="tlbLists" comment="Списки выбора">#REF!</definedName>
    <definedName name="TR10B">#REF!</definedName>
    <definedName name="TR10C">#REF!</definedName>
    <definedName name="TR10EXP">#REF!</definedName>
    <definedName name="TR10PSZ">#REF!</definedName>
    <definedName name="TR10S">#REF!</definedName>
    <definedName name="TR10ST">#REF!</definedName>
    <definedName name="TR10Y">#REF!</definedName>
    <definedName name="TR111S">#REF!</definedName>
    <definedName name="TR11B">#REF!</definedName>
    <definedName name="TR11PSZ">#REF!</definedName>
    <definedName name="TR11S">#REF!</definedName>
    <definedName name="TR11ST">#REF!</definedName>
    <definedName name="TR11Y">#REF!</definedName>
    <definedName name="TR12B">#REF!</definedName>
    <definedName name="TR12EXP">#REF!</definedName>
    <definedName name="TR12PSZ">#REF!</definedName>
    <definedName name="TR12S">#REF!</definedName>
    <definedName name="TR12ST">#REF!</definedName>
    <definedName name="TR12Y">#REF!</definedName>
    <definedName name="TR15B">#REF!</definedName>
    <definedName name="TR15EXP">#REF!</definedName>
    <definedName name="TR15PSZ">#REF!</definedName>
    <definedName name="TR15S">#REF!</definedName>
    <definedName name="TR15ST">#REF!</definedName>
    <definedName name="TR15Y">#REF!</definedName>
    <definedName name="TR1EXP">#REF!</definedName>
    <definedName name="TR20B">#REF!</definedName>
    <definedName name="TR20EXP">#REF!</definedName>
    <definedName name="TR20PSZ">#REF!</definedName>
    <definedName name="TR20S">#REF!</definedName>
    <definedName name="TR20ST">#REF!</definedName>
    <definedName name="TR20Y">#REF!</definedName>
    <definedName name="TR21Y">#REF!</definedName>
    <definedName name="TR23B">#REF!</definedName>
    <definedName name="TR23EXP">#REF!</definedName>
    <definedName name="TR23PSZ">#REF!</definedName>
    <definedName name="TR23S">#REF!</definedName>
    <definedName name="TR23ST">#REF!</definedName>
    <definedName name="TR23Y">#REF!</definedName>
    <definedName name="TR8B">#REF!</definedName>
    <definedName name="TR8EXP">#REF!</definedName>
    <definedName name="TR8PSZ">#REF!</definedName>
    <definedName name="TR8S">#REF!</definedName>
    <definedName name="TR8ST">#REF!</definedName>
    <definedName name="TR8Y">#REF!</definedName>
    <definedName name="TR9B">#REF!</definedName>
    <definedName name="TR9EXP">#REF!</definedName>
    <definedName name="TR9PSZ">#REF!</definedName>
    <definedName name="TR9S">#REF!</definedName>
    <definedName name="TR9ST">#REF!</definedName>
    <definedName name="TR9Y">#REF!</definedName>
    <definedName name="TRS">#REF!</definedName>
    <definedName name="TRS_нов">#REF!</definedName>
    <definedName name="TRUD1">#REF!</definedName>
    <definedName name="TRUD1_EXP">#REF!</definedName>
    <definedName name="а">#REF!</definedName>
    <definedName name="А123" comment="Списки выбора">#REF!</definedName>
    <definedName name="А321">#REF!</definedName>
    <definedName name="А432">#REF!</definedName>
    <definedName name="ааааа">#REF!</definedName>
    <definedName name="аб">#REF!</definedName>
    <definedName name="амортизация">'[1]Расчет Серия 2007'!#REF!</definedName>
    <definedName name="ап">#REF!</definedName>
    <definedName name="апап">#REF!</definedName>
    <definedName name="араплоар">#REF!</definedName>
    <definedName name="БАЗА_ДОГОВОРА">'[2] База_2014 г'!$H$6:$H$297</definedName>
    <definedName name="ббб">#REF!</definedName>
    <definedName name="бюджетэкон">#REF!</definedName>
    <definedName name="в">#REF!</definedName>
    <definedName name="ва">'[3]Расчет Серия 2007'!#REF!</definedName>
    <definedName name="ввв">#REF!</definedName>
    <definedName name="ВИ_вар.3">'[4]Расчет Серия 2007'!#REF!</definedName>
    <definedName name="Вид_деят">#REF!</definedName>
    <definedName name="Вид_деятельности">[5]Списки!$B$3:$B$8</definedName>
    <definedName name="Вид_договора">[6]СПИСКИ!$N$11:$N$13</definedName>
    <definedName name="Вид_закл">[6]СПИСКИ!$L$11:$L$12</definedName>
    <definedName name="Вид_заключения">[5]Списки!$B$10:$B$11</definedName>
    <definedName name="ВИД_РАБОТ">[6]СПИСКИ!$B$3:$B$15</definedName>
    <definedName name="Вид_работы">[7]Списки!$J$3:$J$8</definedName>
    <definedName name="Вид_цены">[6]СПИСКИ!$H$11:$H$15</definedName>
    <definedName name="видрасходов">[8]Лист5!$B$1:$B$4</definedName>
    <definedName name="видрасходовНУ">[8]Лист5!$C$1:$C$23</definedName>
    <definedName name="виоу234">#REF!</definedName>
    <definedName name="вкпекр">#REF!</definedName>
    <definedName name="г">#REF!</definedName>
    <definedName name="Гензаказчик">[2]Списки!$D$3:$D$20</definedName>
    <definedName name="Год">[5]Списки!$C$16:$C$28</definedName>
    <definedName name="год1996">#REF!</definedName>
    <definedName name="год1997">#REF!</definedName>
    <definedName name="Годы_Норм">[6]СПИСКИ!$H$18:$H$32</definedName>
    <definedName name="госконтракт">'[9]Расчет Серия 2007'!$A$3</definedName>
    <definedName name="Гр_прод">[6]СПИСКИ!$I$35:$I$48</definedName>
    <definedName name="гурзтг4н9зесай3">#REF!</definedName>
    <definedName name="Действие">#REF!</definedName>
    <definedName name="джлж">#REF!</definedName>
    <definedName name="ДЗП">#REF!</definedName>
    <definedName name="длдрпрпл">#REF!</definedName>
    <definedName name="длощшжо" comment="Списки выбора">#REF!</definedName>
    <definedName name="Договора">'[10] База_2016 г'!$G$6:$G$248</definedName>
    <definedName name="Договора_2012">'[11] База_2012г'!$G$6:$G$230</definedName>
    <definedName name="Договора_2013">'[2] База_2014 г'!$H$6:$H$247</definedName>
    <definedName name="Договора_2014">'[2] База_2014 г'!$H$6:$H$247</definedName>
    <definedName name="Договора_2015">'[7] База_2015 г'!$G$6:$G$247</definedName>
    <definedName name="Должности">[12]Списки!$F$3:$F$98</definedName>
    <definedName name="е5">'[3]Расчет Серия 2007'!#REF!</definedName>
    <definedName name="Ед_изм">[6]СПИСКИ!$N$3:$N$9</definedName>
    <definedName name="ЕК">#REF!</definedName>
    <definedName name="ждл">#REF!</definedName>
    <definedName name="жжж">#REF!</definedName>
    <definedName name="жжщ">#REF!</definedName>
    <definedName name="жщшжщ">#REF!</definedName>
    <definedName name="Заказчик">[10]Списки!$F$3:$F$50</definedName>
    <definedName name="зарпл">#REF!</definedName>
    <definedName name="зарплата">'[1]Расчет Серия 2007'!$C$12</definedName>
    <definedName name="зарплпта">#REF!</definedName>
    <definedName name="зп">#REF!</definedName>
    <definedName name="зп_осн">#REF!</definedName>
    <definedName name="зп_осн_5">#REF!</definedName>
    <definedName name="зп_осн_нов">#REF!</definedName>
    <definedName name="зп2">#REF!</definedName>
    <definedName name="зщш">#REF!</definedName>
    <definedName name="и">#REF!</definedName>
    <definedName name="иии">#REF!</definedName>
    <definedName name="Инд_заказ">'[13]Факт_по отделам'!$A$3:$B$11237</definedName>
    <definedName name="ИСТОЧ_ФИН">[6]СПИСКИ!$D$3:$D$15</definedName>
    <definedName name="источник_финанс">[10]Списки!$C$3:$C$12</definedName>
    <definedName name="Источник_финансирования">#REF!</definedName>
    <definedName name="итог_зп">#REF!</definedName>
    <definedName name="итог_тр">#REF!</definedName>
    <definedName name="й">#REF!</definedName>
    <definedName name="йй">#REF!</definedName>
    <definedName name="йц">#REF!</definedName>
    <definedName name="К">#REF!</definedName>
    <definedName name="катя">#REF!</definedName>
    <definedName name="количество">#REF!</definedName>
    <definedName name="Конец">#REF!</definedName>
    <definedName name="Контрагенты_2013">'[14]Реестр оплаты 2013'!$P$9:$P$408</definedName>
    <definedName name="Кураторы">[6]СПИСКИ!$B$34:$B$67</definedName>
    <definedName name="л">#REF!</definedName>
    <definedName name="Лена">#REF!</definedName>
    <definedName name="ленаа">#REF!</definedName>
    <definedName name="ллллл">#REF!</definedName>
    <definedName name="ло">#REF!</definedName>
    <definedName name="лош">#REF!</definedName>
    <definedName name="Мат">#REF!</definedName>
    <definedName name="мат_лы">#REF!</definedName>
    <definedName name="Матер">#REF!</definedName>
    <definedName name="Матери">#REF!</definedName>
    <definedName name="Материалы">#REF!</definedName>
    <definedName name="Месяц">[12]Списки!$A$3:$A$14</definedName>
    <definedName name="Месяц_для_загрузки">[12]Списки!$L$3:$L$13</definedName>
    <definedName name="н" comment="Списки выбора">#REF!</definedName>
    <definedName name="название_темы">'[1]Расчет Серия 2007'!$A$2</definedName>
    <definedName name="Назн_прод">[6]СПИСКИ!$I$64:$I$65</definedName>
    <definedName name="Наим_прот_цены">[6]СПИСКИ!$J$26:$J$30</definedName>
    <definedName name="Наименование_Заказчика">[6]СПИСКИ!$L$35:$L$66</definedName>
    <definedName name="Наименование_предприятия">[5]Списки!$I$3:$I$37</definedName>
    <definedName name="Наименование_статей_расходов">#REF!</definedName>
    <definedName name="Накл.">#REF!</definedName>
    <definedName name="накладные">'[1]Расчет Серия 2007'!$C$9</definedName>
    <definedName name="Напр_деят">[6]СПИСКИ!$I$50:$I$62</definedName>
    <definedName name="нача">#REF!</definedName>
    <definedName name="начал">#REF!</definedName>
    <definedName name="Начало">#REF!</definedName>
    <definedName name="НДС">[6]СПИСКИ!$H$3:$H$8</definedName>
    <definedName name="НДС___СН">#REF!</definedName>
    <definedName name="нет">#REF!</definedName>
    <definedName name="ннннн">#REF!</definedName>
    <definedName name="новый">#REF!</definedName>
    <definedName name="Номер_Заказы_инд">'[13]Факт_по отделам'!$A$3:$A$11237</definedName>
    <definedName name="Нормативные_документы">[6]СПИСКИ!$Q$3:$Q$9</definedName>
    <definedName name="Нормативы_труд">[6]СПИСКИ!$P$11:$P$15</definedName>
    <definedName name="НР">#REF!</definedName>
    <definedName name="Нрасходы">'[1]Расчет Серия 2007'!$C$28</definedName>
    <definedName name="оа">#REF!</definedName>
    <definedName name="оборудование">'[1]Расчет Серия 2007'!$C$30</definedName>
    <definedName name="образц">#REF!</definedName>
    <definedName name="ожид">#REF!</definedName>
    <definedName name="ожид.">#REF!</definedName>
    <definedName name="окр">#REF!</definedName>
    <definedName name="ОКР__Сторон">'[14]Реестр оплаты 2013'!$Q$9:$Q$408</definedName>
    <definedName name="олрдл">#REF!</definedName>
    <definedName name="омржышсп">#REF!</definedName>
    <definedName name="ОООО" comment="Списки выбора">#REF!</definedName>
    <definedName name="ооооо">#REF!</definedName>
    <definedName name="опр" comment="Списки выбора">#REF!</definedName>
    <definedName name="опр1">#REF!</definedName>
    <definedName name="опр2">#REF!</definedName>
    <definedName name="ордл">#REF!</definedName>
    <definedName name="Отд_для_ЛР">[5]Списки!$B$31:$B$48</definedName>
    <definedName name="Отдел_э">#REF!</definedName>
    <definedName name="отчет">[12]Списки!$D$3:$D$4</definedName>
    <definedName name="Оформл_акта">[10]Списки!$L$3:$L$8</definedName>
    <definedName name="П">#REF!</definedName>
    <definedName name="пе">#REF!</definedName>
    <definedName name="повтор">#REF!</definedName>
    <definedName name="подразд">#REF!</definedName>
    <definedName name="Подразделение_№">[6]СПИСКИ!$W$2:$W$30</definedName>
    <definedName name="Портфели">#REF!</definedName>
    <definedName name="Портфель_проекта_ГенЗак">[5]Списки!$D$3:$D$11</definedName>
    <definedName name="Портфель_проектов">[6]СПИСКИ!$F$3:$F$15</definedName>
    <definedName name="пост_изд">[6]СПИСКИ!$I$11:$I$12</definedName>
    <definedName name="пп">#REF!</definedName>
    <definedName name="ппппп">#REF!</definedName>
    <definedName name="ППрасходы">'[1]Расчет Серия 2007'!$C$27</definedName>
    <definedName name="ПР">#REF!</definedName>
    <definedName name="прапрл">#REF!</definedName>
    <definedName name="Прибыль">#REF!</definedName>
    <definedName name="привет">#REF!</definedName>
    <definedName name="ПРОГ_ПРОЕК">[6]СПИСКИ!$B$18:$B$32</definedName>
    <definedName name="Программа_проектов">#REF!</definedName>
    <definedName name="Процедура">[6]СПИСКИ!$L$26:$L$30</definedName>
    <definedName name="пшнщпд">#REF!</definedName>
    <definedName name="р">#REF!</definedName>
    <definedName name="р1">#REF!</definedName>
    <definedName name="работ">[6]СПИСКИ!$P$3:$P$9</definedName>
    <definedName name="распред">#REF!</definedName>
    <definedName name="распред.">#REF!</definedName>
    <definedName name="Расчёт">[6]СПИСКИ!$L$14:$L$15</definedName>
    <definedName name="Расчёт_От">[6]СПИСКИ!$L$3:$L$8</definedName>
    <definedName name="рд">'[3]Расчет Серия 2007'!#REF!</definedName>
    <definedName name="ро">#REF!</definedName>
    <definedName name="рпа">#REF!</definedName>
    <definedName name="рпп">#REF!</definedName>
    <definedName name="рпроп">#REF!</definedName>
    <definedName name="рр">#REF!</definedName>
    <definedName name="ррррр">#REF!</definedName>
    <definedName name="с">#REF!</definedName>
    <definedName name="СВОД">#REF!</definedName>
    <definedName name="себестоимость">'[1]Расчет Серия 2007'!$C$32</definedName>
    <definedName name="си">#REF!</definedName>
    <definedName name="сиг">#REF!</definedName>
    <definedName name="сига">#REF!</definedName>
    <definedName name="сигал">#REF!</definedName>
    <definedName name="сигал1">#REF!</definedName>
    <definedName name="сигнал">#REF!</definedName>
    <definedName name="сис">#REF!</definedName>
    <definedName name="сменаобор" comment="Списки выбора">#REF!</definedName>
    <definedName name="смета">#REF!</definedName>
    <definedName name="смета7">#REF!</definedName>
    <definedName name="СН">#REF!</definedName>
    <definedName name="соцнужды">'[1]Расчет Серия 2007'!$C$26</definedName>
    <definedName name="соцстрах">'[1]Расчет Серия 2007'!$C$8</definedName>
    <definedName name="Сп1">[10]Списки!$I$3:$I$5</definedName>
    <definedName name="Список">'[15]Список должностей'!$A$2:$A$72</definedName>
    <definedName name="ср_зп_баз">#REF!</definedName>
    <definedName name="ср_зп_баз_нов">#REF!</definedName>
    <definedName name="СРСебес">'[1]Расчет Серия 2007'!$C$29</definedName>
    <definedName name="СС">#REF!</definedName>
    <definedName name="СС1">#REF!</definedName>
    <definedName name="Ставка_НДС">#REF!</definedName>
    <definedName name="Статус_акта">[10]Списки!$K$3:$K$8</definedName>
    <definedName name="Статус_договора">[6]СПИСКИ!$J$3:$J$8</definedName>
    <definedName name="Степень">[12]Списки!$H$3:$H$6</definedName>
    <definedName name="Стор_е">[16]Списки!$L$3:$L$30</definedName>
    <definedName name="Сторонние">'[14]Реестр оплаты 2013'!$S$9:$S$408</definedName>
    <definedName name="сумм_к_аг">#REF!</definedName>
    <definedName name="сумм_ком">#REF!</definedName>
    <definedName name="сумм_мат">#REF!</definedName>
    <definedName name="сумм_сп_об">#REF!</definedName>
    <definedName name="СЦприм">#REF!</definedName>
    <definedName name="Т22">#REF!</definedName>
    <definedName name="таб">#REF!</definedName>
    <definedName name="ТН">'[17]стрк (расчет)'!$C$19</definedName>
    <definedName name="ф">#REF!</definedName>
    <definedName name="ф2">'[1]Расчет Серия 2007'!#REF!</definedName>
    <definedName name="ф3">#REF!</definedName>
    <definedName name="Ф4">#REF!</definedName>
    <definedName name="Ф4.1">#REF!</definedName>
    <definedName name="Ф4.1_2">#REF!</definedName>
    <definedName name="Ф7_№этапа">#REF!</definedName>
    <definedName name="Ф7_цена">#REF!</definedName>
    <definedName name="Факт_за_2018">'[18]таблица с данными'!#REF!</definedName>
    <definedName name="фори">#REF!</definedName>
    <definedName name="форма2кор">#REF!</definedName>
    <definedName name="форма3кор">#REF!</definedName>
    <definedName name="форма5кор">#REF!</definedName>
    <definedName name="формула">#REF!</definedName>
    <definedName name="фот">#REF!</definedName>
    <definedName name="ФОТ_1">'[9]Расчет Серия 2007'!$D$25</definedName>
    <definedName name="ФОТ_2">'[9]Расчет Серия 2007'!$E$25</definedName>
    <definedName name="характерзатрат">[8]Лист5!$A$1:$A$9</definedName>
    <definedName name="ЦЕНА">'[1]Расчет Серия 2007'!$C$34</definedName>
    <definedName name="цена_д">[19]Договор!$B$242</definedName>
    <definedName name="цена_прибыли">'[1]Расчет Серия 2007'!$C$33</definedName>
    <definedName name="цуц">#REF!</definedName>
    <definedName name="цшугкншгцу">#REF!</definedName>
    <definedName name="черновик" comment="Списки выбора">#REF!</definedName>
    <definedName name="шзщожщ">'[4]Расчет Серия 2007'!$C$13</definedName>
    <definedName name="щджщдж" comment="Списки выбора">#REF!</definedName>
    <definedName name="ъх">#REF!</definedName>
    <definedName name="ьььь">#REF!</definedName>
    <definedName name="экон" comment="Списки выбора">#REF!</definedName>
    <definedName name="Экономисты_договорники">[6]СПИСКИ!$U$3:$U$9</definedName>
    <definedName name="электроэнергия">'[1]Расчет Серия 2007'!$C$13</definedName>
    <definedName name="эт_1">[19]Договор!$B$246</definedName>
    <definedName name="этап">#REF!</definedName>
    <definedName name="этап_ф2.1">#REF!</definedName>
    <definedName name="Этапы">[6]СПИСКИ!$H$35:$H$66</definedName>
    <definedName name="Этапы_для_карточки">[5]Списки!$G$12:$G$21</definedName>
    <definedName name="ээ">#REF!</definedName>
    <definedName name="юбь">#REF!</definedName>
    <definedName name="\" comment="Списки выбора" localSheetId="1">#REF!</definedName>
    <definedName name="Excel_BuiltIn_Print_Area_1_1" localSheetId="1">#REF!</definedName>
    <definedName name="tlbLists" comment="Списки выбора" localSheetId="1">#REF!</definedName>
    <definedName name="ап" localSheetId="1">#REF!</definedName>
    <definedName name="ббб" localSheetId="1">#REF!</definedName>
    <definedName name="ва" localSheetId="1">'[3]Расчет Серия 2007'!#REF!</definedName>
    <definedName name="ввв" localSheetId="1">#REF!</definedName>
    <definedName name="ВИ_вар.3" localSheetId="1">'[4]Расчет Серия 2007'!#REF!</definedName>
    <definedName name="Вид_деят" localSheetId="1">#REF!</definedName>
    <definedName name="Вид_деятельности" localSheetId="1">[5]Списки!$B$3:$B$8</definedName>
    <definedName name="Вид_заключения" localSheetId="1">[5]Списки!$B$10:$B$11</definedName>
    <definedName name="виоу234" localSheetId="1">#REF!</definedName>
    <definedName name="Год" localSheetId="1">[5]Списки!$C$16:$C$28</definedName>
    <definedName name="год1996" localSheetId="1">#REF!</definedName>
    <definedName name="гурзтг4н9зесай3" localSheetId="1">#REF!</definedName>
    <definedName name="е5" localSheetId="1">'[3]Расчет Серия 2007'!#REF!</definedName>
    <definedName name="ЕК" localSheetId="1">#REF!</definedName>
    <definedName name="зарпл" localSheetId="1">#REF!</definedName>
    <definedName name="зарплпта" localSheetId="1">#REF!</definedName>
    <definedName name="Источник_финансирования" localSheetId="1">#REF!</definedName>
    <definedName name="л" localSheetId="1">#REF!</definedName>
    <definedName name="н" comment="Списки выбора" localSheetId="1">#REF!</definedName>
    <definedName name="Наименование_предприятия" localSheetId="1">[5]Списки!$I$3:$I$37</definedName>
    <definedName name="Наименование_статей_расходов" localSheetId="1">#REF!</definedName>
    <definedName name="нача" localSheetId="1">#REF!</definedName>
    <definedName name="НДС___СН" localSheetId="1">#REF!</definedName>
    <definedName name="НР" localSheetId="1">#REF!</definedName>
    <definedName name="оа" localSheetId="1">#REF!</definedName>
    <definedName name="образц" localSheetId="1">#REF!</definedName>
    <definedName name="олрдл" localSheetId="1">#REF!</definedName>
    <definedName name="Отд_для_ЛР" localSheetId="1">[5]Списки!$B$31:$B$48</definedName>
    <definedName name="Отдел_э" localSheetId="1">#REF!</definedName>
    <definedName name="П" localSheetId="1">#REF!</definedName>
    <definedName name="Портфели" localSheetId="1">#REF!</definedName>
    <definedName name="Портфель_проекта_ГенЗак" localSheetId="1">[5]Списки!$D$3:$D$11</definedName>
    <definedName name="пп" localSheetId="1">#REF!</definedName>
    <definedName name="ПР" localSheetId="1">#REF!</definedName>
    <definedName name="Программа_проектов" localSheetId="1">#REF!</definedName>
    <definedName name="пшнщпд" localSheetId="1">#REF!</definedName>
    <definedName name="распред" localSheetId="1">#REF!</definedName>
    <definedName name="рд" localSheetId="1">'[3]Расчет Серия 2007'!#REF!</definedName>
    <definedName name="ро" localSheetId="1">#REF!</definedName>
    <definedName name="си" localSheetId="1">#REF!</definedName>
    <definedName name="ср_зп_баз" localSheetId="1">#REF!</definedName>
    <definedName name="СС" localSheetId="1">#REF!</definedName>
    <definedName name="сумм_к_аг" localSheetId="1">#REF!</definedName>
    <definedName name="ТН" localSheetId="1">'[17]стрк (расчет)'!$C$19</definedName>
    <definedName name="ф" localSheetId="1">#REF!</definedName>
    <definedName name="ф2" localSheetId="1">'[1]Расчет Серия 2007'!#REF!</definedName>
    <definedName name="ф3" localSheetId="1">#REF!</definedName>
    <definedName name="Факт_за_2018" localSheetId="1">'[18]таблица с данными'!#REF!</definedName>
    <definedName name="фори" localSheetId="1">#REF!</definedName>
    <definedName name="цуц" localSheetId="1">#REF!</definedName>
    <definedName name="шзщожщ" localSheetId="1">'[4]Расчет Серия 2007'!$C$13</definedName>
    <definedName name="щджщдж" comment="Списки выбора" localSheetId="1">#REF!</definedName>
    <definedName name="этап" localSheetId="1">#REF!</definedName>
    <definedName name="Этапы_для_карточки" localSheetId="1">[5]Списки!$G$12:$G$21</definedName>
    <definedName name="ээ" localSheetId="1">#REF!</definedName>
    <definedName name="_xlnm.Print_Area" localSheetId="1">'2д план кальк (2)'!$A$1:$M$72</definedName>
    <definedName name="TABLE" localSheetId="2">'Ф.2а(2ад)'!#REF!</definedName>
    <definedName name="TABLE_2" localSheetId="2">'Ф.2а(2ад)'!#REF!</definedName>
    <definedName name="TR10B" localSheetId="2">#REF!</definedName>
    <definedName name="TR10EXP" localSheetId="2">#REF!</definedName>
    <definedName name="TR10PSZ" localSheetId="2">#REF!</definedName>
    <definedName name="TR10S" localSheetId="2">#REF!</definedName>
    <definedName name="TR10ST" localSheetId="2">#REF!</definedName>
    <definedName name="TR10Y" localSheetId="2">#REF!</definedName>
    <definedName name="TR11B" localSheetId="2">#REF!</definedName>
    <definedName name="TR11PSZ" localSheetId="2">#REF!</definedName>
    <definedName name="TR11S" localSheetId="2">#REF!</definedName>
    <definedName name="TR11ST" localSheetId="2">#REF!</definedName>
    <definedName name="TR11Y" localSheetId="2">#REF!</definedName>
    <definedName name="TR12B" localSheetId="2">#REF!</definedName>
    <definedName name="TR12EXP" localSheetId="2">#REF!</definedName>
    <definedName name="TR12PSZ" localSheetId="2">#REF!</definedName>
    <definedName name="TR12S" localSheetId="2">#REF!</definedName>
    <definedName name="TR12ST" localSheetId="2">#REF!</definedName>
    <definedName name="TR12Y" localSheetId="2">#REF!</definedName>
    <definedName name="TR15B" localSheetId="2">#REF!</definedName>
    <definedName name="TR15EXP" localSheetId="2">#REF!</definedName>
    <definedName name="TR15PSZ" localSheetId="2">#REF!</definedName>
    <definedName name="TR15S" localSheetId="2">#REF!</definedName>
    <definedName name="TR15ST" localSheetId="2">#REF!</definedName>
    <definedName name="TR15Y" localSheetId="2">#REF!</definedName>
    <definedName name="TR1EXP" localSheetId="2">#REF!</definedName>
    <definedName name="TR20B" localSheetId="2">#REF!</definedName>
    <definedName name="TR20EXP" localSheetId="2">#REF!</definedName>
    <definedName name="TR20PSZ" localSheetId="2">#REF!</definedName>
    <definedName name="TR20S" localSheetId="2">#REF!</definedName>
    <definedName name="TR20ST" localSheetId="2">#REF!</definedName>
    <definedName name="TR20Y" localSheetId="2">#REF!</definedName>
    <definedName name="TR21Y" localSheetId="2">#REF!</definedName>
    <definedName name="TR23B" localSheetId="2">#REF!</definedName>
    <definedName name="TR23EXP" localSheetId="2">#REF!</definedName>
    <definedName name="TR23PSZ" localSheetId="2">#REF!</definedName>
    <definedName name="TR23S" localSheetId="2">#REF!</definedName>
    <definedName name="TR23ST" localSheetId="2">#REF!</definedName>
    <definedName name="TR23Y" localSheetId="2">#REF!</definedName>
    <definedName name="TR8B" localSheetId="2">#REF!</definedName>
    <definedName name="TR8EXP" localSheetId="2">#REF!</definedName>
    <definedName name="TR8PSZ" localSheetId="2">#REF!</definedName>
    <definedName name="TR8S" localSheetId="2">#REF!</definedName>
    <definedName name="TR8ST" localSheetId="2">#REF!</definedName>
    <definedName name="TR8Y" localSheetId="2">#REF!</definedName>
    <definedName name="TR9B" localSheetId="2">#REF!</definedName>
    <definedName name="TR9EXP" localSheetId="2">#REF!</definedName>
    <definedName name="TR9PSZ" localSheetId="2">#REF!</definedName>
    <definedName name="TR9S" localSheetId="2">#REF!</definedName>
    <definedName name="TR9ST" localSheetId="2">#REF!</definedName>
    <definedName name="TR9Y" localSheetId="2">#REF!</definedName>
    <definedName name="TRUD1" localSheetId="2">#REF!</definedName>
    <definedName name="TRUD1_EXP" localSheetId="2">#REF!</definedName>
    <definedName name="Т22" localSheetId="2">#REF!</definedName>
    <definedName name="Ф4.1" localSheetId="2">#REF!</definedName>
    <definedName name="Ф4.1_2" localSheetId="2">#REF!</definedName>
    <definedName name="юбь" localSheetId="2">#REF!</definedName>
    <definedName name="_xlnm.Print_Area" localSheetId="2">'Ф.2а(2ад)'!$A$1:$IB$71</definedName>
    <definedName name="_xlnm.Print_Area" localSheetId="3">'9 (9д) ОЗП НИР(ОКР)'!$A$1:$N$33</definedName>
    <definedName name="_xlnm.Print_Area" localSheetId="4">'20 (20д) приб (26г.)'!$A$1:$G$68</definedName>
    <definedName name="_xlnm.Print_Area" localSheetId="5">'20 (20д) приб (27г.)'!$A$1:$G$68</definedName>
    <definedName name="_xlnm.Print_Area" localSheetId="6">'22 (22д) свед. о норм_25'!$A$1:$E$39</definedName>
    <definedName name="_xlnm.Print_Area" localSheetId="7">'22 (22д) свед. о норм_26'!$A$1:$E$39</definedName>
    <definedName name="\" comment="Списки выбора" localSheetId="8">#REF!</definedName>
    <definedName name="\\" localSheetId="8">#REF!</definedName>
    <definedName name="\хз" localSheetId="8">#REF!</definedName>
    <definedName name="Excel_BuiltIn_Print_Area_1_1" localSheetId="8">#REF!</definedName>
    <definedName name="tlbLists" comment="Списки выбора" localSheetId="8">#REF!</definedName>
    <definedName name="ап" localSheetId="8">#REF!</definedName>
    <definedName name="апап" localSheetId="8">#REF!</definedName>
    <definedName name="араплоар" localSheetId="8">#REF!</definedName>
    <definedName name="ббб" localSheetId="8">#REF!</definedName>
    <definedName name="бюджетэкон" localSheetId="8">#REF!</definedName>
    <definedName name="в" localSheetId="8">#REF!</definedName>
    <definedName name="ва" localSheetId="8">'[3]Расчет Серия 2007'!#REF!</definedName>
    <definedName name="ввв" localSheetId="8">#REF!</definedName>
    <definedName name="ВИ_вар.3" localSheetId="8">'[4]Расчет Серия 2007'!#REF!</definedName>
    <definedName name="Вид_деят" localSheetId="8">#REF!</definedName>
    <definedName name="Вид_деятельности" localSheetId="8">[5]Списки!$B$3:$B$8</definedName>
    <definedName name="Вид_заключения" localSheetId="8">[5]Списки!$B$10:$B$11</definedName>
    <definedName name="виоу234" localSheetId="8">#REF!</definedName>
    <definedName name="вкпекр" localSheetId="8">#REF!</definedName>
    <definedName name="г" localSheetId="8">#REF!</definedName>
    <definedName name="Год" localSheetId="8">[5]Списки!$C$16:$C$28</definedName>
    <definedName name="год1996" localSheetId="8">#REF!</definedName>
    <definedName name="год1997" localSheetId="8">#REF!</definedName>
    <definedName name="гурзтг4н9зесай3" localSheetId="8">#REF!</definedName>
    <definedName name="Действие" localSheetId="8">#REF!</definedName>
    <definedName name="джлж" localSheetId="8">#REF!</definedName>
    <definedName name="е5" localSheetId="8">'[3]Расчет Серия 2007'!#REF!</definedName>
    <definedName name="ЕК" localSheetId="8">#REF!</definedName>
    <definedName name="ждл" localSheetId="8">#REF!</definedName>
    <definedName name="жжж" localSheetId="8">#REF!</definedName>
    <definedName name="зарпл" localSheetId="8">#REF!</definedName>
    <definedName name="зарплпта" localSheetId="8">#REF!</definedName>
    <definedName name="зп" localSheetId="8">#REF!</definedName>
    <definedName name="зп_осн" localSheetId="8">#REF!</definedName>
    <definedName name="Источник_финансирования" localSheetId="8">#REF!</definedName>
    <definedName name="итог_зп" localSheetId="8">#REF!</definedName>
    <definedName name="итог_тр" localSheetId="8">#REF!</definedName>
    <definedName name="л" localSheetId="8">#REF!</definedName>
    <definedName name="Лена" localSheetId="8">#REF!</definedName>
    <definedName name="ленаа" localSheetId="8">#REF!</definedName>
    <definedName name="н" comment="Списки выбора" localSheetId="8">#REF!</definedName>
    <definedName name="Наименование_предприятия" localSheetId="8">[5]Списки!$I$3:$I$37</definedName>
    <definedName name="Наименование_статей_расходов" localSheetId="8">#REF!</definedName>
    <definedName name="Накл." localSheetId="8">#REF!</definedName>
    <definedName name="нача" localSheetId="8">#REF!</definedName>
    <definedName name="начал" localSheetId="8">#REF!</definedName>
    <definedName name="Начало" localSheetId="8">#REF!</definedName>
    <definedName name="НДС___СН" localSheetId="8">#REF!</definedName>
    <definedName name="нет" localSheetId="8">#REF!</definedName>
    <definedName name="ннннн" localSheetId="8">#REF!</definedName>
    <definedName name="НР" localSheetId="8">#REF!</definedName>
    <definedName name="оа" localSheetId="8">#REF!</definedName>
    <definedName name="образц" localSheetId="8">#REF!</definedName>
    <definedName name="ожид" localSheetId="8">#REF!</definedName>
    <definedName name="ожид." localSheetId="8">#REF!</definedName>
    <definedName name="олрдл" localSheetId="8">#REF!</definedName>
    <definedName name="омржышсп" localSheetId="8">#REF!</definedName>
    <definedName name="ОООО" comment="Списки выбора" localSheetId="8">#REF!</definedName>
    <definedName name="Отд_для_ЛР" localSheetId="8">[5]Списки!$B$31:$B$48</definedName>
    <definedName name="Отдел_э" localSheetId="8">#REF!</definedName>
    <definedName name="П" localSheetId="8">#REF!</definedName>
    <definedName name="пе" localSheetId="8">#REF!</definedName>
    <definedName name="повтор" localSheetId="8">#REF!</definedName>
    <definedName name="Портфели" localSheetId="8">#REF!</definedName>
    <definedName name="Портфель_проекта_ГенЗак" localSheetId="8">[5]Списки!$D$3:$D$11</definedName>
    <definedName name="пп" localSheetId="8">#REF!</definedName>
    <definedName name="ппппп" localSheetId="8">#REF!</definedName>
    <definedName name="ПР" localSheetId="8">#REF!</definedName>
    <definedName name="прапрл" localSheetId="8">#REF!</definedName>
    <definedName name="Прибыль" localSheetId="8">#REF!</definedName>
    <definedName name="Программа_проектов" localSheetId="8">#REF!</definedName>
    <definedName name="пшнщпд" localSheetId="8">#REF!</definedName>
    <definedName name="р" localSheetId="8">#REF!</definedName>
    <definedName name="р1" localSheetId="8">#REF!</definedName>
    <definedName name="распред" localSheetId="8">#REF!</definedName>
    <definedName name="распред." localSheetId="8">#REF!</definedName>
    <definedName name="рд" localSheetId="8">'[3]Расчет Серия 2007'!#REF!</definedName>
    <definedName name="ро" localSheetId="8">#REF!</definedName>
    <definedName name="рпа" localSheetId="8">#REF!</definedName>
    <definedName name="рпп" localSheetId="8">#REF!</definedName>
    <definedName name="си" localSheetId="8">#REF!</definedName>
    <definedName name="сиг" localSheetId="8">#REF!</definedName>
    <definedName name="сига" localSheetId="8">#REF!</definedName>
    <definedName name="ср_зп_баз" localSheetId="8">#REF!</definedName>
    <definedName name="ср_зп_баз_нов" localSheetId="8">#REF!</definedName>
    <definedName name="СС" localSheetId="8">#REF!</definedName>
    <definedName name="СС1" localSheetId="8">#REF!</definedName>
    <definedName name="Ставка_НДС" localSheetId="8">#REF!</definedName>
    <definedName name="сумм_к_аг" localSheetId="8">#REF!</definedName>
    <definedName name="сумм_ком" localSheetId="8">#REF!</definedName>
    <definedName name="сумм_мат" localSheetId="8">#REF!</definedName>
    <definedName name="ТН" localSheetId="8">'[17]стрк (расчет)'!$C$19</definedName>
    <definedName name="ф" localSheetId="8">#REF!</definedName>
    <definedName name="ф2" localSheetId="8">'[1]Расчет Серия 2007'!#REF!</definedName>
    <definedName name="ф3" localSheetId="8">#REF!</definedName>
    <definedName name="Ф4" localSheetId="8">#REF!</definedName>
    <definedName name="Факт_за_2018" localSheetId="8">'[18]таблица с данными'!#REF!</definedName>
    <definedName name="фори" localSheetId="8">#REF!</definedName>
    <definedName name="форма2кор" localSheetId="8">#REF!</definedName>
    <definedName name="форма3кор" localSheetId="8">#REF!</definedName>
    <definedName name="цуц" localSheetId="8">#REF!</definedName>
    <definedName name="цшугкншгцу" localSheetId="8">#REF!</definedName>
    <definedName name="черновик" comment="Списки выбора" localSheetId="8">#REF!</definedName>
    <definedName name="шзщожщ" localSheetId="8">'[4]Расчет Серия 2007'!$C$13</definedName>
    <definedName name="щджщдж" comment="Списки выбора" localSheetId="8">#REF!</definedName>
    <definedName name="ъх" localSheetId="8">#REF!</definedName>
    <definedName name="ьььь" localSheetId="8">#REF!</definedName>
    <definedName name="этап" localSheetId="8">#REF!</definedName>
    <definedName name="этап_ф2.1" localSheetId="8">#REF!</definedName>
    <definedName name="Этапы_для_карточки" localSheetId="8">[5]Списки!$G$12:$G$21</definedName>
    <definedName name="ээ" localSheetId="8">#REF!</definedName>
    <definedName name="_xlnm.Print_Area" localSheetId="8">'22 (22д) свед. о норм_27'!$A$1:$E$29</definedName>
    <definedName name="_xlnm.Print_Area" localSheetId="11">'12 ОХР (КФО2_ГОЗ) (25-27)'!$A$1:$O$34</definedName>
    <definedName name="_xlnm.Print_Titles" localSheetId="12">'21 свед. об V поставки (25-27)'!$7:$10,'21 свед. об V поставки (25-27)'!$A:$C</definedName>
    <definedName name="_xlnm.Print_Area" localSheetId="12">'21 свед. об V поставки (25-27)'!$A$1:$W$94</definedName>
    <definedName name="_xlnm.Print_Titles" localSheetId="13">'23 труд (25-27)'!$A:$B</definedName>
    <definedName name="_xlnm.Print_Area" localSheetId="13">'23 труд (25-27)'!$A$1:$AA$20</definedName>
    <definedName name="_xlnm.Print_Area" localSheetId="14">'4д матер'!$A$1:$AJ$26</definedName>
    <definedName name="_xlnm.Print_Area" localSheetId="16">'6д пки'!$A$1:$AJ$17</definedName>
    <definedName name="_xlnm.Print_Area" localSheetId="17">'7(7д) работы(усл) НИР(ОКР)'!$A$1:$K$32</definedName>
    <definedName name="_xlnm.Print_Area" localSheetId="18">'8 (8д) ТЗР'!$A$1:$N$24</definedName>
    <definedName name="_xlnm.Print_Area" localSheetId="19">'11дОПР'!$A$1:$M$25</definedName>
    <definedName name="_xlnm.Print_Area" localSheetId="20">'13д внепроизв. расх.'!$A$1:$M$27</definedName>
    <definedName name="_xlnm.Print_Area" localSheetId="21">'14д СЗ'!$A$1:$K$19</definedName>
    <definedName name="_xlnm.Print_Area" localSheetId="22">' 15 (15д) НИР(ОКР) Спецобор'!$A$1:$O$23</definedName>
    <definedName name="_xlnm.Print_Area" localSheetId="23">'16д спец. тех. оснастка'!$A$1:$J$44</definedName>
    <definedName name="_xlnm.Print_Area" localSheetId="24">'17 (17д) осв пр-ва'!$A$1:$O$26</definedName>
    <definedName name="_xlnm.Print_Area" localSheetId="25">'18 (18д) проч з'!$A$1:$G$22</definedName>
    <definedName name="_xlnm.Print_Area" localSheetId="26">'19 (19д) Командировки'!$A$1:$Q$19</definedName>
    <definedName name="_xlnm.Print_Area" localSheetId="27">'10 (10д) ДЗП'!$A$1:$F$39</definedName>
    <definedName name="TR10B" localSheetId="28">#REF!</definedName>
    <definedName name="TR10EXP" localSheetId="28">#REF!</definedName>
    <definedName name="TR10PSZ" localSheetId="28">#REF!</definedName>
    <definedName name="TR10S" localSheetId="28">#REF!</definedName>
    <definedName name="TR10ST" localSheetId="28">#REF!</definedName>
    <definedName name="TR10Y" localSheetId="28">#REF!</definedName>
    <definedName name="TR11B" localSheetId="28">#REF!</definedName>
    <definedName name="TR11PSZ" localSheetId="28">#REF!</definedName>
    <definedName name="TR11S" localSheetId="28">#REF!</definedName>
    <definedName name="TR11ST" localSheetId="28">#REF!</definedName>
    <definedName name="TR11Y" localSheetId="28">#REF!</definedName>
    <definedName name="TR12B" localSheetId="28">#REF!</definedName>
    <definedName name="TR12EXP" localSheetId="28">#REF!</definedName>
    <definedName name="TR12PSZ" localSheetId="28">#REF!</definedName>
    <definedName name="TR12S" localSheetId="28">#REF!</definedName>
    <definedName name="TR12ST" localSheetId="28">#REF!</definedName>
    <definedName name="TR12Y" localSheetId="28">#REF!</definedName>
    <definedName name="TR15B" localSheetId="28">#REF!</definedName>
    <definedName name="TR15EXP" localSheetId="28">#REF!</definedName>
    <definedName name="TR15PSZ" localSheetId="28">#REF!</definedName>
    <definedName name="TR15S" localSheetId="28">#REF!</definedName>
    <definedName name="TR15ST" localSheetId="28">#REF!</definedName>
    <definedName name="TR15Y" localSheetId="28">#REF!</definedName>
    <definedName name="TR1EXP" localSheetId="28">#REF!</definedName>
    <definedName name="TR20B" localSheetId="28">#REF!</definedName>
    <definedName name="TR20EXP" localSheetId="28">#REF!</definedName>
    <definedName name="TR20PSZ" localSheetId="28">#REF!</definedName>
    <definedName name="TR20S" localSheetId="28">#REF!</definedName>
    <definedName name="TR20ST" localSheetId="28">#REF!</definedName>
    <definedName name="TR20Y" localSheetId="28">#REF!</definedName>
    <definedName name="TR21Y" localSheetId="28">#REF!</definedName>
    <definedName name="TR23B" localSheetId="28">#REF!</definedName>
    <definedName name="TR23EXP" localSheetId="28">#REF!</definedName>
    <definedName name="TR23PSZ" localSheetId="28">#REF!</definedName>
    <definedName name="TR23S" localSheetId="28">#REF!</definedName>
    <definedName name="TR23ST" localSheetId="28">#REF!</definedName>
    <definedName name="TR23Y" localSheetId="28">#REF!</definedName>
    <definedName name="TR8B" localSheetId="28">#REF!</definedName>
    <definedName name="TR8EXP" localSheetId="28">#REF!</definedName>
    <definedName name="TR8PSZ" localSheetId="28">#REF!</definedName>
    <definedName name="TR8S" localSheetId="28">#REF!</definedName>
    <definedName name="TR8ST" localSheetId="28">#REF!</definedName>
    <definedName name="TR8Y" localSheetId="28">#REF!</definedName>
    <definedName name="TR9B" localSheetId="28">#REF!</definedName>
    <definedName name="TR9EXP" localSheetId="28">#REF!</definedName>
    <definedName name="TR9PSZ" localSheetId="28">#REF!</definedName>
    <definedName name="TR9S" localSheetId="28">#REF!</definedName>
    <definedName name="TR9ST" localSheetId="28">#REF!</definedName>
    <definedName name="TR9Y" localSheetId="28">#REF!</definedName>
    <definedName name="TRUD1" localSheetId="28">#REF!</definedName>
    <definedName name="TRUD1_EXP" localSheetId="28">#REF!</definedName>
    <definedName name="юбь" localSheetId="28">#REF!</definedName>
    <definedName name="_xlnm.Print_Area" localSheetId="28">'Ф.12'!$A$1:$GQ$27</definedName>
    <definedName name="TR10B" localSheetId="29">#REF!</definedName>
    <definedName name="TR10EXP" localSheetId="29">#REF!</definedName>
    <definedName name="TR10PSZ" localSheetId="29">#REF!</definedName>
    <definedName name="TR10S" localSheetId="29">#REF!</definedName>
    <definedName name="TR10ST" localSheetId="29">#REF!</definedName>
    <definedName name="TR10Y" localSheetId="29">#REF!</definedName>
    <definedName name="TR11B" localSheetId="29">#REF!</definedName>
    <definedName name="TR11PSZ" localSheetId="29">#REF!</definedName>
    <definedName name="TR11S" localSheetId="29">#REF!</definedName>
    <definedName name="TR11ST" localSheetId="29">#REF!</definedName>
    <definedName name="TR11Y" localSheetId="29">#REF!</definedName>
    <definedName name="TR12B" localSheetId="29">#REF!</definedName>
    <definedName name="TR12EXP" localSheetId="29">#REF!</definedName>
    <definedName name="TR12PSZ" localSheetId="29">#REF!</definedName>
    <definedName name="TR12S" localSheetId="29">#REF!</definedName>
    <definedName name="TR12ST" localSheetId="29">#REF!</definedName>
    <definedName name="TR12Y" localSheetId="29">#REF!</definedName>
    <definedName name="TR15B" localSheetId="29">#REF!</definedName>
    <definedName name="TR15EXP" localSheetId="29">#REF!</definedName>
    <definedName name="TR15PSZ" localSheetId="29">#REF!</definedName>
    <definedName name="TR15S" localSheetId="29">#REF!</definedName>
    <definedName name="TR15ST" localSheetId="29">#REF!</definedName>
    <definedName name="TR15Y" localSheetId="29">#REF!</definedName>
    <definedName name="TR1EXP" localSheetId="29">#REF!</definedName>
    <definedName name="TR20B" localSheetId="29">#REF!</definedName>
    <definedName name="TR20EXP" localSheetId="29">#REF!</definedName>
    <definedName name="TR20PSZ" localSheetId="29">#REF!</definedName>
    <definedName name="TR20S" localSheetId="29">#REF!</definedName>
    <definedName name="TR20ST" localSheetId="29">#REF!</definedName>
    <definedName name="TR20Y" localSheetId="29">#REF!</definedName>
    <definedName name="TR21Y" localSheetId="29">#REF!</definedName>
    <definedName name="TR23B" localSheetId="29">#REF!</definedName>
    <definedName name="TR23EXP" localSheetId="29">#REF!</definedName>
    <definedName name="TR23PSZ" localSheetId="29">#REF!</definedName>
    <definedName name="TR23S" localSheetId="29">#REF!</definedName>
    <definedName name="TR23ST" localSheetId="29">#REF!</definedName>
    <definedName name="TR23Y" localSheetId="29">#REF!</definedName>
    <definedName name="TR8B" localSheetId="29">#REF!</definedName>
    <definedName name="TR8EXP" localSheetId="29">#REF!</definedName>
    <definedName name="TR8PSZ" localSheetId="29">#REF!</definedName>
    <definedName name="TR8S" localSheetId="29">#REF!</definedName>
    <definedName name="TR8ST" localSheetId="29">#REF!</definedName>
    <definedName name="TR8Y" localSheetId="29">#REF!</definedName>
    <definedName name="TR9B" localSheetId="29">#REF!</definedName>
    <definedName name="TR9EXP" localSheetId="29">#REF!</definedName>
    <definedName name="TR9PSZ" localSheetId="29">#REF!</definedName>
    <definedName name="TR9S" localSheetId="29">#REF!</definedName>
    <definedName name="TR9ST" localSheetId="29">#REF!</definedName>
    <definedName name="TR9Y" localSheetId="29">#REF!</definedName>
    <definedName name="TRUD1" localSheetId="29">#REF!</definedName>
    <definedName name="TRUD1_EXP" localSheetId="29">#REF!</definedName>
    <definedName name="Т22" localSheetId="29">#REF!</definedName>
    <definedName name="Ф4.1" localSheetId="29">#REF!</definedName>
    <definedName name="Ф4.1_2" localSheetId="29">#REF!</definedName>
    <definedName name="юбь" localSheetId="29">#REF!</definedName>
    <definedName name="_xlnm.Print_Area" localSheetId="29">'Ф.23'!$A$1:$GO$28</definedName>
  </definedNames>
  <calcPr calcId="191029" fullCalcOnLoad="1"/>
</workbook>
</file>

<file path=xl/styles.xml><?xml version="1.0" encoding="utf-8"?>
<styleSheet xmlns="http://schemas.openxmlformats.org/spreadsheetml/2006/main">
  <numFmts count="11">
    <numFmt numFmtId="164" formatCode="#,##0.00\ _₽"/>
    <numFmt numFmtId="165" formatCode="0.0"/>
    <numFmt numFmtId="166" formatCode="_-* #,##0.00_-;\-* #,##0.00_-;_-* &quot;-&quot;??_-;_-@_-"/>
    <numFmt numFmtId="167" formatCode="#,##0.000"/>
    <numFmt numFmtId="168" formatCode="#,##0.0000"/>
    <numFmt numFmtId="169" formatCode="0.000"/>
    <numFmt numFmtId="170" formatCode="#,##0_р_."/>
    <numFmt numFmtId="171" formatCode="0.0000%"/>
    <numFmt numFmtId="172" formatCode="0.0000"/>
    <numFmt numFmtId="173" formatCode="#,##0.00\ &quot;₽&quot;"/>
    <numFmt numFmtId="174" formatCode="0_)"/>
  </numFmts>
  <fonts count="135">
    <font>
      <name val="Calibri"/>
      <charset val="204"/>
      <family val="2"/>
      <color theme="1"/>
      <sz val="11"/>
      <scheme val="minor"/>
    </font>
    <font>
      <name val="Arial Cyr"/>
      <charset val="204"/>
      <sz val="10"/>
    </font>
    <font>
      <name val="Times New Roman"/>
      <charset val="204"/>
      <family val="1"/>
      <sz val="11"/>
    </font>
    <font>
      <name val="Times New Roman"/>
      <charset val="204"/>
      <family val="1"/>
      <sz val="10"/>
    </font>
    <font>
      <name val="Calibri"/>
      <charset val="204"/>
      <family val="2"/>
      <color theme="1"/>
      <sz val="11"/>
      <scheme val="minor"/>
    </font>
    <font>
      <name val="Helv"/>
      <charset val="204"/>
      <sz val="10"/>
    </font>
    <font>
      <name val="Arial"/>
      <charset val="204"/>
      <family val="2"/>
      <sz val="10"/>
    </font>
    <font>
      <name val="Arial"/>
      <charset val="204"/>
      <family val="2"/>
      <sz val="10"/>
    </font>
    <font>
      <name val="Arial"/>
      <charset val="204"/>
      <family val="2"/>
      <color indexed="8"/>
      <sz val="10"/>
    </font>
    <font>
      <name val="Helv"/>
      <sz val="10"/>
    </font>
    <font>
      <name val="Arial Cyr"/>
      <charset val="204"/>
      <family val="2"/>
      <sz val="10"/>
    </font>
    <font>
      <name val="Verdana"/>
      <charset val="204"/>
      <family val="2"/>
      <b val="1"/>
      <color indexed="9"/>
      <sz val="10"/>
    </font>
    <font>
      <name val="Arial"/>
      <charset val="204"/>
      <family val="2"/>
      <color indexed="9"/>
      <sz val="10"/>
    </font>
    <font>
      <name val="Verdana"/>
      <charset val="204"/>
      <family val="2"/>
      <color indexed="8"/>
      <sz val="10"/>
    </font>
    <font>
      <name val="Calibri"/>
      <charset val="204"/>
      <family val="2"/>
      <color indexed="8"/>
      <sz val="11"/>
    </font>
    <font>
      <name val="Courier"/>
      <charset val="204"/>
      <family val="1"/>
      <sz val="10"/>
    </font>
    <font>
      <name val="Times New Roman"/>
      <charset val="204"/>
      <family val="1"/>
      <color theme="1"/>
      <sz val="10"/>
    </font>
    <font>
      <name val="Times New Roman"/>
      <charset val="204"/>
      <family val="1"/>
      <color theme="1"/>
      <sz val="9"/>
    </font>
    <font>
      <name val="Times New Roman"/>
      <charset val="204"/>
      <family val="1"/>
      <color theme="1"/>
      <sz val="12"/>
    </font>
    <font>
      <name val="Times New Roman"/>
      <charset val="204"/>
      <family val="1"/>
      <b val="1"/>
      <color theme="1"/>
      <sz val="12"/>
    </font>
    <font>
      <name val="Times New Roman"/>
      <charset val="204"/>
      <family val="1"/>
      <color theme="1"/>
      <sz val="11"/>
    </font>
    <font>
      <name val="Times New Roman"/>
      <charset val="204"/>
      <family val="1"/>
      <strike val="1"/>
      <color theme="1"/>
      <sz val="10"/>
    </font>
    <font>
      <name val="Times New Roman"/>
      <charset val="204"/>
      <family val="1"/>
      <b val="1"/>
      <color theme="1"/>
      <sz val="10"/>
    </font>
    <font>
      <name val="Calibri"/>
      <charset val="204"/>
      <family val="2"/>
      <color theme="1"/>
      <sz val="10"/>
      <scheme val="minor"/>
    </font>
    <font>
      <name val="Times New Roman"/>
      <charset val="204"/>
      <family val="1"/>
      <b val="1"/>
      <color theme="1"/>
      <sz val="11"/>
    </font>
    <font>
      <name val="Times New Roman"/>
      <charset val="204"/>
      <family val="1"/>
      <i val="1"/>
      <color theme="1"/>
      <sz val="10"/>
    </font>
    <font>
      <name val="Times New Roman"/>
      <charset val="204"/>
      <family val="1"/>
      <strike val="1"/>
      <color theme="1"/>
      <sz val="11"/>
    </font>
    <font>
      <name val="Times New Roman"/>
      <charset val="204"/>
      <family val="1"/>
      <b val="1"/>
      <color theme="1"/>
      <sz val="14"/>
    </font>
    <font>
      <name val="Times New Roman"/>
      <charset val="204"/>
      <family val="1"/>
      <i val="1"/>
      <color theme="1"/>
      <sz val="11"/>
    </font>
    <font>
      <name val="Arial"/>
      <charset val="204"/>
      <family val="2"/>
      <color theme="1"/>
      <sz val="10"/>
    </font>
    <font>
      <name val="Times New Roman"/>
      <family val="1"/>
      <color theme="1"/>
      <sz val="11"/>
    </font>
    <font>
      <name val="Times New Roman"/>
      <charset val="204"/>
      <family val="1"/>
      <color theme="1"/>
      <sz val="14"/>
    </font>
    <font>
      <name val="Times New Roman"/>
      <charset val="204"/>
      <family val="1"/>
      <b val="1"/>
      <color theme="1"/>
      <sz val="9"/>
    </font>
    <font>
      <name val="Times New Roman"/>
      <charset val="204"/>
      <family val="1"/>
      <strike val="1"/>
      <color theme="1"/>
      <sz val="9"/>
    </font>
    <font>
      <name val="Times New Roman"/>
      <charset val="204"/>
      <family val="1"/>
      <b val="1"/>
      <i val="1"/>
      <color theme="1"/>
      <sz val="11"/>
    </font>
    <font>
      <name val="Times New Roman"/>
      <charset val="204"/>
      <family val="1"/>
      <i val="1"/>
      <color theme="1"/>
      <sz val="12"/>
    </font>
    <font>
      <name val="Times New Roman"/>
      <charset val="204"/>
      <family val="1"/>
      <color theme="1"/>
      <sz val="8"/>
    </font>
    <font>
      <name val="Times New Roman"/>
      <charset val="204"/>
      <family val="1"/>
      <i val="1"/>
      <color theme="1"/>
      <sz val="9"/>
    </font>
    <font>
      <name val="Times New Roman"/>
      <family val="1"/>
      <color theme="1"/>
      <sz val="12"/>
    </font>
    <font>
      <name val="Times New Roman"/>
      <charset val="204"/>
      <family val="1"/>
      <strike val="1"/>
      <color theme="1"/>
      <sz val="14"/>
    </font>
    <font>
      <name val="Times New Roman"/>
      <charset val="204"/>
      <family val="1"/>
      <color theme="1"/>
      <sz val="16"/>
    </font>
    <font>
      <name val="Arial"/>
      <charset val="204"/>
      <family val="2"/>
      <i val="1"/>
      <color theme="1"/>
      <sz val="10"/>
    </font>
    <font>
      <name val="Calibri"/>
      <charset val="204"/>
      <family val="2"/>
      <color theme="1"/>
      <sz val="11"/>
    </font>
    <font>
      <name val="Times New Roman"/>
      <charset val="204"/>
      <family val="1"/>
      <sz val="14"/>
    </font>
    <font>
      <name val="Times New Roman"/>
      <charset val="204"/>
      <family val="1"/>
      <color indexed="8"/>
      <sz val="10"/>
    </font>
    <font>
      <name val="Times New Roman"/>
      <charset val="204"/>
      <family val="1"/>
      <sz val="9"/>
    </font>
    <font>
      <name val="Times New Roman"/>
      <charset val="204"/>
      <family val="1"/>
      <b val="1"/>
      <color indexed="8"/>
      <sz val="14"/>
      <vertAlign val="superscript"/>
    </font>
    <font>
      <name val="Times New Roman"/>
      <charset val="204"/>
      <family val="1"/>
      <b val="1"/>
      <color indexed="8"/>
      <sz val="14"/>
    </font>
    <font>
      <name val="Times New Roman"/>
      <charset val="204"/>
      <family val="1"/>
      <color indexed="8"/>
      <sz val="12"/>
    </font>
    <font>
      <name val="Times New Roman"/>
      <charset val="204"/>
      <family val="1"/>
      <color indexed="8"/>
      <sz val="12"/>
      <vertAlign val="superscript"/>
    </font>
    <font>
      <name val="Times New Roman"/>
      <charset val="204"/>
      <family val="1"/>
      <color theme="1"/>
      <sz val="18"/>
    </font>
    <font>
      <name val="Times New Roman"/>
      <family val="1"/>
      <b val="1"/>
      <color theme="1"/>
      <sz val="18"/>
    </font>
    <font>
      <name val="Times New Roman"/>
      <family val="1"/>
      <i val="1"/>
      <color theme="1"/>
      <sz val="18"/>
    </font>
    <font>
      <name val="Times New Roman"/>
      <family val="1"/>
      <color theme="1"/>
      <sz val="18"/>
    </font>
    <font>
      <name val="Times New Roman"/>
      <family val="1"/>
      <i val="1"/>
      <color theme="1"/>
      <sz val="12"/>
    </font>
    <font>
      <name val="Times New Roman"/>
      <charset val="204"/>
      <family val="1"/>
      <color indexed="8"/>
      <sz val="10"/>
      <vertAlign val="superscript"/>
    </font>
    <font>
      <name val="Times New Roman"/>
      <family val="1"/>
      <color theme="1"/>
      <sz val="14"/>
    </font>
    <font>
      <name val="Times New Roman"/>
      <charset val="204"/>
      <family val="1"/>
      <b val="1"/>
      <color indexed="8"/>
      <sz val="12"/>
      <vertAlign val="superscript"/>
    </font>
    <font>
      <name val="Times New Roman"/>
      <charset val="204"/>
      <family val="1"/>
      <b val="1"/>
      <color indexed="8"/>
      <sz val="12"/>
    </font>
    <font>
      <name val="Calibri"/>
      <family val="2"/>
      <color theme="1"/>
      <sz val="11"/>
      <scheme val="minor"/>
    </font>
    <font>
      <name val="Times New Roman"/>
      <charset val="204"/>
      <family val="1"/>
      <color indexed="8"/>
      <sz val="11"/>
    </font>
    <font>
      <name val="Times New Roman"/>
      <charset val="204"/>
      <family val="1"/>
      <color indexed="8"/>
      <sz val="11"/>
      <vertAlign val="superscript"/>
    </font>
    <font>
      <name val="Times New Roman"/>
      <family val="1"/>
      <b val="1"/>
      <color indexed="8"/>
      <sz val="12"/>
    </font>
    <font>
      <name val="Times New Roman"/>
      <family val="1"/>
      <color indexed="8"/>
      <sz val="10"/>
    </font>
    <font>
      <name val="Times New Roman"/>
      <family val="1"/>
      <i val="1"/>
      <color indexed="8"/>
      <sz val="10"/>
    </font>
    <font>
      <name val="Times New Roman"/>
      <charset val="204"/>
      <family val="1"/>
      <i val="1"/>
      <color indexed="8"/>
      <sz val="10"/>
    </font>
    <font>
      <name val="Times New Roman"/>
      <family val="1"/>
      <color indexed="8"/>
      <sz val="11"/>
    </font>
    <font>
      <name val="Times New Roman"/>
      <family val="1"/>
      <color indexed="8"/>
      <sz val="10"/>
      <vertAlign val="superscript"/>
    </font>
    <font>
      <name val="Times New Roman"/>
      <family val="1"/>
      <color theme="1"/>
      <sz val="16"/>
    </font>
    <font>
      <name val="Times New Roman"/>
      <charset val="204"/>
      <family val="1"/>
      <color rgb="FF000000"/>
      <sz val="11"/>
    </font>
    <font>
      <name val="Times New Roman"/>
      <charset val="204"/>
      <family val="1"/>
      <strike val="1"/>
      <color theme="1"/>
      <sz val="18"/>
    </font>
    <font>
      <name val="Calibri"/>
      <charset val="204"/>
      <family val="2"/>
      <color theme="1"/>
      <sz val="18"/>
      <scheme val="minor"/>
    </font>
    <font>
      <name val="Arial"/>
      <charset val="204"/>
      <family val="2"/>
      <color theme="1"/>
      <sz val="18"/>
    </font>
    <font>
      <name val="Times New Roman"/>
      <charset val="204"/>
      <family val="1"/>
      <color indexed="8"/>
      <sz val="9"/>
    </font>
    <font>
      <name val="Times New Roman"/>
      <charset val="204"/>
      <family val="1"/>
      <color indexed="8"/>
      <sz val="9"/>
      <vertAlign val="superscript"/>
    </font>
    <font>
      <name val="Times New Roman"/>
      <charset val="204"/>
      <family val="1"/>
      <strike val="1"/>
      <color indexed="8"/>
      <sz val="11"/>
    </font>
    <font>
      <name val="Times New Roman"/>
      <charset val="204"/>
      <family val="1"/>
      <b val="1"/>
      <sz val="10"/>
    </font>
    <font>
      <name val="Times New Roman"/>
      <charset val="204"/>
      <family val="1"/>
      <b val="1"/>
      <sz val="11"/>
    </font>
    <font>
      <name val="Times New Roman"/>
      <charset val="204"/>
      <family val="1"/>
      <sz val="8"/>
    </font>
    <font>
      <name val="Times New Roman"/>
      <charset val="204"/>
      <family val="1"/>
      <i val="1"/>
      <sz val="8"/>
    </font>
    <font>
      <name val="Times New Roman"/>
      <charset val="204"/>
      <family val="1"/>
      <sz val="9.800000000000001"/>
    </font>
    <font>
      <name val="Times New Roman"/>
      <charset val="204"/>
      <family val="1"/>
      <sz val="8"/>
      <vertAlign val="superscript"/>
    </font>
    <font>
      <name val="Times New Roman"/>
      <family val="1"/>
      <color theme="1"/>
      <sz val="20"/>
    </font>
    <font>
      <name val="Times New Roman"/>
      <charset val="204"/>
      <family val="1"/>
      <i val="1"/>
      <color theme="1"/>
      <sz val="14"/>
    </font>
    <font>
      <name val="Calibri"/>
      <charset val="204"/>
      <family val="2"/>
      <color theme="1"/>
      <sz val="14"/>
      <scheme val="minor"/>
    </font>
    <font>
      <name val="Times New Roman"/>
      <charset val="204"/>
      <family val="1"/>
      <i val="1"/>
      <color theme="1"/>
      <sz val="18"/>
    </font>
    <font>
      <name val="Times New Roman"/>
      <charset val="204"/>
      <family val="1"/>
      <sz val="6"/>
    </font>
    <font>
      <name val="Times New Roman"/>
      <charset val="204"/>
      <family val="1"/>
      <b val="1"/>
      <sz val="9"/>
    </font>
    <font>
      <name val="Times New Roman"/>
      <charset val="204"/>
      <family val="1"/>
      <sz val="10"/>
      <vertAlign val="superscript"/>
    </font>
    <font>
      <name val="Calibri"/>
      <charset val="204"/>
      <family val="2"/>
      <sz val="11"/>
      <scheme val="minor"/>
    </font>
    <font>
      <name val="Calibri"/>
      <charset val="204"/>
      <family val="2"/>
      <color theme="1"/>
      <sz val="12"/>
      <scheme val="minor"/>
    </font>
    <font>
      <name val="Times New Roman"/>
      <charset val="204"/>
      <family val="1"/>
      <sz val="10"/>
      <u val="single"/>
    </font>
    <font>
      <name val="Times New Roman"/>
      <charset val="204"/>
      <family val="1"/>
      <sz val="12"/>
    </font>
    <font>
      <name val="Times New Roman"/>
      <family val="1"/>
      <sz val="12"/>
    </font>
    <font>
      <name val="Times New Roman"/>
      <charset val="204"/>
      <family val="1"/>
      <b val="1"/>
      <sz val="12"/>
    </font>
    <font>
      <name val="Times New Roman"/>
      <charset val="204"/>
      <family val="1"/>
      <sz val="12"/>
      <u val="single"/>
    </font>
    <font>
      <name val="Times New Roman"/>
      <family val="1"/>
      <sz val="10"/>
    </font>
    <font>
      <name val="Calibri"/>
      <charset val="204"/>
      <family val="2"/>
      <i val="1"/>
      <color theme="1"/>
      <sz val="10"/>
      <scheme val="minor"/>
    </font>
    <font>
      <name val="Times New Roman"/>
      <charset val="204"/>
      <family val="1"/>
      <color indexed="8"/>
      <sz val="11"/>
      <u val="single"/>
    </font>
    <font>
      <name val="Times New Roman"/>
      <charset val="204"/>
      <family val="1"/>
      <i val="1"/>
      <sz val="14"/>
    </font>
    <font>
      <name val="Times New Roman"/>
      <family val="1"/>
      <sz val="14"/>
    </font>
    <font>
      <name val="Times New Roman"/>
      <family val="1"/>
      <i val="1"/>
      <sz val="14"/>
    </font>
    <font>
      <name val="Times New Roman"/>
      <family val="1"/>
      <strike val="1"/>
      <color theme="1"/>
      <sz val="14"/>
    </font>
    <font>
      <name val="Times New Roman"/>
      <family val="1"/>
      <color theme="1"/>
      <sz val="22"/>
    </font>
    <font>
      <name val="Times New Roman"/>
      <charset val="204"/>
      <family val="1"/>
      <color indexed="9"/>
      <sz val="9"/>
    </font>
    <font>
      <name val="Times New Roman"/>
      <family val="1"/>
      <color indexed="8"/>
      <sz val="9"/>
    </font>
    <font>
      <name val="Calibri"/>
      <charset val="204"/>
      <family val="2"/>
      <color theme="1"/>
      <sz val="9"/>
      <scheme val="minor"/>
    </font>
    <font>
      <name val="Times New Roman"/>
      <charset val="204"/>
      <family val="1"/>
      <strike val="1"/>
      <color theme="1"/>
      <sz val="8"/>
    </font>
    <font>
      <name val="Times New Roman"/>
      <family val="1"/>
      <b val="1"/>
      <color theme="1"/>
      <sz val="14"/>
    </font>
    <font>
      <name val="Times New Roman"/>
      <family val="1"/>
      <color indexed="8"/>
      <sz val="14"/>
    </font>
    <font>
      <name val="Times New Roman"/>
      <family val="1"/>
      <b val="1"/>
      <color theme="1"/>
      <sz val="16"/>
    </font>
    <font>
      <name val="Times New Roman"/>
      <charset val="204"/>
      <family val="1"/>
      <b val="1"/>
      <color theme="1"/>
      <sz val="16"/>
    </font>
    <font>
      <name val="Times New Roman"/>
      <charset val="204"/>
      <family val="1"/>
      <color theme="1"/>
      <sz val="10"/>
      <vertAlign val="superscript"/>
    </font>
    <font>
      <name val="Times New Roman"/>
      <charset val="204"/>
      <family val="1"/>
      <b val="1"/>
      <color rgb="FF000000"/>
      <sz val="12"/>
    </font>
    <font>
      <name val="Times New Roman"/>
      <family val="1"/>
      <color indexed="8"/>
      <sz val="12"/>
    </font>
    <font>
      <name val="Calibri"/>
      <charset val="204"/>
      <family val="2"/>
      <b val="1"/>
      <sz val="11"/>
      <scheme val="minor"/>
    </font>
    <font>
      <name val="Calibri"/>
      <charset val="204"/>
      <family val="2"/>
      <sz val="18"/>
      <scheme val="minor"/>
    </font>
    <font>
      <name val="Calibri"/>
      <charset val="204"/>
      <family val="2"/>
      <sz val="12"/>
      <scheme val="minor"/>
    </font>
    <font>
      <name val="Times New Roman"/>
      <charset val="204"/>
      <family val="1"/>
      <strike val="1"/>
      <color indexed="8"/>
      <sz val="10"/>
    </font>
    <font>
      <name val="Times New Roman"/>
      <charset val="204"/>
      <family val="1"/>
      <strike val="1"/>
      <sz val="10"/>
    </font>
    <font>
      <name val="Times New Roman"/>
      <charset val="204"/>
      <family val="1"/>
      <color theme="1"/>
      <sz val="10"/>
      <u val="single"/>
    </font>
    <font>
      <name val="Times New Roman"/>
      <charset val="204"/>
      <family val="1"/>
      <color rgb="FFFF0000"/>
      <sz val="10"/>
    </font>
    <font>
      <name val="Tahoma"/>
      <charset val="204"/>
      <family val="2"/>
      <b val="1"/>
      <color indexed="81"/>
      <sz val="9"/>
    </font>
    <font>
      <name val="Tahoma"/>
      <charset val="204"/>
      <family val="2"/>
      <color indexed="81"/>
      <sz val="9"/>
    </font>
    <font>
      <name val="Times New Roman"/>
      <charset val="204"/>
      <family val="1"/>
      <color rgb="FF000000"/>
      <sz val="12"/>
    </font>
    <font>
      <name val="Calibri"/>
      <charset val="204"/>
      <family val="2"/>
      <color theme="1"/>
      <sz val="16"/>
      <scheme val="minor"/>
    </font>
    <font>
      <name val="Times New Roman"/>
      <charset val="204"/>
      <family val="1"/>
      <color theme="1"/>
      <sz val="15"/>
    </font>
    <font>
      <name val="Arial Cyr"/>
      <charset val="204"/>
      <color theme="1"/>
      <sz val="10"/>
    </font>
    <font>
      <name val="Times New Roman"/>
      <family val="1"/>
      <color theme="1"/>
      <sz val="10"/>
    </font>
    <font>
      <name val="Times New Roman"/>
      <family val="1"/>
      <strike val="1"/>
      <color theme="1"/>
      <sz val="18"/>
    </font>
    <font>
      <name val="Times New Roman"/>
      <family val="1"/>
      <strike val="1"/>
      <color theme="1"/>
      <sz val="12"/>
    </font>
    <font>
      <name val="Times New Roman"/>
      <charset val="204"/>
      <family val="1"/>
      <sz val="16"/>
    </font>
    <font>
      <name val="Times New Roman"/>
      <family val="1"/>
      <sz val="19"/>
    </font>
    <font>
      <name val="Times New Roman"/>
      <family val="1"/>
      <color theme="1"/>
      <sz val="19"/>
    </font>
    <font>
      <name val="Times New Roman"/>
      <family val="1"/>
      <i val="1"/>
      <sz val="19"/>
    </font>
  </fonts>
  <fills count="8">
    <fill>
      <patternFill/>
    </fill>
    <fill>
      <patternFill patternType="gray125"/>
    </fill>
    <fill>
      <patternFill patternType="solid">
        <fgColor indexed="62"/>
        <bgColor indexed="64"/>
      </patternFill>
    </fill>
    <fill>
      <patternFill patternType="solid">
        <fgColor indexed="61"/>
        <bgColor indexed="64"/>
      </patternFill>
    </fill>
    <fill>
      <patternFill patternType="solid">
        <fgColor indexed="63"/>
        <bgColor indexed="64"/>
      </patternFill>
    </fill>
    <fill>
      <patternFill patternType="solid">
        <fgColor indexed="60"/>
        <bgColor indexed="64"/>
      </patternFill>
    </fill>
    <fill>
      <patternFill patternType="solid">
        <fgColor rgb="FFFFFF00"/>
        <bgColor indexed="64"/>
      </patternFill>
    </fill>
    <fill>
      <patternFill patternType="solid">
        <fgColor theme="0"/>
        <bgColor indexed="64"/>
      </patternFill>
    </fill>
  </fills>
  <borders count="3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s>
  <cellStyleXfs count="53">
    <xf numFmtId="0" fontId="4" fillId="0" borderId="0"/>
    <xf numFmtId="0" fontId="1" fillId="0" borderId="0"/>
    <xf numFmtId="9" fontId="4" fillId="0" borderId="0"/>
    <xf numFmtId="0" fontId="1" fillId="0" borderId="0"/>
    <xf numFmtId="0" fontId="5" fillId="0" borderId="0"/>
    <xf numFmtId="0" fontId="5" fillId="0" borderId="0"/>
    <xf numFmtId="0" fontId="1" fillId="0" borderId="0"/>
    <xf numFmtId="0" fontId="7" fillId="0" borderId="0"/>
    <xf numFmtId="0" fontId="8" fillId="0" borderId="0" applyAlignment="1">
      <alignment vertical="top"/>
    </xf>
    <xf numFmtId="0" fontId="9" fillId="0" borderId="0"/>
    <xf numFmtId="0" fontId="10" fillId="0" borderId="0"/>
    <xf numFmtId="0" fontId="9" fillId="0" borderId="0"/>
    <xf numFmtId="0" fontId="5" fillId="0" borderId="0"/>
    <xf numFmtId="0" fontId="3" fillId="0" borderId="0"/>
    <xf numFmtId="0" fontId="9" fillId="0" borderId="0"/>
    <xf numFmtId="2" fontId="11" fillId="2" borderId="16"/>
    <xf numFmtId="2" fontId="11" fillId="2" borderId="16"/>
    <xf numFmtId="2" fontId="12" fillId="0" borderId="0"/>
    <xf numFmtId="2" fontId="13" fillId="0" borderId="0"/>
    <xf numFmtId="2" fontId="13" fillId="3" borderId="16"/>
    <xf numFmtId="2" fontId="13" fillId="4" borderId="16"/>
    <xf numFmtId="2" fontId="13" fillId="5" borderId="16"/>
    <xf numFmtId="2" fontId="13" fillId="5" borderId="16" applyAlignment="1">
      <alignment horizontal="center"/>
    </xf>
    <xf numFmtId="2" fontId="13" fillId="4" borderId="16" applyAlignment="1">
      <alignment horizontal="center"/>
    </xf>
    <xf numFmtId="0" fontId="4" fillId="0" borderId="0"/>
    <xf numFmtId="0" fontId="4" fillId="0" borderId="0"/>
    <xf numFmtId="0" fontId="14" fillId="0" borderId="0"/>
    <xf numFmtId="0" fontId="1" fillId="0" borderId="0"/>
    <xf numFmtId="0" fontId="4" fillId="0" borderId="0"/>
    <xf numFmtId="0" fontId="4" fillId="0" borderId="0"/>
    <xf numFmtId="0" fontId="4" fillId="0" borderId="0"/>
    <xf numFmtId="0" fontId="14" fillId="0" borderId="0"/>
    <xf numFmtId="0" fontId="1" fillId="0" borderId="0"/>
    <xf numFmtId="174"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7" fillId="0" borderId="0"/>
    <xf numFmtId="0" fontId="1" fillId="0" borderId="0"/>
    <xf numFmtId="0" fontId="4" fillId="0" borderId="0"/>
    <xf numFmtId="9" fontId="4" fillId="0" borderId="0"/>
    <xf numFmtId="0" fontId="7" fillId="0" borderId="0"/>
    <xf numFmtId="0" fontId="59" fillId="0" borderId="0"/>
    <xf numFmtId="0" fontId="1" fillId="0" borderId="0"/>
  </cellStyleXfs>
  <cellXfs count="1539">
    <xf numFmtId="0" fontId="0" fillId="0" borderId="0" pivotButton="0" quotePrefix="0" xfId="0"/>
    <xf numFmtId="0" fontId="18" fillId="0" borderId="0" applyAlignment="1" pivotButton="0" quotePrefix="0" xfId="1">
      <alignment vertical="center"/>
    </xf>
    <xf numFmtId="0" fontId="31" fillId="0" borderId="0" pivotButton="0" quotePrefix="0" xfId="1"/>
    <xf numFmtId="0" fontId="17" fillId="0" borderId="0" applyAlignment="1" pivotButton="0" quotePrefix="0" xfId="1">
      <alignment vertical="center"/>
    </xf>
    <xf numFmtId="49" fontId="18" fillId="0" borderId="0" applyAlignment="1" pivotButton="0" quotePrefix="0" xfId="38">
      <alignment vertical="center" wrapText="1"/>
    </xf>
    <xf numFmtId="0" fontId="18" fillId="0" borderId="0" applyAlignment="1" pivotButton="0" quotePrefix="0" xfId="38">
      <alignment vertical="center" wrapText="1"/>
    </xf>
    <xf numFmtId="0" fontId="18" fillId="0" borderId="0" applyAlignment="1" pivotButton="0" quotePrefix="0" xfId="38">
      <alignment horizontal="right" vertical="center" wrapText="1"/>
    </xf>
    <xf numFmtId="0" fontId="31" fillId="0" borderId="0" applyAlignment="1" pivotButton="0" quotePrefix="0" xfId="38">
      <alignment vertical="center" wrapText="1"/>
    </xf>
    <xf numFmtId="0" fontId="31" fillId="0" borderId="0" applyAlignment="1" pivotButton="0" quotePrefix="0" xfId="1">
      <alignment vertical="center"/>
    </xf>
    <xf numFmtId="49" fontId="19" fillId="0" borderId="0" applyAlignment="1" pivotButton="0" quotePrefix="0" xfId="38">
      <alignment horizontal="center" vertical="center" wrapText="1"/>
    </xf>
    <xf numFmtId="0" fontId="18" fillId="0" borderId="0" applyAlignment="1" pivotButton="0" quotePrefix="0" xfId="1">
      <alignment horizontal="center" vertical="center" wrapText="1"/>
    </xf>
    <xf numFmtId="49" fontId="20" fillId="0" borderId="0" applyAlignment="1" pivotButton="0" quotePrefix="0" xfId="38">
      <alignment horizontal="center" vertical="center" wrapText="1"/>
    </xf>
    <xf numFmtId="0" fontId="20" fillId="0" borderId="0" applyAlignment="1" pivotButton="0" quotePrefix="0" xfId="38">
      <alignment vertical="center" wrapText="1"/>
    </xf>
    <xf numFmtId="49" fontId="16" fillId="0" borderId="0" pivotButton="0" quotePrefix="0" xfId="1"/>
    <xf numFmtId="0" fontId="16" fillId="0" borderId="0" applyAlignment="1" pivotButton="0" quotePrefix="0" xfId="38">
      <alignment vertical="center" wrapText="1"/>
    </xf>
    <xf numFmtId="0" fontId="16" fillId="0" borderId="0" applyAlignment="1" pivotButton="0" quotePrefix="0" xfId="1">
      <alignment vertical="center" wrapText="1"/>
    </xf>
    <xf numFmtId="49" fontId="16" fillId="0" borderId="0" applyAlignment="1" pivotButton="0" quotePrefix="0" xfId="38">
      <alignment vertical="center" wrapText="1"/>
    </xf>
    <xf numFmtId="49" fontId="31" fillId="0" borderId="0" applyAlignment="1" pivotButton="0" quotePrefix="0" xfId="38">
      <alignment vertical="center" wrapText="1"/>
    </xf>
    <xf numFmtId="0" fontId="20" fillId="0" borderId="0" applyAlignment="1" pivotButton="0" quotePrefix="0" xfId="1">
      <alignment vertical="center"/>
    </xf>
    <xf numFmtId="49" fontId="39" fillId="0" borderId="0" applyAlignment="1" pivotButton="0" quotePrefix="0" xfId="38">
      <alignment horizontal="center" vertical="center" wrapText="1"/>
    </xf>
    <xf numFmtId="0" fontId="39" fillId="0" borderId="0" applyAlignment="1" pivotButton="0" quotePrefix="0" xfId="38">
      <alignment horizontal="left" vertical="center" wrapText="1"/>
    </xf>
    <xf numFmtId="0" fontId="31" fillId="0" borderId="0" applyAlignment="1" pivotButton="0" quotePrefix="0" xfId="38">
      <alignment horizontal="center" vertical="center" wrapText="1"/>
    </xf>
    <xf numFmtId="0" fontId="16" fillId="0" borderId="0" pivotButton="0" quotePrefix="0" xfId="1"/>
    <xf numFmtId="0" fontId="17" fillId="0" borderId="0" pivotButton="0" quotePrefix="0" xfId="1"/>
    <xf numFmtId="0" fontId="16" fillId="0" borderId="0" applyAlignment="1" pivotButton="0" quotePrefix="0" xfId="1">
      <alignment vertical="center"/>
    </xf>
    <xf numFmtId="0" fontId="16" fillId="0" borderId="2" applyAlignment="1" pivotButton="0" quotePrefix="0" xfId="0">
      <alignment horizontal="center" vertical="center"/>
    </xf>
    <xf numFmtId="0" fontId="17" fillId="0" borderId="0" applyAlignment="1" pivotButton="0" quotePrefix="0" xfId="1">
      <alignment horizontal="left" wrapText="1"/>
    </xf>
    <xf numFmtId="0" fontId="16" fillId="0" borderId="0" applyAlignment="1" pivotButton="0" quotePrefix="0" xfId="0">
      <alignment vertical="center" wrapText="1"/>
    </xf>
    <xf numFmtId="0" fontId="16" fillId="0" borderId="0" applyAlignment="1" pivotButton="0" quotePrefix="0" xfId="4">
      <alignment vertical="top"/>
    </xf>
    <xf numFmtId="0" fontId="25" fillId="0" borderId="0" pivotButton="0" quotePrefix="0" xfId="1"/>
    <xf numFmtId="0" fontId="25" fillId="0" borderId="0" applyAlignment="1" pivotButton="0" quotePrefix="0" xfId="1">
      <alignment vertical="center"/>
    </xf>
    <xf numFmtId="0" fontId="21" fillId="0" borderId="0" pivotButton="0" quotePrefix="0" xfId="1"/>
    <xf numFmtId="0" fontId="33" fillId="0" borderId="0" pivotButton="0" quotePrefix="0" xfId="1"/>
    <xf numFmtId="0" fontId="16" fillId="0" borderId="0" applyAlignment="1" pivotButton="0" quotePrefix="0" xfId="1">
      <alignment wrapText="1"/>
    </xf>
    <xf numFmtId="0" fontId="16" fillId="0" borderId="0" applyAlignment="1" pivotButton="0" quotePrefix="0" xfId="1">
      <alignment horizontal="center" vertical="top"/>
    </xf>
    <xf numFmtId="0" fontId="22" fillId="0" borderId="0" applyAlignment="1" pivotButton="0" quotePrefix="0" xfId="4">
      <alignment horizontal="center" vertical="top"/>
    </xf>
    <xf numFmtId="0" fontId="24" fillId="0" borderId="0" applyAlignment="1" pivotButton="0" quotePrefix="0" xfId="4">
      <alignment vertical="top"/>
    </xf>
    <xf numFmtId="0" fontId="16" fillId="0" borderId="0" applyAlignment="1" pivotButton="0" quotePrefix="0" xfId="4">
      <alignment horizontal="right" vertical="top"/>
    </xf>
    <xf numFmtId="0" fontId="16" fillId="0" borderId="2" applyAlignment="1" pivotButton="0" quotePrefix="0" xfId="4">
      <alignment horizontal="center" vertical="top"/>
    </xf>
    <xf numFmtId="3" fontId="16" fillId="0" borderId="2" applyAlignment="1" pivotButton="0" quotePrefix="0" xfId="4">
      <alignment horizontal="center" vertical="center"/>
    </xf>
    <xf numFmtId="49" fontId="16" fillId="0" borderId="2" applyAlignment="1" pivotButton="0" quotePrefix="0" xfId="5">
      <alignment horizontal="left" vertical="center" wrapText="1"/>
    </xf>
    <xf numFmtId="9" fontId="22" fillId="0" borderId="2" applyAlignment="1" pivotButton="0" quotePrefix="0" xfId="2">
      <alignment horizontal="center" vertical="center"/>
    </xf>
    <xf numFmtId="0" fontId="23" fillId="0" borderId="0" pivotButton="0" quotePrefix="0" xfId="0"/>
    <xf numFmtId="2" fontId="16" fillId="0" borderId="0" applyAlignment="1" pivotButton="0" quotePrefix="0" xfId="4">
      <alignment horizontal="left" vertical="top"/>
    </xf>
    <xf numFmtId="0" fontId="16" fillId="0" borderId="0" applyAlignment="1" pivotButton="0" quotePrefix="0" xfId="4">
      <alignment vertical="top" wrapText="1"/>
    </xf>
    <xf numFmtId="0" fontId="0" fillId="0" borderId="0" applyAlignment="1" pivotButton="0" quotePrefix="0" xfId="0">
      <alignment vertical="center"/>
    </xf>
    <xf numFmtId="0" fontId="24" fillId="0" borderId="0" applyAlignment="1" pivotButton="0" quotePrefix="0" xfId="1">
      <alignment vertical="center"/>
    </xf>
    <xf numFmtId="0" fontId="20" fillId="0" borderId="0" applyAlignment="1" pivotButton="0" quotePrefix="0" xfId="1">
      <alignment horizontal="center" vertical="center"/>
    </xf>
    <xf numFmtId="0" fontId="20" fillId="0" borderId="0" pivotButton="0" quotePrefix="0" xfId="1"/>
    <xf numFmtId="0" fontId="18" fillId="0" borderId="0" pivotButton="0" quotePrefix="0" xfId="1"/>
    <xf numFmtId="0" fontId="20" fillId="0" borderId="0" applyAlignment="1" pivotButton="0" quotePrefix="0" xfId="1">
      <alignment horizontal="left"/>
    </xf>
    <xf numFmtId="0" fontId="17" fillId="0" borderId="0" applyAlignment="1" pivotButton="0" quotePrefix="0" xfId="1">
      <alignment horizontal="left"/>
    </xf>
    <xf numFmtId="0" fontId="20" fillId="0" borderId="2" applyAlignment="1" pivotButton="0" quotePrefix="0" xfId="0">
      <alignment horizontal="center"/>
    </xf>
    <xf numFmtId="0" fontId="20" fillId="0" borderId="2" applyAlignment="1" pivotButton="0" quotePrefix="0" xfId="0">
      <alignment horizontal="left" vertical="center" wrapText="1"/>
    </xf>
    <xf numFmtId="49" fontId="20" fillId="0" borderId="2" applyAlignment="1" pivotButton="0" quotePrefix="0" xfId="0">
      <alignment horizontal="center" vertical="center"/>
    </xf>
    <xf numFmtId="0" fontId="20" fillId="0" borderId="0" pivotButton="0" quotePrefix="0" xfId="0"/>
    <xf numFmtId="0" fontId="20" fillId="0" borderId="0" applyAlignment="1" pivotButton="0" quotePrefix="0" xfId="0">
      <alignment vertical="center" wrapText="1"/>
    </xf>
    <xf numFmtId="0" fontId="20" fillId="0" borderId="0" applyAlignment="1" pivotButton="0" quotePrefix="0" xfId="0">
      <alignment vertical="center"/>
    </xf>
    <xf numFmtId="0" fontId="28" fillId="0" borderId="0" applyAlignment="1" pivotButton="0" quotePrefix="0" xfId="1">
      <alignment vertical="center"/>
    </xf>
    <xf numFmtId="0" fontId="0" fillId="0" borderId="0" applyAlignment="1" pivotButton="0" quotePrefix="0" xfId="0">
      <alignment horizontal="center"/>
    </xf>
    <xf numFmtId="0" fontId="20" fillId="0" borderId="2" applyAlignment="1" pivotButton="0" quotePrefix="0" xfId="0">
      <alignment vertical="center" wrapText="1"/>
    </xf>
    <xf numFmtId="0" fontId="32" fillId="0" borderId="0" applyAlignment="1" pivotButton="0" quotePrefix="0" xfId="1">
      <alignment vertical="center"/>
    </xf>
    <xf numFmtId="0" fontId="24" fillId="0" borderId="2" applyAlignment="1" pivotButton="0" quotePrefix="0" xfId="0">
      <alignment horizontal="center" vertical="center" wrapText="1"/>
    </xf>
    <xf numFmtId="0" fontId="35" fillId="0" borderId="0" applyAlignment="1" pivotButton="0" quotePrefix="0" xfId="1">
      <alignment vertical="top"/>
    </xf>
    <xf numFmtId="0" fontId="19" fillId="0" borderId="0" applyAlignment="1" pivotButton="0" quotePrefix="0" xfId="38">
      <alignment horizontal="center" vertical="center" wrapText="1"/>
    </xf>
    <xf numFmtId="0" fontId="16" fillId="0" borderId="0" applyAlignment="1" pivotButton="0" quotePrefix="0" xfId="1">
      <alignment horizontal="left"/>
    </xf>
    <xf numFmtId="0" fontId="16" fillId="0" borderId="0" applyAlignment="1" pivotButton="0" quotePrefix="0" xfId="1">
      <alignment horizontal="center"/>
    </xf>
    <xf numFmtId="0" fontId="16" fillId="0" borderId="0" applyAlignment="1" pivotButton="0" quotePrefix="0" xfId="1">
      <alignment horizontal="left" vertical="center"/>
    </xf>
    <xf numFmtId="49" fontId="16" fillId="0" borderId="0" applyAlignment="1" pivotButton="0" quotePrefix="0" xfId="1">
      <alignment horizontal="left"/>
    </xf>
    <xf numFmtId="0" fontId="16" fillId="0" borderId="0" applyAlignment="1" pivotButton="0" quotePrefix="0" xfId="1">
      <alignment horizontal="left" vertical="center" wrapText="1"/>
    </xf>
    <xf numFmtId="0" fontId="20" fillId="0" borderId="0" applyAlignment="1" pivotButton="0" quotePrefix="0" xfId="0">
      <alignment horizontal="center"/>
    </xf>
    <xf numFmtId="0" fontId="18" fillId="0" borderId="0" applyAlignment="1" pivotButton="0" quotePrefix="0" xfId="1">
      <alignment horizontal="right"/>
    </xf>
    <xf numFmtId="0" fontId="31" fillId="0" borderId="0" applyAlignment="1" pivotButton="0" quotePrefix="0" xfId="1">
      <alignment horizontal="center"/>
    </xf>
    <xf numFmtId="0" fontId="32" fillId="0" borderId="0" applyAlignment="1" pivotButton="0" quotePrefix="0" xfId="1">
      <alignment horizontal="center"/>
    </xf>
    <xf numFmtId="0" fontId="18" fillId="0" borderId="0" applyAlignment="1" pivotButton="0" quotePrefix="0" xfId="1">
      <alignment horizontal="left" vertical="center" wrapText="1"/>
    </xf>
    <xf numFmtId="0" fontId="35" fillId="0" borderId="0" applyAlignment="1" pivotButton="0" quotePrefix="0" xfId="1">
      <alignment vertical="center"/>
    </xf>
    <xf numFmtId="0" fontId="18" fillId="0" borderId="0" applyAlignment="1" pivotButton="0" quotePrefix="0" xfId="1">
      <alignment horizontal="left" vertical="center"/>
    </xf>
    <xf numFmtId="0" fontId="24" fillId="0" borderId="0" applyAlignment="1" pivotButton="0" quotePrefix="0" xfId="1">
      <alignment horizontal="center" vertical="center"/>
    </xf>
    <xf numFmtId="0" fontId="19" fillId="0" borderId="0" applyAlignment="1" pivotButton="0" quotePrefix="0" xfId="1">
      <alignment horizontal="center" vertical="center"/>
    </xf>
    <xf numFmtId="0" fontId="17" fillId="0" borderId="0" applyAlignment="1" pivotButton="0" quotePrefix="0" xfId="1">
      <alignment vertical="center" wrapText="1"/>
    </xf>
    <xf numFmtId="0" fontId="18" fillId="0" borderId="0" applyAlignment="1" pivotButton="0" quotePrefix="0" xfId="1">
      <alignment vertical="center" wrapText="1"/>
    </xf>
    <xf numFmtId="0" fontId="24" fillId="0" borderId="0" applyAlignment="1" pivotButton="0" quotePrefix="0" xfId="1">
      <alignment horizontal="center"/>
    </xf>
    <xf numFmtId="0" fontId="33" fillId="0" borderId="0" applyAlignment="1" pivotButton="0" quotePrefix="0" xfId="1">
      <alignment wrapText="1"/>
    </xf>
    <xf numFmtId="0" fontId="18" fillId="0" borderId="2" applyAlignment="1" pivotButton="0" quotePrefix="0" xfId="1">
      <alignment horizontal="center" vertical="center" wrapText="1"/>
    </xf>
    <xf numFmtId="0" fontId="18" fillId="0" borderId="2" applyAlignment="1" pivotButton="0" quotePrefix="0" xfId="1">
      <alignment horizontal="center" vertical="center"/>
    </xf>
    <xf numFmtId="0" fontId="18" fillId="0" borderId="2" applyAlignment="1" pivotButton="0" quotePrefix="0" xfId="1">
      <alignment horizontal="center" vertical="center" wrapText="1" shrinkToFit="1"/>
    </xf>
    <xf numFmtId="0" fontId="18" fillId="0" borderId="2" applyAlignment="1" pivotButton="0" quotePrefix="0" xfId="1">
      <alignment horizontal="center" vertical="top"/>
    </xf>
    <xf numFmtId="49" fontId="18" fillId="0" borderId="2" applyAlignment="1" pivotButton="0" quotePrefix="0" xfId="1">
      <alignment horizontal="center" vertical="top"/>
    </xf>
    <xf numFmtId="49" fontId="18" fillId="0" borderId="2" applyAlignment="1" pivotButton="0" quotePrefix="0" xfId="1">
      <alignment horizontal="center" vertical="center"/>
    </xf>
    <xf numFmtId="0" fontId="18" fillId="0" borderId="2" applyAlignment="1" pivotButton="0" quotePrefix="0" xfId="1">
      <alignment horizontal="left" vertical="center" wrapText="1"/>
    </xf>
    <xf numFmtId="49" fontId="18" fillId="7" borderId="2" applyAlignment="1" pivotButton="0" quotePrefix="0" xfId="1">
      <alignment horizontal="center" vertical="center" wrapText="1"/>
    </xf>
    <xf numFmtId="164" fontId="18" fillId="0" borderId="2" applyAlignment="1" pivotButton="0" quotePrefix="0" xfId="1">
      <alignment horizontal="center" vertical="center"/>
    </xf>
    <xf numFmtId="0" fontId="17" fillId="0" borderId="0" applyAlignment="1" pivotButton="0" quotePrefix="0" xfId="1">
      <alignment horizontal="center" vertical="top"/>
    </xf>
    <xf numFmtId="0" fontId="17" fillId="0" borderId="0" applyAlignment="1" pivotButton="0" quotePrefix="0" xfId="1">
      <alignment vertical="top"/>
    </xf>
    <xf numFmtId="0" fontId="50" fillId="0" borderId="0" applyAlignment="1" pivotButton="0" quotePrefix="0" xfId="1">
      <alignment vertical="center"/>
    </xf>
    <xf numFmtId="0" fontId="50" fillId="0" borderId="0" pivotButton="0" quotePrefix="0" xfId="1"/>
    <xf numFmtId="0" fontId="50" fillId="0" borderId="0" applyAlignment="1" pivotButton="0" quotePrefix="0" xfId="1">
      <alignment horizontal="left" vertical="center"/>
    </xf>
    <xf numFmtId="0" fontId="51" fillId="0" borderId="0" applyAlignment="1" pivotButton="0" quotePrefix="0" xfId="1">
      <alignment vertical="center"/>
    </xf>
    <xf numFmtId="0" fontId="51" fillId="0" borderId="0" applyAlignment="1" pivotButton="0" quotePrefix="0" xfId="1">
      <alignment horizontal="left" vertical="center" wrapText="1"/>
    </xf>
    <xf numFmtId="0" fontId="51" fillId="0" borderId="0" pivotButton="0" quotePrefix="0" xfId="1"/>
    <xf numFmtId="0" fontId="51" fillId="0" borderId="0" applyAlignment="1" pivotButton="0" quotePrefix="0" xfId="1">
      <alignment horizontal="left" vertical="center"/>
    </xf>
    <xf numFmtId="0" fontId="22" fillId="0" borderId="0" pivotButton="0" quotePrefix="0" xfId="1"/>
    <xf numFmtId="0" fontId="52" fillId="0" borderId="0" applyAlignment="1" pivotButton="0" quotePrefix="0" xfId="1">
      <alignment horizontal="left" vertical="top"/>
    </xf>
    <xf numFmtId="0" fontId="53" fillId="0" borderId="0" pivotButton="0" quotePrefix="0" xfId="1"/>
    <xf numFmtId="0" fontId="38" fillId="0" borderId="0" applyAlignment="1" pivotButton="0" quotePrefix="0" xfId="1">
      <alignment horizontal="left"/>
    </xf>
    <xf numFmtId="0" fontId="38" fillId="0" borderId="0" pivotButton="0" quotePrefix="0" xfId="1"/>
    <xf numFmtId="0" fontId="54" fillId="0" borderId="0" applyAlignment="1" pivotButton="0" quotePrefix="0" xfId="1">
      <alignment vertical="top"/>
    </xf>
    <xf numFmtId="0" fontId="53" fillId="0" borderId="0" applyAlignment="1" pivotButton="0" quotePrefix="0" xfId="1">
      <alignment horizontal="left"/>
    </xf>
    <xf numFmtId="0" fontId="31" fillId="0" borderId="0" applyAlignment="1" pivotButton="0" quotePrefix="0" xfId="1">
      <alignment vertical="center" wrapText="1"/>
    </xf>
    <xf numFmtId="0" fontId="56" fillId="0" borderId="0" applyAlignment="1" pivotButton="0" quotePrefix="0" xfId="1">
      <alignment horizontal="left"/>
    </xf>
    <xf numFmtId="0" fontId="17" fillId="0" borderId="0" applyAlignment="1" pivotButton="0" quotePrefix="0" xfId="1">
      <alignment horizontal="left" vertical="center" wrapText="1"/>
    </xf>
    <xf numFmtId="0" fontId="16" fillId="0" borderId="2" applyAlignment="1" pivotButton="0" quotePrefix="0" xfId="1">
      <alignment horizontal="center"/>
    </xf>
    <xf numFmtId="0" fontId="32" fillId="0" borderId="0" pivotButton="0" quotePrefix="0" xfId="1"/>
    <xf numFmtId="0" fontId="22" fillId="0" borderId="0" applyAlignment="1" pivotButton="0" quotePrefix="0" xfId="1">
      <alignment horizontal="right"/>
    </xf>
    <xf numFmtId="0" fontId="22" fillId="0" borderId="0" applyAlignment="1" pivotButton="0" quotePrefix="0" xfId="1">
      <alignment horizontal="center"/>
    </xf>
    <xf numFmtId="164" fontId="16" fillId="0" borderId="0" applyAlignment="1" pivotButton="0" quotePrefix="0" xfId="1">
      <alignment horizontal="center"/>
    </xf>
    <xf numFmtId="4" fontId="16" fillId="0" borderId="0" applyAlignment="1" pivotButton="0" quotePrefix="0" xfId="1">
      <alignment horizontal="center"/>
    </xf>
    <xf numFmtId="49" fontId="17" fillId="0" borderId="0" pivotButton="0" quotePrefix="0" xfId="1"/>
    <xf numFmtId="0" fontId="33" fillId="0" borderId="0" applyAlignment="1" pivotButton="0" quotePrefix="0" xfId="1">
      <alignment horizontal="center"/>
    </xf>
    <xf numFmtId="0" fontId="33" fillId="0" borderId="0" applyAlignment="1" pivotButton="0" quotePrefix="0" xfId="1">
      <alignment horizontal="center" vertical="top"/>
    </xf>
    <xf numFmtId="49" fontId="33" fillId="0" borderId="0" applyAlignment="1" pivotButton="0" quotePrefix="0" xfId="1">
      <alignment horizontal="center"/>
    </xf>
    <xf numFmtId="49" fontId="33" fillId="0" borderId="0" applyAlignment="1" pivotButton="0" quotePrefix="0" xfId="1">
      <alignment horizontal="right"/>
    </xf>
    <xf numFmtId="0" fontId="33" fillId="0" borderId="0" applyAlignment="1" pivotButton="0" quotePrefix="0" xfId="1">
      <alignment horizontal="left"/>
    </xf>
    <xf numFmtId="0" fontId="33" fillId="0" borderId="0" applyAlignment="1" pivotButton="0" quotePrefix="0" xfId="1">
      <alignment vertical="top"/>
    </xf>
    <xf numFmtId="0" fontId="20" fillId="0" borderId="2" applyAlignment="1" pivotButton="0" quotePrefix="0" xfId="38">
      <alignment horizontal="center" vertical="center" wrapText="1"/>
    </xf>
    <xf numFmtId="3" fontId="20" fillId="0" borderId="2" applyAlignment="1" pivotButton="0" quotePrefix="0" xfId="38">
      <alignment horizontal="center" vertical="center" wrapText="1"/>
    </xf>
    <xf numFmtId="49" fontId="20" fillId="0" borderId="2" applyAlignment="1" pivotButton="0" quotePrefix="0" xfId="38">
      <alignment horizontal="center" vertical="center" wrapText="1"/>
    </xf>
    <xf numFmtId="0" fontId="20" fillId="0" borderId="1" applyAlignment="1" pivotButton="0" quotePrefix="0" xfId="38">
      <alignment horizontal="center" vertical="center" wrapText="1"/>
    </xf>
    <xf numFmtId="3" fontId="20" fillId="0" borderId="14" applyAlignment="1" pivotButton="0" quotePrefix="0" xfId="38">
      <alignment horizontal="center" vertical="center" wrapText="1"/>
    </xf>
    <xf numFmtId="49" fontId="20" fillId="0" borderId="14" applyAlignment="1" pivotButton="0" quotePrefix="0" xfId="38">
      <alignment horizontal="center" vertical="center" wrapText="1"/>
    </xf>
    <xf numFmtId="0" fontId="20" fillId="0" borderId="14" applyAlignment="1" pivotButton="0" quotePrefix="0" xfId="38">
      <alignment horizontal="center" vertical="center" wrapText="1"/>
    </xf>
    <xf numFmtId="49" fontId="24" fillId="0" borderId="0" applyAlignment="1" pivotButton="0" quotePrefix="0" xfId="38">
      <alignment horizontal="center" vertical="center" wrapText="1"/>
    </xf>
    <xf numFmtId="0" fontId="24" fillId="0" borderId="1" applyAlignment="1" pivotButton="0" quotePrefix="0" xfId="38">
      <alignment horizontal="center" vertical="center" wrapText="1"/>
    </xf>
    <xf numFmtId="0" fontId="20" fillId="0" borderId="0" applyAlignment="1" pivotButton="0" quotePrefix="0" xfId="38">
      <alignment horizontal="right" vertical="center" wrapText="1"/>
    </xf>
    <xf numFmtId="0" fontId="20" fillId="0" borderId="7" applyAlignment="1" pivotButton="0" quotePrefix="0" xfId="38">
      <alignment horizontal="center" vertical="center" wrapText="1"/>
    </xf>
    <xf numFmtId="0" fontId="24" fillId="0" borderId="0" applyAlignment="1" pivotButton="0" quotePrefix="0" xfId="38">
      <alignment horizontal="left" vertical="center" wrapText="1"/>
    </xf>
    <xf numFmtId="0" fontId="20" fillId="0" borderId="0" applyAlignment="1" pivotButton="0" quotePrefix="0" xfId="38">
      <alignment horizontal="center" vertical="center" wrapText="1"/>
    </xf>
    <xf numFmtId="165" fontId="20" fillId="0" borderId="0" applyAlignment="1" pivotButton="0" quotePrefix="0" xfId="38">
      <alignment horizontal="center" vertical="center" wrapText="1"/>
    </xf>
    <xf numFmtId="0" fontId="29" fillId="0" borderId="0" pivotButton="0" quotePrefix="0" xfId="50"/>
    <xf numFmtId="49" fontId="18" fillId="0" borderId="0" applyAlignment="1" pivotButton="0" quotePrefix="0" xfId="50">
      <alignment horizontal="right" wrapText="1"/>
    </xf>
    <xf numFmtId="0" fontId="29" fillId="0" borderId="0" applyAlignment="1" pivotButton="0" quotePrefix="0" xfId="50">
      <alignment wrapText="1"/>
    </xf>
    <xf numFmtId="0" fontId="41" fillId="0" borderId="0" applyAlignment="1" pivotButton="0" quotePrefix="0" xfId="50">
      <alignment wrapText="1"/>
    </xf>
    <xf numFmtId="49" fontId="16" fillId="0" borderId="1" applyAlignment="1" pivotButton="0" quotePrefix="0" xfId="50">
      <alignment wrapText="1"/>
    </xf>
    <xf numFmtId="0" fontId="29" fillId="0" borderId="1" applyAlignment="1" pivotButton="0" quotePrefix="0" xfId="50">
      <alignment wrapText="1"/>
    </xf>
    <xf numFmtId="0" fontId="16" fillId="0" borderId="1" applyAlignment="1" pivotButton="0" quotePrefix="0" xfId="50">
      <alignment horizontal="right" wrapText="1"/>
    </xf>
    <xf numFmtId="0" fontId="42" fillId="0" borderId="0" applyAlignment="1" pivotButton="0" quotePrefix="0" xfId="50">
      <alignment wrapText="1"/>
    </xf>
    <xf numFmtId="0" fontId="20" fillId="0" borderId="10" applyAlignment="1" pivotButton="0" quotePrefix="0" xfId="50">
      <alignment horizontal="center" vertical="center" wrapText="1"/>
    </xf>
    <xf numFmtId="49" fontId="20" fillId="0" borderId="14"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2" applyAlignment="1" pivotButton="0" quotePrefix="0" xfId="50">
      <alignment horizontal="center" vertical="center" wrapText="1"/>
    </xf>
    <xf numFmtId="0" fontId="20" fillId="0" borderId="8" applyAlignment="1" pivotButton="0" quotePrefix="0" xfId="50">
      <alignment horizontal="center" vertical="center" wrapText="1"/>
    </xf>
    <xf numFmtId="0" fontId="20" fillId="0" borderId="9" applyAlignment="1" pivotButton="0" quotePrefix="0" xfId="50">
      <alignment horizontal="center" vertical="center" wrapText="1"/>
    </xf>
    <xf numFmtId="49" fontId="20" fillId="0" borderId="2" applyAlignment="1" pivotButton="0" quotePrefix="0" xfId="0">
      <alignment horizontal="center" vertical="center" wrapText="1"/>
    </xf>
    <xf numFmtId="49" fontId="20" fillId="0" borderId="2" applyAlignment="1" pivotButton="0" quotePrefix="0" xfId="0">
      <alignment vertical="center" wrapText="1"/>
    </xf>
    <xf numFmtId="49" fontId="22" fillId="0" borderId="0" applyAlignment="1" pivotButton="0" quotePrefix="0" xfId="50">
      <alignment horizontal="center" vertical="top" wrapText="1"/>
    </xf>
    <xf numFmtId="0" fontId="22" fillId="0" borderId="0" applyAlignment="1" pivotButton="0" quotePrefix="0" xfId="50">
      <alignment horizontal="center" vertical="top" wrapText="1"/>
    </xf>
    <xf numFmtId="0" fontId="16" fillId="0" borderId="0" applyAlignment="1" pivotButton="0" quotePrefix="0" xfId="50">
      <alignment horizontal="center" vertical="top" wrapText="1"/>
    </xf>
    <xf numFmtId="0" fontId="16" fillId="0" borderId="9" applyAlignment="1" pivotButton="0" quotePrefix="0" xfId="50">
      <alignment horizontal="center" vertical="top" wrapText="1"/>
    </xf>
    <xf numFmtId="49" fontId="20" fillId="0" borderId="0" applyAlignment="1" pivotButton="0" quotePrefix="0" xfId="50">
      <alignment vertical="top" wrapText="1"/>
    </xf>
    <xf numFmtId="0" fontId="16" fillId="0" borderId="0" applyAlignment="1" pivotButton="0" quotePrefix="0" xfId="50">
      <alignment horizontal="right" vertical="top" wrapText="1"/>
    </xf>
    <xf numFmtId="0" fontId="20" fillId="0" borderId="0" applyAlignment="1" pivotButton="0" quotePrefix="0" xfId="50">
      <alignment vertical="top" wrapText="1"/>
    </xf>
    <xf numFmtId="49" fontId="16" fillId="0" borderId="0" applyAlignment="1" pivotButton="0" quotePrefix="0" xfId="50">
      <alignment wrapText="1"/>
    </xf>
    <xf numFmtId="0" fontId="16" fillId="0" borderId="0" applyAlignment="1" pivotButton="0" quotePrefix="0" xfId="50">
      <alignment wrapText="1"/>
    </xf>
    <xf numFmtId="49" fontId="22" fillId="0" borderId="0" applyAlignment="1" pivotButton="0" quotePrefix="0" xfId="50">
      <alignment wrapText="1"/>
    </xf>
    <xf numFmtId="0" fontId="16" fillId="0" borderId="0" applyAlignment="1" pivotButton="0" quotePrefix="0" xfId="50">
      <alignment vertical="center" wrapText="1"/>
    </xf>
    <xf numFmtId="0" fontId="22" fillId="0" borderId="0" applyAlignment="1" pivotButton="0" quotePrefix="0" xfId="50">
      <alignment vertical="top" wrapText="1"/>
    </xf>
    <xf numFmtId="0" fontId="16" fillId="0" borderId="0" applyAlignment="1" pivotButton="0" quotePrefix="0" xfId="50">
      <alignment vertical="top" wrapText="1"/>
    </xf>
    <xf numFmtId="0" fontId="25" fillId="0" borderId="0" applyAlignment="1" pivotButton="0" quotePrefix="0" xfId="50">
      <alignment vertical="top" wrapText="1"/>
    </xf>
    <xf numFmtId="0" fontId="16" fillId="0" borderId="0" pivotButton="0" quotePrefix="0" xfId="50"/>
    <xf numFmtId="49" fontId="16" fillId="0" borderId="0" applyAlignment="1" pivotButton="0" quotePrefix="0" xfId="50">
      <alignment vertical="top" wrapText="1"/>
    </xf>
    <xf numFmtId="49" fontId="29" fillId="0" borderId="0" pivotButton="0" quotePrefix="0" xfId="50"/>
    <xf numFmtId="0" fontId="0" fillId="0" borderId="0" applyAlignment="1" pivotButton="0" quotePrefix="0" xfId="0">
      <alignment horizontal="center" vertical="center"/>
    </xf>
    <xf numFmtId="0" fontId="24" fillId="0" borderId="0" pivotButton="0" quotePrefix="0" xfId="0"/>
    <xf numFmtId="0" fontId="28" fillId="0" borderId="0" pivotButton="0" quotePrefix="0" xfId="0"/>
    <xf numFmtId="0" fontId="28" fillId="0" borderId="0" applyAlignment="1" pivotButton="0" quotePrefix="0" xfId="0">
      <alignment vertical="center"/>
    </xf>
    <xf numFmtId="0" fontId="20" fillId="0" borderId="1" applyAlignment="1" pivotButton="0" quotePrefix="0" xfId="0">
      <alignment horizontal="center" vertical="top" wrapText="1"/>
    </xf>
    <xf numFmtId="0" fontId="24" fillId="0" borderId="2" applyAlignment="1" pivotButton="0" quotePrefix="0" xfId="0">
      <alignment horizontal="center" vertical="center"/>
    </xf>
    <xf numFmtId="0" fontId="20" fillId="0" borderId="2" applyAlignment="1" pivotButton="0" quotePrefix="0" xfId="0">
      <alignment horizontal="center" wrapText="1"/>
    </xf>
    <xf numFmtId="0" fontId="26" fillId="0" borderId="0" applyAlignment="1" pivotButton="0" quotePrefix="0" xfId="0">
      <alignment wrapText="1"/>
    </xf>
    <xf numFmtId="0" fontId="30" fillId="0" borderId="2" applyAlignment="1" pivotButton="0" quotePrefix="0" xfId="0">
      <alignment vertical="center"/>
    </xf>
    <xf numFmtId="0" fontId="30" fillId="0" borderId="2" applyAlignment="1" pivotButton="0" quotePrefix="0" xfId="0">
      <alignment vertical="center" wrapText="1"/>
    </xf>
    <xf numFmtId="0" fontId="20" fillId="0" borderId="2" applyAlignment="1" pivotButton="0" quotePrefix="0" xfId="0">
      <alignment horizontal="left" vertical="center"/>
    </xf>
    <xf numFmtId="0" fontId="20" fillId="0" borderId="2" applyAlignment="1" pivotButton="0" quotePrefix="0" xfId="0">
      <alignment vertical="center"/>
    </xf>
    <xf numFmtId="0" fontId="30" fillId="0" borderId="2" applyAlignment="1" pivotButton="0" quotePrefix="0" xfId="0">
      <alignment horizontal="left" vertical="center" wrapText="1"/>
    </xf>
    <xf numFmtId="0" fontId="17" fillId="0" borderId="0" applyAlignment="1" pivotButton="0" quotePrefix="0" xfId="1">
      <alignment wrapText="1"/>
    </xf>
    <xf numFmtId="0" fontId="23" fillId="0" borderId="0" applyAlignment="1" pivotButton="0" quotePrefix="0" xfId="0">
      <alignment horizontal="center"/>
    </xf>
    <xf numFmtId="0" fontId="17" fillId="0" borderId="0" applyAlignment="1" pivotButton="0" quotePrefix="0" xfId="1">
      <alignment horizontal="center" vertical="top"/>
    </xf>
    <xf numFmtId="0" fontId="19" fillId="0" borderId="0" applyAlignment="1" pivotButton="0" quotePrefix="0" xfId="1">
      <alignment horizontal="center" vertical="center"/>
    </xf>
    <xf numFmtId="0" fontId="42" fillId="6" borderId="0" applyAlignment="1" pivotButton="0" quotePrefix="0" xfId="50">
      <alignment wrapText="1"/>
    </xf>
    <xf numFmtId="0" fontId="31" fillId="6" borderId="0" applyAlignment="1" pivotButton="0" quotePrefix="0" xfId="38">
      <alignment vertical="center" wrapText="1"/>
    </xf>
    <xf numFmtId="0" fontId="33" fillId="0" borderId="0" pivotButton="0" quotePrefix="0" xfId="1"/>
    <xf numFmtId="0" fontId="33" fillId="0" borderId="0" applyAlignment="1" pivotButton="0" quotePrefix="0" xfId="1">
      <alignment horizontal="center"/>
    </xf>
    <xf numFmtId="0" fontId="53" fillId="0" borderId="0" applyAlignment="1" pivotButton="0" quotePrefix="0" xfId="1">
      <alignment vertical="center"/>
    </xf>
    <xf numFmtId="0" fontId="53" fillId="0" borderId="0" applyAlignment="1" pivotButton="0" quotePrefix="0" xfId="1">
      <alignment vertical="center" wrapText="1"/>
    </xf>
    <xf numFmtId="0" fontId="50" fillId="0" borderId="0" applyAlignment="1" pivotButton="0" quotePrefix="0" xfId="1">
      <alignment vertical="center" wrapText="1"/>
    </xf>
    <xf numFmtId="0" fontId="50" fillId="0" borderId="0" applyAlignment="1" pivotButton="0" quotePrefix="0" xfId="1">
      <alignment horizontal="left"/>
    </xf>
    <xf numFmtId="0" fontId="50" fillId="0" borderId="0" applyAlignment="1" pivotButton="0" quotePrefix="0" xfId="38">
      <alignment vertical="center" wrapText="1"/>
    </xf>
    <xf numFmtId="0" fontId="71" fillId="0" borderId="0" pivotButton="0" quotePrefix="0" xfId="0"/>
    <xf numFmtId="0" fontId="53" fillId="0" borderId="0" applyAlignment="1" pivotButton="0" quotePrefix="0" xfId="38">
      <alignment vertical="center" wrapText="1"/>
    </xf>
    <xf numFmtId="49" fontId="50" fillId="0" borderId="0" applyAlignment="1" pivotButton="0" quotePrefix="0" xfId="50">
      <alignment wrapText="1"/>
    </xf>
    <xf numFmtId="0" fontId="50" fillId="0" borderId="0" applyAlignment="1" pivotButton="0" quotePrefix="0" xfId="50">
      <alignment wrapText="1"/>
    </xf>
    <xf numFmtId="0" fontId="72" fillId="0" borderId="0" pivotButton="0" quotePrefix="0" xfId="50"/>
    <xf numFmtId="0" fontId="16" fillId="0" borderId="0" applyAlignment="1" pivotButton="0" quotePrefix="0" xfId="1">
      <alignment vertical="center" wrapText="1"/>
    </xf>
    <xf numFmtId="0" fontId="33" fillId="0" borderId="0" applyAlignment="1" pivotButton="0" quotePrefix="0" xfId="1">
      <alignment horizontal="center"/>
    </xf>
    <xf numFmtId="0" fontId="29" fillId="0" borderId="0" applyAlignment="1" pivotButton="0" quotePrefix="0" xfId="50">
      <alignment wrapText="1"/>
    </xf>
    <xf numFmtId="0" fontId="50" fillId="0" borderId="0" applyAlignment="1" pivotButton="0" quotePrefix="0" xfId="0">
      <alignment horizontal="center" vertical="center" wrapText="1"/>
    </xf>
    <xf numFmtId="0" fontId="20" fillId="0" borderId="2" applyAlignment="1" pivotButton="0" quotePrefix="0" xfId="1">
      <alignment horizontal="left" vertical="center" wrapText="1"/>
    </xf>
    <xf numFmtId="0" fontId="70" fillId="0" borderId="0" pivotButton="0" quotePrefix="0" xfId="1"/>
    <xf numFmtId="0" fontId="19" fillId="0" borderId="0" pivotButton="0" quotePrefix="0" xfId="1"/>
    <xf numFmtId="0" fontId="18" fillId="0" borderId="0" applyAlignment="1" pivotButton="0" quotePrefix="0" xfId="1">
      <alignment wrapText="1"/>
    </xf>
    <xf numFmtId="0" fontId="16" fillId="0" borderId="2" applyAlignment="1" pivotButton="0" quotePrefix="0" xfId="1">
      <alignment horizontal="center" vertical="top"/>
    </xf>
    <xf numFmtId="0" fontId="22" fillId="0" borderId="2" applyAlignment="1" pivotButton="0" quotePrefix="0" xfId="1">
      <alignment horizontal="center"/>
    </xf>
    <xf numFmtId="0" fontId="21" fillId="0" borderId="2" applyAlignment="1" pivotButton="0" quotePrefix="0" xfId="1">
      <alignment horizontal="center" vertical="center"/>
    </xf>
    <xf numFmtId="49" fontId="16" fillId="0" borderId="14" applyAlignment="1" pivotButton="0" quotePrefix="0" xfId="5">
      <alignment horizontal="left" vertical="center" wrapText="1"/>
    </xf>
    <xf numFmtId="3" fontId="22" fillId="0" borderId="14" applyAlignment="1" pivotButton="0" quotePrefix="0" xfId="4">
      <alignment horizontal="center" vertical="center"/>
    </xf>
    <xf numFmtId="49" fontId="16" fillId="0" borderId="18" applyAlignment="1" pivotButton="0" quotePrefix="0" xfId="5">
      <alignment horizontal="left" vertical="center" wrapText="1"/>
    </xf>
    <xf numFmtId="3" fontId="22" fillId="0" borderId="18" applyAlignment="1" pivotButton="0" quotePrefix="0" xfId="4">
      <alignment horizontal="center" vertical="center"/>
    </xf>
    <xf numFmtId="0" fontId="16" fillId="0" borderId="0" applyAlignment="1" pivotButton="0" quotePrefix="0" xfId="4">
      <alignment horizontal="center" vertical="center"/>
    </xf>
    <xf numFmtId="9" fontId="22" fillId="0" borderId="0" applyAlignment="1" pivotButton="0" quotePrefix="0" xfId="2">
      <alignment horizontal="center" vertical="center"/>
    </xf>
    <xf numFmtId="9" fontId="22" fillId="0" borderId="0" applyAlignment="1" pivotButton="0" quotePrefix="0" xfId="2">
      <alignment vertical="center"/>
    </xf>
    <xf numFmtId="9" fontId="16" fillId="0" borderId="0" applyAlignment="1" pivotButton="0" quotePrefix="0" xfId="2">
      <alignment horizontal="center" vertical="center"/>
    </xf>
    <xf numFmtId="0" fontId="16" fillId="0" borderId="0" applyAlignment="1" pivotButton="0" quotePrefix="0" xfId="1">
      <alignment vertical="top"/>
    </xf>
    <xf numFmtId="0" fontId="21" fillId="0" borderId="0" applyAlignment="1" pivotButton="0" quotePrefix="0" xfId="0">
      <alignment vertical="center" wrapText="1"/>
    </xf>
    <xf numFmtId="0" fontId="16" fillId="0" borderId="0" applyAlignment="1" pivotButton="0" quotePrefix="0" xfId="0">
      <alignment vertical="center"/>
    </xf>
    <xf numFmtId="49" fontId="36" fillId="0" borderId="0" applyAlignment="1" pivotButton="0" quotePrefix="0" xfId="5">
      <alignment horizontal="left" vertical="center" wrapText="1"/>
    </xf>
    <xf numFmtId="0" fontId="25" fillId="0" borderId="0" applyAlignment="1" pivotButton="0" quotePrefix="0" xfId="1">
      <alignment horizontal="center"/>
    </xf>
    <xf numFmtId="0" fontId="16" fillId="0" borderId="0" pivotButton="0" quotePrefix="0" xfId="0"/>
    <xf numFmtId="0" fontId="16" fillId="0" borderId="0" pivotButton="0" quotePrefix="0" xfId="6"/>
    <xf numFmtId="0" fontId="21" fillId="0" borderId="0" applyAlignment="1" pivotButton="0" quotePrefix="0" xfId="1">
      <alignment vertical="center" wrapText="1"/>
    </xf>
    <xf numFmtId="0" fontId="16" fillId="0" borderId="0" applyAlignment="1" pivotButton="0" quotePrefix="0" xfId="3">
      <alignment vertical="center" wrapText="1"/>
    </xf>
    <xf numFmtId="49" fontId="18" fillId="0" borderId="0" applyAlignment="1" pivotButton="0" quotePrefix="0" xfId="1">
      <alignment vertical="center"/>
    </xf>
    <xf numFmtId="0" fontId="16" fillId="0" borderId="0" applyAlignment="1" pivotButton="0" quotePrefix="0" xfId="1">
      <alignment horizontal="right" vertical="center"/>
    </xf>
    <xf numFmtId="49" fontId="20" fillId="0" borderId="2" applyAlignment="1" pivotButton="0" quotePrefix="0" xfId="1">
      <alignment horizontal="center" vertical="center"/>
    </xf>
    <xf numFmtId="0" fontId="24" fillId="0" borderId="2" applyAlignment="1" pivotButton="0" quotePrefix="0" xfId="1">
      <alignment horizontal="center" vertical="center"/>
    </xf>
    <xf numFmtId="49" fontId="24" fillId="0" borderId="2" applyAlignment="1" pivotButton="0" quotePrefix="0" xfId="1">
      <alignment horizontal="center" vertical="center" wrapText="1"/>
    </xf>
    <xf numFmtId="49" fontId="20" fillId="0" borderId="2" applyAlignment="1" pivotButton="0" quotePrefix="0" xfId="1">
      <alignment horizontal="center" vertical="center" wrapText="1"/>
    </xf>
    <xf numFmtId="49" fontId="20" fillId="0" borderId="2" applyAlignment="1" pivotButton="0" quotePrefix="0" xfId="1">
      <alignment horizontal="left" vertical="center"/>
    </xf>
    <xf numFmtId="49" fontId="20" fillId="0" borderId="0" applyAlignment="1" pivotButton="0" quotePrefix="0" xfId="1">
      <alignment horizontal="center" vertical="center"/>
    </xf>
    <xf numFmtId="49" fontId="20" fillId="0" borderId="0" applyAlignment="1" pivotButton="0" quotePrefix="0" xfId="1">
      <alignment horizontal="left" vertical="center" wrapText="1"/>
    </xf>
    <xf numFmtId="49" fontId="16" fillId="0" borderId="0" applyAlignment="1" pivotButton="0" quotePrefix="0" xfId="1">
      <alignment vertical="center"/>
    </xf>
    <xf numFmtId="0" fontId="20" fillId="0" borderId="0" applyAlignment="1" pivotButton="0" quotePrefix="0" xfId="1">
      <alignment vertical="center" wrapText="1"/>
    </xf>
    <xf numFmtId="0" fontId="25" fillId="0" borderId="0" applyAlignment="1" pivotButton="0" quotePrefix="0" xfId="0">
      <alignment vertical="center" wrapText="1"/>
    </xf>
    <xf numFmtId="0" fontId="27" fillId="0" borderId="0" pivotButton="0" quotePrefix="0" xfId="0"/>
    <xf numFmtId="0" fontId="18" fillId="0" borderId="0" applyAlignment="1" pivotButton="0" quotePrefix="0" xfId="0">
      <alignment vertical="center" wrapText="1"/>
    </xf>
    <xf numFmtId="0" fontId="20" fillId="0" borderId="0" applyAlignment="1" pivotButton="0" quotePrefix="0" xfId="0">
      <alignment vertical="top"/>
    </xf>
    <xf numFmtId="0" fontId="20" fillId="0" borderId="2" pivotButton="0" quotePrefix="0" xfId="0"/>
    <xf numFmtId="0" fontId="20" fillId="0" borderId="2" applyAlignment="1" pivotButton="0" quotePrefix="0" xfId="0">
      <alignment wrapText="1"/>
    </xf>
    <xf numFmtId="0" fontId="31" fillId="0" borderId="0" applyAlignment="1" pivotButton="0" quotePrefix="0" xfId="0">
      <alignment vertical="center" wrapText="1"/>
    </xf>
    <xf numFmtId="0" fontId="18" fillId="0" borderId="0" applyAlignment="1" pivotButton="0" quotePrefix="0" xfId="0">
      <alignment vertical="center"/>
    </xf>
    <xf numFmtId="0" fontId="26" fillId="0" borderId="0" applyAlignment="1" pivotButton="0" quotePrefix="0" xfId="1">
      <alignment vertical="center" wrapText="1"/>
    </xf>
    <xf numFmtId="0" fontId="26" fillId="0" borderId="0" applyAlignment="1" pivotButton="0" quotePrefix="0" xfId="1">
      <alignment vertical="center"/>
    </xf>
    <xf numFmtId="0" fontId="28" fillId="0" borderId="0" applyAlignment="1" pivotButton="0" quotePrefix="0" xfId="1">
      <alignment horizontal="left"/>
    </xf>
    <xf numFmtId="49" fontId="20" fillId="0" borderId="0" applyAlignment="1" pivotButton="0" quotePrefix="0" xfId="1">
      <alignment vertical="center"/>
    </xf>
    <xf numFmtId="0" fontId="26" fillId="0" borderId="0" applyAlignment="1" pivotButton="0" quotePrefix="0" xfId="0">
      <alignment vertical="center" wrapText="1"/>
    </xf>
    <xf numFmtId="0" fontId="0" fillId="0" borderId="0" applyAlignment="1" pivotButton="0" quotePrefix="0" xfId="0">
      <alignment horizontal="right"/>
    </xf>
    <xf numFmtId="0" fontId="26" fillId="0" borderId="0" applyAlignment="1" pivotButton="0" quotePrefix="0" xfId="0">
      <alignment vertical="center"/>
    </xf>
    <xf numFmtId="0" fontId="20" fillId="0" borderId="0" applyAlignment="1" pivotButton="0" quotePrefix="0" xfId="0">
      <alignment horizontal="right" vertical="top"/>
    </xf>
    <xf numFmtId="49" fontId="20" fillId="0" borderId="5" applyAlignment="1" pivotButton="0" quotePrefix="0" xfId="0">
      <alignment horizontal="center" vertical="center"/>
    </xf>
    <xf numFmtId="0" fontId="21" fillId="0" borderId="0" applyAlignment="1" pivotButton="0" quotePrefix="0" xfId="1">
      <alignment horizontal="left" vertical="center"/>
    </xf>
    <xf numFmtId="0" fontId="0" fillId="0" borderId="0" applyAlignment="1" pivotButton="0" quotePrefix="0" xfId="0">
      <alignment wrapText="1"/>
    </xf>
    <xf numFmtId="0" fontId="21" fillId="0" borderId="0" applyAlignment="1" pivotButton="0" quotePrefix="0" xfId="1">
      <alignment horizontal="right" vertical="center"/>
    </xf>
    <xf numFmtId="49" fontId="16" fillId="0" borderId="9" applyAlignment="1" pivotButton="0" quotePrefix="0" xfId="1">
      <alignment horizontal="center" vertical="center" wrapText="1"/>
    </xf>
    <xf numFmtId="0" fontId="20" fillId="0" borderId="9" applyAlignment="1" pivotButton="0" quotePrefix="0" xfId="24">
      <alignment horizontal="center" vertical="center" wrapText="1"/>
    </xf>
    <xf numFmtId="0" fontId="56" fillId="0" borderId="0" pivotButton="0" quotePrefix="0" xfId="1"/>
    <xf numFmtId="0" fontId="56" fillId="0" borderId="0" applyAlignment="1" pivotButton="0" quotePrefix="0" xfId="1">
      <alignment horizontal="center"/>
    </xf>
    <xf numFmtId="0" fontId="68" fillId="0" borderId="0" applyAlignment="1" pivotButton="0" quotePrefix="0" xfId="1">
      <alignment horizontal="left" vertical="center"/>
    </xf>
    <xf numFmtId="0" fontId="68" fillId="0" borderId="0" applyAlignment="1" pivotButton="0" quotePrefix="0" xfId="1">
      <alignment vertical="center"/>
    </xf>
    <xf numFmtId="0" fontId="20" fillId="0" borderId="0" applyAlignment="1" pivotButton="0" quotePrefix="0" xfId="0">
      <alignment horizontal="center" vertical="center"/>
    </xf>
    <xf numFmtId="0" fontId="18" fillId="7" borderId="2" applyAlignment="1" pivotButton="0" quotePrefix="0" xfId="1">
      <alignment horizontal="center" vertical="center"/>
    </xf>
    <xf numFmtId="0" fontId="45" fillId="0" borderId="0" applyAlignment="1" pivotButton="0" quotePrefix="0" xfId="1">
      <alignment horizontal="right"/>
    </xf>
    <xf numFmtId="0" fontId="78" fillId="0" borderId="0" applyAlignment="1" pivotButton="0" quotePrefix="0" xfId="1">
      <alignment horizontal="left"/>
    </xf>
    <xf numFmtId="0" fontId="45" fillId="0" borderId="0" applyAlignment="1" pivotButton="0" quotePrefix="0" xfId="1">
      <alignment horizontal="center"/>
    </xf>
    <xf numFmtId="0" fontId="45" fillId="0" borderId="0" applyAlignment="1" pivotButton="0" quotePrefix="0" xfId="1">
      <alignment horizontal="center" vertical="top"/>
    </xf>
    <xf numFmtId="0" fontId="45" fillId="0" borderId="0" pivotButton="0" quotePrefix="0" xfId="1"/>
    <xf numFmtId="0" fontId="77" fillId="0" borderId="0" pivotButton="0" quotePrefix="0" xfId="1"/>
    <xf numFmtId="0" fontId="78" fillId="0" borderId="0" pivotButton="0" quotePrefix="0" xfId="1"/>
    <xf numFmtId="0" fontId="77" fillId="0" borderId="0" applyAlignment="1" pivotButton="0" quotePrefix="0" xfId="1">
      <alignment horizontal="right"/>
    </xf>
    <xf numFmtId="0" fontId="3" fillId="0" borderId="0" applyAlignment="1" pivotButton="0" quotePrefix="0" xfId="1">
      <alignment vertical="top"/>
    </xf>
    <xf numFmtId="0" fontId="3" fillId="0" borderId="0" applyAlignment="1" pivotButton="0" quotePrefix="0" xfId="1">
      <alignment horizontal="right" vertical="top"/>
    </xf>
    <xf numFmtId="0" fontId="80" fillId="0" borderId="0" applyAlignment="1" pivotButton="0" quotePrefix="0" xfId="1">
      <alignment vertical="top"/>
    </xf>
    <xf numFmtId="0" fontId="80" fillId="0" borderId="0" applyAlignment="1" pivotButton="0" quotePrefix="0" xfId="1">
      <alignment vertical="center"/>
    </xf>
    <xf numFmtId="0" fontId="3" fillId="0" borderId="0" pivotButton="0" quotePrefix="0" xfId="1"/>
    <xf numFmtId="0" fontId="2" fillId="0" borderId="0" pivotButton="0" quotePrefix="0" xfId="1"/>
    <xf numFmtId="0" fontId="22" fillId="0" borderId="2" applyAlignment="1" pivotButton="0" quotePrefix="0" xfId="1">
      <alignment horizontal="center" vertical="center"/>
    </xf>
    <xf numFmtId="0" fontId="20" fillId="0" borderId="0" applyAlignment="1" pivotButton="0" quotePrefix="0" xfId="38">
      <alignment horizontal="center" vertical="center" wrapText="1"/>
    </xf>
    <xf numFmtId="0" fontId="20" fillId="0" borderId="0" applyAlignment="1" pivotButton="0" quotePrefix="0" xfId="0">
      <alignment horizontal="left" vertical="center" wrapText="1"/>
    </xf>
    <xf numFmtId="0" fontId="20" fillId="0" borderId="5" applyAlignment="1" pivotButton="0" quotePrefix="0" xfId="0">
      <alignment horizontal="center" vertical="center"/>
    </xf>
    <xf numFmtId="0" fontId="25" fillId="0" borderId="0" applyAlignment="1" pivotButton="0" quotePrefix="0" xfId="1">
      <alignment horizontal="left" vertical="center"/>
    </xf>
    <xf numFmtId="49" fontId="20" fillId="0" borderId="0" applyAlignment="1" pivotButton="0" quotePrefix="0" xfId="1">
      <alignment horizontal="left" vertical="center"/>
    </xf>
    <xf numFmtId="0" fontId="18" fillId="0" borderId="0" applyAlignment="1" pivotButton="0" quotePrefix="0" xfId="4">
      <alignment horizontal="right" vertical="top"/>
    </xf>
    <xf numFmtId="0" fontId="45" fillId="0" borderId="0" applyAlignment="1" pivotButton="0" quotePrefix="0" xfId="1">
      <alignment horizontal="left"/>
    </xf>
    <xf numFmtId="0" fontId="45" fillId="0" borderId="0" pivotButton="0" quotePrefix="0" xfId="1"/>
    <xf numFmtId="49" fontId="45" fillId="0" borderId="0" pivotButton="0" quotePrefix="0" xfId="1"/>
    <xf numFmtId="0" fontId="45" fillId="0" borderId="0" applyAlignment="1" pivotButton="0" quotePrefix="0" xfId="1">
      <alignment horizontal="left" vertical="center"/>
    </xf>
    <xf numFmtId="0" fontId="78" fillId="0" borderId="0" applyAlignment="1" pivotButton="0" quotePrefix="0" xfId="1">
      <alignment vertical="center"/>
    </xf>
    <xf numFmtId="0" fontId="78" fillId="0" borderId="0" applyAlignment="1" pivotButton="0" quotePrefix="0" xfId="1">
      <alignment horizontal="center" vertical="top"/>
    </xf>
    <xf numFmtId="0" fontId="78" fillId="0" borderId="0" applyAlignment="1" pivotButton="0" quotePrefix="0" xfId="1">
      <alignment vertical="top"/>
    </xf>
    <xf numFmtId="0" fontId="76" fillId="0" borderId="0" pivotButton="0" quotePrefix="0" xfId="1"/>
    <xf numFmtId="0" fontId="45" fillId="0" borderId="0" applyAlignment="1" pivotButton="0" quotePrefix="0" xfId="1">
      <alignment vertical="center"/>
    </xf>
    <xf numFmtId="0" fontId="3" fillId="0" borderId="0" applyAlignment="1" pivotButton="0" quotePrefix="0" xfId="1">
      <alignment horizontal="left"/>
    </xf>
    <xf numFmtId="0" fontId="3" fillId="0" borderId="0" pivotButton="0" quotePrefix="0" xfId="1"/>
    <xf numFmtId="49" fontId="3" fillId="0" borderId="0" pivotButton="0" quotePrefix="0" xfId="1"/>
    <xf numFmtId="0" fontId="82" fillId="0" borderId="0" pivotButton="0" quotePrefix="0" xfId="1"/>
    <xf numFmtId="0" fontId="82" fillId="0" borderId="0" applyAlignment="1" pivotButton="0" quotePrefix="0" xfId="1">
      <alignment horizontal="left"/>
    </xf>
    <xf numFmtId="0" fontId="85" fillId="0" borderId="0" applyAlignment="1" pivotButton="0" quotePrefix="0" xfId="1">
      <alignment vertical="center"/>
    </xf>
    <xf numFmtId="0" fontId="86" fillId="0" borderId="0" applyAlignment="1" pivotButton="0" quotePrefix="0" xfId="1">
      <alignment horizontal="left"/>
    </xf>
    <xf numFmtId="0" fontId="20" fillId="0" borderId="2" applyAlignment="1" pivotButton="0" quotePrefix="0" xfId="0">
      <alignment horizontal="center" vertical="center"/>
    </xf>
    <xf numFmtId="0" fontId="20" fillId="0" borderId="2" applyAlignment="1" pivotButton="0" quotePrefix="0" xfId="0">
      <alignment horizontal="center" vertical="center" wrapText="1"/>
    </xf>
    <xf numFmtId="0" fontId="50" fillId="0" borderId="0" applyAlignment="1" pivotButton="0" quotePrefix="0" xfId="1">
      <alignment horizontal="left" vertical="center" wrapText="1"/>
    </xf>
    <xf numFmtId="0" fontId="50" fillId="0" borderId="0" applyAlignment="1" pivotButton="0" quotePrefix="0" xfId="1">
      <alignment horizontal="left"/>
    </xf>
    <xf numFmtId="0" fontId="29" fillId="0" borderId="0" applyAlignment="1" pivotButton="0" quotePrefix="0" xfId="50">
      <alignment wrapText="1"/>
    </xf>
    <xf numFmtId="164" fontId="18" fillId="0" borderId="5" applyAlignment="1" pivotButton="0" quotePrefix="0" xfId="1">
      <alignment horizontal="center" vertical="center"/>
    </xf>
    <xf numFmtId="0" fontId="19" fillId="0" borderId="2" applyAlignment="1" pivotButton="0" quotePrefix="0" xfId="1">
      <alignment horizontal="center" vertical="center"/>
    </xf>
    <xf numFmtId="0" fontId="19" fillId="0" borderId="5" applyAlignment="1" pivotButton="0" quotePrefix="0" xfId="1">
      <alignment horizontal="center" vertical="center"/>
    </xf>
    <xf numFmtId="2" fontId="19" fillId="0" borderId="5" applyAlignment="1" pivotButton="0" quotePrefix="0" xfId="1">
      <alignment horizontal="center" vertical="center"/>
    </xf>
    <xf numFmtId="164" fontId="19" fillId="0" borderId="5" applyAlignment="1" pivotButton="0" quotePrefix="0" xfId="1">
      <alignment horizontal="center" vertical="center"/>
    </xf>
    <xf numFmtId="164" fontId="19" fillId="0" borderId="2" applyAlignment="1" pivotButton="0" quotePrefix="0" xfId="1">
      <alignment horizontal="center" vertical="center"/>
    </xf>
    <xf numFmtId="2" fontId="18" fillId="0" borderId="2" applyAlignment="1" pivotButton="0" quotePrefix="0" xfId="38">
      <alignment horizontal="center" vertical="center" wrapText="1"/>
    </xf>
    <xf numFmtId="164" fontId="18" fillId="0" borderId="2" applyAlignment="1" pivotButton="0" quotePrefix="0" xfId="38">
      <alignment horizontal="center" vertical="center" wrapText="1"/>
    </xf>
    <xf numFmtId="0" fontId="18" fillId="0" borderId="2" applyAlignment="1" pivotButton="0" quotePrefix="0" xfId="38">
      <alignment horizontal="center" vertical="center" wrapText="1"/>
    </xf>
    <xf numFmtId="0" fontId="18" fillId="0" borderId="4" applyAlignment="1" pivotButton="0" quotePrefix="0" xfId="38">
      <alignment vertical="center" wrapText="1"/>
    </xf>
    <xf numFmtId="49" fontId="18" fillId="0" borderId="2" applyAlignment="1" pivotButton="0" quotePrefix="0" xfId="38">
      <alignment horizontal="center" vertical="center" wrapText="1"/>
    </xf>
    <xf numFmtId="0" fontId="18" fillId="0" borderId="2" applyAlignment="1" pivotButton="0" quotePrefix="0" xfId="38">
      <alignment horizontal="left" vertical="center" wrapText="1"/>
    </xf>
    <xf numFmtId="3" fontId="18" fillId="0" borderId="14" applyAlignment="1" pivotButton="0" quotePrefix="0" xfId="38">
      <alignment horizontal="center" vertical="center" wrapText="1"/>
    </xf>
    <xf numFmtId="0" fontId="18" fillId="0" borderId="14" applyAlignment="1" pivotButton="0" quotePrefix="0" xfId="38">
      <alignment horizontal="center" vertical="center" wrapText="1"/>
    </xf>
    <xf numFmtId="0" fontId="18" fillId="0" borderId="2" applyAlignment="1" pivotButton="0" quotePrefix="0" xfId="0">
      <alignment horizontal="center" vertical="center" wrapText="1"/>
    </xf>
    <xf numFmtId="0" fontId="18" fillId="0" borderId="3" applyAlignment="1" pivotButton="0" quotePrefix="0" xfId="50">
      <alignment horizontal="center" vertical="center" wrapText="1"/>
    </xf>
    <xf numFmtId="0" fontId="18" fillId="0" borderId="2" applyAlignment="1" pivotButton="0" quotePrefix="1" xfId="0">
      <alignment horizontal="center" vertical="center" wrapText="1"/>
    </xf>
    <xf numFmtId="4" fontId="18" fillId="0" borderId="2" applyAlignment="1" pivotButton="0" quotePrefix="0" xfId="0">
      <alignment horizontal="center" vertical="center" wrapText="1"/>
    </xf>
    <xf numFmtId="2" fontId="18" fillId="0" borderId="2" applyAlignment="1" pivotButton="0" quotePrefix="0" xfId="0">
      <alignment horizontal="center" vertical="center" wrapText="1"/>
    </xf>
    <xf numFmtId="4" fontId="18" fillId="0" borderId="3" applyAlignment="1" pivotButton="0" quotePrefix="0" xfId="50">
      <alignment horizontal="center" vertical="center" wrapText="1"/>
    </xf>
    <xf numFmtId="164" fontId="18" fillId="0" borderId="2" applyAlignment="1" pivotButton="0" quotePrefix="0" xfId="0">
      <alignment horizontal="center" vertical="center" wrapText="1"/>
    </xf>
    <xf numFmtId="164" fontId="18" fillId="0" borderId="3" applyAlignment="1" pivotButton="0" quotePrefix="0" xfId="50">
      <alignment horizontal="center" vertical="center" wrapText="1"/>
    </xf>
    <xf numFmtId="164" fontId="18" fillId="0" borderId="2" applyAlignment="1" pivotButton="0" quotePrefix="1" xfId="0">
      <alignment horizontal="center" vertical="center" wrapText="1"/>
    </xf>
    <xf numFmtId="49" fontId="18" fillId="0" borderId="2" applyAlignment="1" pivotButton="0" quotePrefix="0" xfId="50">
      <alignment horizontal="center" vertical="top" wrapText="1"/>
    </xf>
    <xf numFmtId="0" fontId="18" fillId="0" borderId="2" applyAlignment="1" pivotButton="0" quotePrefix="0" xfId="50">
      <alignment horizontal="center" vertical="center" wrapText="1"/>
    </xf>
    <xf numFmtId="2" fontId="18" fillId="0" borderId="2" applyAlignment="1" pivotButton="0" quotePrefix="0" xfId="50">
      <alignment horizontal="center" vertical="center" wrapText="1"/>
    </xf>
    <xf numFmtId="4" fontId="19" fillId="0" borderId="2" applyAlignment="1" pivotButton="0" quotePrefix="0" xfId="50">
      <alignment horizontal="center" vertical="center" wrapText="1"/>
    </xf>
    <xf numFmtId="0" fontId="19" fillId="0" borderId="14" applyAlignment="1" pivotButton="0" quotePrefix="0" xfId="50">
      <alignment horizontal="center" vertical="center" wrapText="1"/>
    </xf>
    <xf numFmtId="0" fontId="19" fillId="0" borderId="2" applyAlignment="1" pivotButton="0" quotePrefix="0" xfId="0">
      <alignment horizontal="center" vertical="center" wrapText="1"/>
    </xf>
    <xf numFmtId="0" fontId="16" fillId="0" borderId="0" applyAlignment="1" pivotButton="0" quotePrefix="0" xfId="1">
      <alignment horizontal="center" vertical="center"/>
    </xf>
    <xf numFmtId="0" fontId="16" fillId="0" borderId="0" applyAlignment="1" pivotButton="0" quotePrefix="0" xfId="0">
      <alignment horizontal="left" vertical="center" wrapText="1"/>
    </xf>
    <xf numFmtId="0" fontId="26" fillId="0" borderId="11" applyAlignment="1" pivotButton="0" quotePrefix="0" xfId="0">
      <alignment horizontal="center" wrapText="1"/>
    </xf>
    <xf numFmtId="0" fontId="31" fillId="0" borderId="0" applyAlignment="1" pivotButton="0" quotePrefix="0" xfId="1">
      <alignment horizontal="left" vertical="center"/>
    </xf>
    <xf numFmtId="0" fontId="56" fillId="0" borderId="0" applyAlignment="1" pivotButton="0" quotePrefix="0" xfId="1">
      <alignment horizontal="left"/>
    </xf>
    <xf numFmtId="0" fontId="2" fillId="0" borderId="0" applyAlignment="1" pivotButton="0" quotePrefix="0" xfId="0">
      <alignment horizontal="center" vertical="center"/>
    </xf>
    <xf numFmtId="0" fontId="2" fillId="0" borderId="0" applyAlignment="1" pivotButton="0" quotePrefix="0" xfId="0">
      <alignment vertical="center"/>
    </xf>
    <xf numFmtId="0" fontId="92" fillId="0" borderId="0" applyAlignment="1" pivotButton="0" quotePrefix="0" xfId="0">
      <alignment vertical="center"/>
    </xf>
    <xf numFmtId="4" fontId="2" fillId="0" borderId="0" applyAlignment="1" pivotButton="0" quotePrefix="0" xfId="0">
      <alignment vertical="center"/>
    </xf>
    <xf numFmtId="0" fontId="3" fillId="0" borderId="2" applyAlignment="1" pivotButton="0" quotePrefix="0" xfId="0">
      <alignment horizontal="center" vertical="center" textRotation="90" wrapText="1"/>
    </xf>
    <xf numFmtId="0" fontId="96" fillId="0" borderId="2" applyAlignment="1" pivotButton="0" quotePrefix="0" xfId="0">
      <alignment horizontal="center" vertical="center" textRotation="90" wrapText="1"/>
    </xf>
    <xf numFmtId="0" fontId="2" fillId="0" borderId="2" applyAlignment="1" pivotButton="0" quotePrefix="0" xfId="0">
      <alignment horizontal="center" vertical="center" wrapText="1"/>
    </xf>
    <xf numFmtId="0" fontId="3" fillId="0" borderId="2" applyAlignment="1" pivotButton="0" quotePrefix="0" xfId="0">
      <alignment horizontal="center" vertical="center"/>
    </xf>
    <xf numFmtId="166" fontId="3" fillId="0" borderId="2" applyAlignment="1" pivotButton="0" quotePrefix="0" xfId="0">
      <alignment horizontal="center" vertical="center"/>
    </xf>
    <xf numFmtId="167" fontId="3" fillId="0" borderId="2" applyAlignment="1" pivotButton="0" quotePrefix="0" xfId="0">
      <alignment horizontal="center" vertical="center"/>
    </xf>
    <xf numFmtId="4" fontId="3" fillId="0" borderId="2" applyAlignment="1" pivotButton="0" quotePrefix="0" xfId="0">
      <alignment horizontal="center" vertical="center"/>
    </xf>
    <xf numFmtId="1" fontId="3" fillId="0" borderId="2" applyAlignment="1" pivotButton="0" quotePrefix="0" xfId="0">
      <alignment horizontal="center" vertical="center"/>
    </xf>
    <xf numFmtId="4" fontId="3"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167" fontId="76" fillId="0" borderId="2" applyAlignment="1" pivotButton="0" quotePrefix="0" xfId="0">
      <alignment horizontal="center" vertical="center"/>
    </xf>
    <xf numFmtId="3" fontId="76" fillId="0" borderId="2" applyAlignment="1" pivotButton="0" quotePrefix="0" xfId="0">
      <alignment horizontal="center" vertical="center"/>
    </xf>
    <xf numFmtId="1" fontId="76" fillId="0" borderId="2" applyAlignment="1" pivotButton="0" quotePrefix="0" xfId="0">
      <alignment horizontal="center" vertical="center"/>
    </xf>
    <xf numFmtId="4" fontId="76" fillId="0" borderId="2" applyAlignment="1" pivotButton="0" quotePrefix="0" xfId="0">
      <alignment horizontal="center" vertical="center"/>
    </xf>
    <xf numFmtId="4" fontId="76" fillId="0" borderId="0" applyAlignment="1" pivotButton="0" quotePrefix="0" xfId="0">
      <alignment vertical="center"/>
    </xf>
    <xf numFmtId="0" fontId="76" fillId="0" borderId="0" applyAlignment="1" pivotButton="0" quotePrefix="0" xfId="0">
      <alignment horizontal="center" vertical="center"/>
    </xf>
    <xf numFmtId="0" fontId="76" fillId="0" borderId="0" applyAlignment="1" pivotButton="0" quotePrefix="0" xfId="0">
      <alignment vertical="center"/>
    </xf>
    <xf numFmtId="167" fontId="3" fillId="0" borderId="2" applyAlignment="1" pivotButton="0" quotePrefix="0" xfId="0">
      <alignment horizontal="center" vertical="center" wrapText="1"/>
    </xf>
    <xf numFmtId="4" fontId="3" fillId="0" borderId="2" applyAlignment="1" pivotButton="0" quotePrefix="0" xfId="0">
      <alignment horizontal="center" vertical="center" wrapText="1"/>
    </xf>
    <xf numFmtId="1" fontId="3" fillId="0" borderId="2" applyAlignment="1" pivotButton="0" quotePrefix="0" xfId="0">
      <alignment horizontal="center" vertical="center" wrapText="1"/>
    </xf>
    <xf numFmtId="4" fontId="3" fillId="0" borderId="0" applyAlignment="1" pivotButton="0" quotePrefix="0" xfId="0">
      <alignment vertical="center" wrapText="1"/>
    </xf>
    <xf numFmtId="0" fontId="3" fillId="0" borderId="0" applyAlignment="1" pivotButton="0" quotePrefix="0" xfId="0">
      <alignment vertical="center" wrapText="1"/>
    </xf>
    <xf numFmtId="168" fontId="3" fillId="0" borderId="0" applyAlignment="1" pivotButton="0" quotePrefix="0" xfId="0">
      <alignment horizontal="center" vertical="center"/>
    </xf>
    <xf numFmtId="4" fontId="3" fillId="0" borderId="0" applyAlignment="1" pivotButton="0" quotePrefix="0" xfId="0">
      <alignment horizontal="center" vertical="center"/>
    </xf>
    <xf numFmtId="3" fontId="3" fillId="0" borderId="0" applyAlignment="1" pivotButton="0" quotePrefix="0" xfId="0">
      <alignment horizontal="center" vertical="center"/>
    </xf>
    <xf numFmtId="0" fontId="9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3" fillId="0" borderId="0" applyAlignment="1" pivotButton="0" quotePrefix="0" xfId="0">
      <alignment horizontal="center" vertical="center"/>
    </xf>
    <xf numFmtId="0" fontId="25" fillId="0" borderId="0" applyAlignment="1" pivotButton="0" quotePrefix="0" xfId="0">
      <alignment vertical="center"/>
    </xf>
    <xf numFmtId="0" fontId="97" fillId="0" borderId="0" applyAlignment="1" pivotButton="0" quotePrefix="0" xfId="0">
      <alignment horizontal="center" vertical="center"/>
    </xf>
    <xf numFmtId="4" fontId="20" fillId="0" borderId="2" applyAlignment="1" pivotButton="0" quotePrefix="0" xfId="4">
      <alignment horizontal="center" vertical="center" wrapText="1"/>
    </xf>
    <xf numFmtId="0" fontId="69" fillId="0" borderId="2" applyAlignment="1" pivotButton="0" quotePrefix="0" xfId="0">
      <alignment vertical="center" wrapText="1"/>
    </xf>
    <xf numFmtId="4" fontId="20" fillId="0" borderId="2" applyAlignment="1" pivotButton="0" quotePrefix="0" xfId="0">
      <alignment horizontal="center" vertical="center"/>
    </xf>
    <xf numFmtId="4" fontId="2" fillId="0" borderId="2" applyAlignment="1" pivotButton="0" quotePrefix="0" xfId="0">
      <alignment horizontal="center" vertical="center" wrapText="1"/>
    </xf>
    <xf numFmtId="166" fontId="20" fillId="0" borderId="2" applyAlignment="1" pivotButton="0" quotePrefix="0" xfId="0">
      <alignment horizontal="center" vertical="center" wrapText="1"/>
    </xf>
    <xf numFmtId="0" fontId="16" fillId="0" borderId="0" applyAlignment="1" pivotButton="0" quotePrefix="0" xfId="0">
      <alignment horizontal="center" vertical="center" wrapText="1"/>
    </xf>
    <xf numFmtId="4" fontId="16" fillId="0" borderId="0" applyAlignment="1" pivotButton="0" quotePrefix="0" xfId="50">
      <alignment horizontal="center" vertical="top" wrapText="1"/>
    </xf>
    <xf numFmtId="0" fontId="43" fillId="0" borderId="0" applyAlignment="1" pivotButton="0" quotePrefix="0" xfId="1">
      <alignment horizontal="left"/>
    </xf>
    <xf numFmtId="0" fontId="43" fillId="0" borderId="0" applyAlignment="1" pivotButton="0" quotePrefix="0" xfId="1">
      <alignment vertical="center"/>
    </xf>
    <xf numFmtId="0" fontId="56" fillId="0" borderId="0" applyAlignment="1" pivotButton="0" quotePrefix="0" xfId="1">
      <alignment vertical="center"/>
    </xf>
    <xf numFmtId="0" fontId="56" fillId="0" borderId="0" applyAlignment="1" pivotButton="0" quotePrefix="0" xfId="1">
      <alignment horizontal="left" vertical="center"/>
    </xf>
    <xf numFmtId="0" fontId="43" fillId="0" borderId="0" pivotButton="0" quotePrefix="0" xfId="1"/>
    <xf numFmtId="0" fontId="43" fillId="0" borderId="0" applyAlignment="1" pivotButton="0" quotePrefix="0" xfId="1">
      <alignment wrapText="1"/>
    </xf>
    <xf numFmtId="0" fontId="99" fillId="0" borderId="0" applyAlignment="1" pivotButton="0" quotePrefix="0" xfId="1">
      <alignment vertical="top"/>
    </xf>
    <xf numFmtId="0" fontId="99" fillId="0" borderId="0" applyAlignment="1" pivotButton="0" quotePrefix="0" xfId="1">
      <alignment horizontal="center" vertical="top"/>
    </xf>
    <xf numFmtId="0" fontId="43" fillId="0" borderId="0" applyAlignment="1" pivotButton="0" quotePrefix="0" xfId="1">
      <alignment horizontal="left"/>
    </xf>
    <xf numFmtId="0" fontId="43" fillId="0" borderId="0" applyAlignment="1" pivotButton="0" quotePrefix="0" xfId="1">
      <alignment horizontal="right"/>
    </xf>
    <xf numFmtId="49" fontId="43" fillId="0" borderId="0" applyAlignment="1" pivotButton="0" quotePrefix="0" xfId="1">
      <alignment horizontal="center"/>
    </xf>
    <xf numFmtId="49" fontId="43" fillId="0" borderId="0" applyAlignment="1" pivotButton="0" quotePrefix="0" xfId="1">
      <alignment horizontal="right"/>
    </xf>
    <xf numFmtId="49" fontId="43" fillId="0" borderId="0" applyAlignment="1" pivotButton="0" quotePrefix="0" xfId="1">
      <alignment horizontal="left"/>
    </xf>
    <xf numFmtId="0" fontId="43" fillId="0" borderId="0" pivotButton="0" quotePrefix="0" xfId="1"/>
    <xf numFmtId="0" fontId="84" fillId="0" borderId="0" applyAlignment="1" pivotButton="0" quotePrefix="0" xfId="0">
      <alignment horizontal="left" vertical="center"/>
    </xf>
    <xf numFmtId="0" fontId="31" fillId="0" borderId="0" applyAlignment="1" pivotButton="0" quotePrefix="0" xfId="0">
      <alignment vertical="center"/>
    </xf>
    <xf numFmtId="0" fontId="31" fillId="0" borderId="0" applyAlignment="1" pivotButton="0" quotePrefix="0" xfId="0">
      <alignment horizontal="center" vertical="center"/>
    </xf>
    <xf numFmtId="0" fontId="100" fillId="0" borderId="0" applyAlignment="1" pivotButton="0" quotePrefix="0" xfId="1">
      <alignment horizontal="left"/>
    </xf>
    <xf numFmtId="0" fontId="101" fillId="0" borderId="0" applyAlignment="1" pivotButton="0" quotePrefix="0" xfId="1">
      <alignment vertical="top"/>
    </xf>
    <xf numFmtId="0" fontId="101" fillId="0" borderId="0" applyAlignment="1" pivotButton="0" quotePrefix="0" xfId="1">
      <alignment horizontal="left" vertical="top"/>
    </xf>
    <xf numFmtId="0" fontId="100" fillId="0" borderId="0" pivotButton="0" quotePrefix="0" xfId="1"/>
    <xf numFmtId="0" fontId="25" fillId="0" borderId="0" applyAlignment="1" pivotButton="0" quotePrefix="0" xfId="1">
      <alignment vertical="top"/>
    </xf>
    <xf numFmtId="0" fontId="20" fillId="0" borderId="2" applyAlignment="1" pivotButton="0" quotePrefix="0" xfId="1">
      <alignment horizontal="left" vertical="center" textRotation="90" wrapText="1"/>
    </xf>
    <xf numFmtId="0" fontId="20" fillId="0" borderId="2" applyAlignment="1" pivotButton="0" quotePrefix="0" xfId="1">
      <alignment horizontal="center" vertical="center" textRotation="90" wrapText="1"/>
    </xf>
    <xf numFmtId="0" fontId="20" fillId="0" borderId="2" applyAlignment="1" pivotButton="0" quotePrefix="0" xfId="1">
      <alignment horizontal="center"/>
    </xf>
    <xf numFmtId="0" fontId="20" fillId="0" borderId="5" applyAlignment="1" pivotButton="0" quotePrefix="0" xfId="1">
      <alignment horizontal="center"/>
    </xf>
    <xf numFmtId="0" fontId="102" fillId="0" borderId="0" applyAlignment="1" pivotButton="0" quotePrefix="0" xfId="1">
      <alignment wrapText="1"/>
    </xf>
    <xf numFmtId="0" fontId="102" fillId="0" borderId="0" applyAlignment="1" pivotButton="0" quotePrefix="0" xfId="1">
      <alignment vertical="top"/>
    </xf>
    <xf numFmtId="0" fontId="102" fillId="0" borderId="0" applyAlignment="1" pivotButton="0" quotePrefix="0" xfId="1">
      <alignment horizontal="center" vertical="top"/>
    </xf>
    <xf numFmtId="0" fontId="56" fillId="0" borderId="0" applyAlignment="1" pivotButton="0" quotePrefix="0" xfId="1">
      <alignment vertical="center" wrapText="1"/>
    </xf>
    <xf numFmtId="0" fontId="56" fillId="0" borderId="0" applyAlignment="1" pivotButton="0" quotePrefix="0" xfId="1">
      <alignment horizontal="left" vertical="center" wrapText="1"/>
    </xf>
    <xf numFmtId="49" fontId="56" fillId="0" borderId="0" pivotButton="0" quotePrefix="0" xfId="1"/>
    <xf numFmtId="0" fontId="56" fillId="0" borderId="0" applyAlignment="1" pivotButton="0" quotePrefix="0" xfId="1">
      <alignment horizontal="left" wrapText="1"/>
    </xf>
    <xf numFmtId="0" fontId="83" fillId="0" borderId="0" applyAlignment="1" pivotButton="0" quotePrefix="0" xfId="0">
      <alignment vertical="center" wrapText="1"/>
    </xf>
    <xf numFmtId="0" fontId="31" fillId="0" borderId="0" pivotButton="0" quotePrefix="0" xfId="0"/>
    <xf numFmtId="0" fontId="31" fillId="0" borderId="0" applyAlignment="1" pivotButton="0" quotePrefix="0" xfId="0">
      <alignment horizontal="center"/>
    </xf>
    <xf numFmtId="0" fontId="18" fillId="0" borderId="0" pivotButton="0" quotePrefix="0" xfId="0"/>
    <xf numFmtId="0" fontId="90" fillId="0" borderId="0" applyAlignment="1" pivotButton="0" quotePrefix="0" xfId="0">
      <alignment horizontal="center" vertical="center"/>
    </xf>
    <xf numFmtId="0" fontId="18" fillId="0" borderId="0" pivotButton="0" quotePrefix="0" xfId="0"/>
    <xf numFmtId="0" fontId="20" fillId="7" borderId="2" applyAlignment="1" pivotButton="0" quotePrefix="0" xfId="0">
      <alignment horizontal="center" wrapText="1"/>
    </xf>
    <xf numFmtId="0" fontId="56" fillId="0" borderId="0" applyAlignment="1" pivotButton="0" quotePrefix="0" xfId="1">
      <alignment horizontal="left"/>
    </xf>
    <xf numFmtId="0" fontId="103" fillId="0" borderId="0" pivotButton="0" quotePrefix="0" xfId="1"/>
    <xf numFmtId="0" fontId="103" fillId="0" borderId="0" pivotButton="0" quotePrefix="0" xfId="1"/>
    <xf numFmtId="2" fontId="18" fillId="0" borderId="5" applyAlignment="1" pivotButton="0" quotePrefix="0" xfId="51">
      <alignment horizontal="center" vertical="center"/>
    </xf>
    <xf numFmtId="0" fontId="18" fillId="0" borderId="5" applyAlignment="1" pivotButton="0" quotePrefix="0" xfId="1">
      <alignment horizontal="left" vertical="center" wrapText="1"/>
    </xf>
    <xf numFmtId="0" fontId="20" fillId="7" borderId="2" applyAlignment="1" pivotButton="0" quotePrefix="0" xfId="0">
      <alignment horizontal="center" vertical="center" wrapText="1"/>
    </xf>
    <xf numFmtId="0" fontId="18" fillId="7" borderId="2" applyAlignment="1" pivotButton="0" quotePrefix="0" xfId="1">
      <alignment horizontal="center" vertical="center" wrapText="1"/>
    </xf>
    <xf numFmtId="4" fontId="20" fillId="0" borderId="2" applyAlignment="1" pivotButton="0" quotePrefix="0" xfId="0">
      <alignment horizontal="center" vertical="center" wrapText="1"/>
    </xf>
    <xf numFmtId="0" fontId="45" fillId="0" borderId="0" applyAlignment="1" pivotButton="0" quotePrefix="0" xfId="1">
      <alignment horizontal="left"/>
    </xf>
    <xf numFmtId="0" fontId="45" fillId="0" borderId="0" applyAlignment="1" pivotButton="0" quotePrefix="0" xfId="1">
      <alignment horizontal="right"/>
    </xf>
    <xf numFmtId="0" fontId="2" fillId="0" borderId="0" applyAlignment="1" pivotButton="0" quotePrefix="0" xfId="1">
      <alignment horizontal="left"/>
    </xf>
    <xf numFmtId="0" fontId="78" fillId="0" borderId="0" applyAlignment="1" pivotButton="0" quotePrefix="0" xfId="1">
      <alignment horizontal="left"/>
    </xf>
    <xf numFmtId="0" fontId="77" fillId="0" borderId="0" applyAlignment="1" pivotButton="0" quotePrefix="0" xfId="1">
      <alignment horizontal="left"/>
    </xf>
    <xf numFmtId="0" fontId="45" fillId="0" borderId="0" applyAlignment="1" pivotButton="0" quotePrefix="0" xfId="1">
      <alignment horizontal="right" vertical="center"/>
    </xf>
    <xf numFmtId="49" fontId="45" fillId="0" borderId="0" applyAlignment="1" pivotButton="0" quotePrefix="0" xfId="1">
      <alignment horizontal="center"/>
    </xf>
    <xf numFmtId="0" fontId="78" fillId="0" borderId="0" applyAlignment="1" pivotButton="0" quotePrefix="0" xfId="1">
      <alignment horizontal="left" vertical="top"/>
    </xf>
    <xf numFmtId="0" fontId="45" fillId="0" borderId="0" applyAlignment="1" pivotButton="0" quotePrefix="0" xfId="1">
      <alignment horizontal="left"/>
    </xf>
    <xf numFmtId="169" fontId="86" fillId="0" borderId="0" applyAlignment="1" pivotButton="0" quotePrefix="0" xfId="1">
      <alignment horizontal="left"/>
    </xf>
    <xf numFmtId="0" fontId="45" fillId="0" borderId="0" applyAlignment="1" pivotButton="0" quotePrefix="0" xfId="1">
      <alignment horizontal="left"/>
    </xf>
    <xf numFmtId="0" fontId="92" fillId="0" borderId="0" applyAlignment="1" pivotButton="0" quotePrefix="0" xfId="1">
      <alignment horizontal="left"/>
    </xf>
    <xf numFmtId="0" fontId="45" fillId="0" borderId="0" pivotButton="0" quotePrefix="0" xfId="1"/>
    <xf numFmtId="0" fontId="92" fillId="0" borderId="0" applyAlignment="1" pivotButton="0" quotePrefix="0" xfId="1">
      <alignment vertical="center"/>
    </xf>
    <xf numFmtId="0" fontId="50" fillId="0" borderId="0" applyAlignment="1" pivotButton="0" quotePrefix="0" xfId="1">
      <alignment horizontal="left"/>
    </xf>
    <xf numFmtId="0" fontId="20" fillId="0" borderId="0" applyAlignment="1" pivotButton="0" quotePrefix="0" xfId="1">
      <alignment horizontal="left" vertical="center" wrapText="1"/>
    </xf>
    <xf numFmtId="0" fontId="18" fillId="0" borderId="0" applyAlignment="1" pivotButton="0" quotePrefix="0" xfId="1">
      <alignment horizontal="center" vertical="center"/>
    </xf>
    <xf numFmtId="0" fontId="16" fillId="0" borderId="0" applyAlignment="1" pivotButton="0" quotePrefix="0" xfId="1">
      <alignment horizontal="center" vertical="center"/>
    </xf>
    <xf numFmtId="0" fontId="20" fillId="0" borderId="2" applyAlignment="1" pivotButton="0" quotePrefix="0" xfId="1">
      <alignment horizontal="center" vertical="center"/>
    </xf>
    <xf numFmtId="0" fontId="20" fillId="0" borderId="2" applyAlignment="1" pivotButton="0" quotePrefix="0" xfId="1">
      <alignment horizontal="center" vertical="center" wrapText="1"/>
    </xf>
    <xf numFmtId="0" fontId="16" fillId="0" borderId="0" applyAlignment="1" pivotButton="0" quotePrefix="0" xfId="1">
      <alignment horizontal="left" vertical="center" wrapText="1"/>
    </xf>
    <xf numFmtId="0" fontId="16" fillId="0" borderId="0" applyAlignment="1" pivotButton="0" quotePrefix="0" xfId="1">
      <alignment horizontal="left" vertical="center"/>
    </xf>
    <xf numFmtId="0" fontId="16" fillId="0" borderId="0" applyAlignment="1" pivotButton="0" quotePrefix="0" xfId="1">
      <alignment vertical="center" wrapText="1"/>
    </xf>
    <xf numFmtId="0" fontId="16" fillId="0" borderId="0" applyAlignment="1" pivotButton="0" quotePrefix="0" xfId="0">
      <alignment horizontal="left" vertical="center" wrapText="1"/>
    </xf>
    <xf numFmtId="0" fontId="50" fillId="0" borderId="0" applyAlignment="1" pivotButton="0" quotePrefix="0" xfId="1">
      <alignment horizontal="left" vertical="center" wrapText="1"/>
    </xf>
    <xf numFmtId="0" fontId="17" fillId="0" borderId="0" applyAlignment="1" pivotButton="0" quotePrefix="0" xfId="1">
      <alignment horizontal="left" vertical="center"/>
    </xf>
    <xf numFmtId="0" fontId="17" fillId="0" borderId="0" applyAlignment="1" pivotButton="0" quotePrefix="0" xfId="1">
      <alignment horizontal="left" vertical="center" wrapText="1"/>
    </xf>
    <xf numFmtId="0" fontId="17" fillId="0" borderId="0" applyAlignment="1" pivotButton="0" quotePrefix="0" xfId="1">
      <alignment horizontal="center"/>
    </xf>
    <xf numFmtId="0" fontId="17" fillId="0" borderId="0" applyAlignment="1" pivotButton="0" quotePrefix="0" xfId="1">
      <alignment horizontal="left" wrapText="1"/>
    </xf>
    <xf numFmtId="0" fontId="17" fillId="0" borderId="0" applyAlignment="1" pivotButton="0" quotePrefix="0" xfId="1">
      <alignment horizontal="left"/>
    </xf>
    <xf numFmtId="0" fontId="16" fillId="0" borderId="14" applyAlignment="1" pivotButton="0" quotePrefix="0" xfId="1">
      <alignment horizontal="center" vertical="center"/>
    </xf>
    <xf numFmtId="0" fontId="16" fillId="0" borderId="13" applyAlignment="1" pivotButton="0" quotePrefix="0" xfId="1">
      <alignment horizontal="center" vertical="center"/>
    </xf>
    <xf numFmtId="0" fontId="16" fillId="0" borderId="2" applyAlignment="1" pivotButton="0" quotePrefix="0" xfId="1">
      <alignment horizontal="center" vertical="center"/>
    </xf>
    <xf numFmtId="49" fontId="16" fillId="0" borderId="2" applyAlignment="1" pivotButton="0" quotePrefix="0" xfId="1">
      <alignment horizontal="center" vertical="center"/>
    </xf>
    <xf numFmtId="0" fontId="16" fillId="0" borderId="5" applyAlignment="1" pivotButton="0" quotePrefix="0" xfId="1">
      <alignment horizontal="center" vertical="center"/>
    </xf>
    <xf numFmtId="0" fontId="16" fillId="0" borderId="2" applyAlignment="1" pivotButton="0" quotePrefix="0" xfId="1">
      <alignment horizontal="center" vertical="center" wrapText="1"/>
    </xf>
    <xf numFmtId="0" fontId="16" fillId="0" borderId="9" applyAlignment="1" pivotButton="0" quotePrefix="0" xfId="1">
      <alignment horizontal="center" vertical="center"/>
    </xf>
    <xf numFmtId="0" fontId="16" fillId="0" borderId="0" applyAlignment="1" pivotButton="0" quotePrefix="0" xfId="0">
      <alignment horizontal="center"/>
    </xf>
    <xf numFmtId="0" fontId="20" fillId="0" borderId="0" applyAlignment="1" pivotButton="0" quotePrefix="0" xfId="0">
      <alignment horizontal="right"/>
    </xf>
    <xf numFmtId="0" fontId="56" fillId="0" borderId="0" applyAlignment="1" pivotButton="0" quotePrefix="0" xfId="1">
      <alignment horizontal="left"/>
    </xf>
    <xf numFmtId="0" fontId="31" fillId="0" borderId="0" applyAlignment="1" pivotButton="0" quotePrefix="0" xfId="1">
      <alignment horizontal="left" vertical="center" wrapText="1"/>
    </xf>
    <xf numFmtId="0" fontId="16" fillId="0" borderId="5" applyAlignment="1" pivotButton="0" quotePrefix="0" xfId="1">
      <alignment horizontal="center" vertical="center" wrapText="1"/>
    </xf>
    <xf numFmtId="0" fontId="37" fillId="0" borderId="0" applyAlignment="1" pivotButton="0" quotePrefix="0" xfId="1">
      <alignment horizontal="center" vertical="top"/>
    </xf>
    <xf numFmtId="0" fontId="25" fillId="0" borderId="0" applyAlignment="1" pivotButton="0" quotePrefix="0" xfId="1">
      <alignment horizontal="left"/>
    </xf>
    <xf numFmtId="0" fontId="16" fillId="0" borderId="0" applyAlignment="1" pivotButton="0" quotePrefix="0" xfId="1">
      <alignment horizontal="left"/>
    </xf>
    <xf numFmtId="49" fontId="16" fillId="0" borderId="0" applyAlignment="1" pivotButton="0" quotePrefix="0" xfId="1">
      <alignment horizontal="left"/>
    </xf>
    <xf numFmtId="0" fontId="16" fillId="0" borderId="2" applyAlignment="1" pivotButton="0" quotePrefix="0" xfId="4">
      <alignment horizontal="center" vertical="center" wrapText="1"/>
    </xf>
    <xf numFmtId="0" fontId="16" fillId="0" borderId="2" applyAlignment="1" pivotButton="0" quotePrefix="0" xfId="4">
      <alignment horizontal="center" vertical="center"/>
    </xf>
    <xf numFmtId="0" fontId="31" fillId="0" borderId="0" applyAlignment="1" pivotButton="0" quotePrefix="0" xfId="1">
      <alignment horizontal="left"/>
    </xf>
    <xf numFmtId="0" fontId="20" fillId="0" borderId="14" applyAlignment="1" pivotButton="0" quotePrefix="0" xfId="0">
      <alignment horizontal="center" vertical="center" wrapText="1"/>
    </xf>
    <xf numFmtId="0" fontId="18" fillId="0" borderId="0" applyAlignment="1" pivotButton="0" quotePrefix="0" xfId="1">
      <alignment horizontal="right" vertical="center"/>
    </xf>
    <xf numFmtId="0" fontId="25" fillId="0" borderId="0" applyAlignment="1" pivotButton="0" quotePrefix="0" xfId="1">
      <alignment horizontal="center" vertical="center"/>
    </xf>
    <xf numFmtId="0" fontId="20" fillId="0" borderId="5" applyAlignment="1" pivotButton="0" quotePrefix="0" xfId="0">
      <alignment horizontal="center" vertical="center" wrapText="1"/>
    </xf>
    <xf numFmtId="0" fontId="20" fillId="0" borderId="3" applyAlignment="1" pivotButton="0" quotePrefix="0" xfId="0">
      <alignment horizontal="center" vertical="center" wrapText="1"/>
    </xf>
    <xf numFmtId="0" fontId="25" fillId="0" borderId="0" applyAlignment="1" pivotButton="0" quotePrefix="0" xfId="0">
      <alignment horizontal="center" vertical="center"/>
    </xf>
    <xf numFmtId="0" fontId="31" fillId="0" borderId="0" applyAlignment="1" pivotButton="0" quotePrefix="0" xfId="1">
      <alignment horizontal="left" vertical="center"/>
    </xf>
    <xf numFmtId="0" fontId="16" fillId="0" borderId="0" applyAlignment="1" pivotButton="0" quotePrefix="0" xfId="1">
      <alignment horizontal="center" vertical="center"/>
    </xf>
    <xf numFmtId="0" fontId="16" fillId="0" borderId="0" applyAlignment="1" pivotButton="0" quotePrefix="0" xfId="0">
      <alignment horizontal="left" vertical="center" wrapText="1"/>
    </xf>
    <xf numFmtId="0" fontId="26" fillId="0" borderId="11" applyAlignment="1" pivotButton="0" quotePrefix="0" xfId="0">
      <alignment horizontal="center" wrapText="1"/>
    </xf>
    <xf numFmtId="0" fontId="17" fillId="0" borderId="2" applyAlignment="1" pivotButton="0" quotePrefix="0" xfId="0">
      <alignment horizontal="center" vertical="center" wrapText="1"/>
    </xf>
    <xf numFmtId="0" fontId="17" fillId="0" borderId="2" applyAlignment="1" pivotButton="0" quotePrefix="0" xfId="1">
      <alignment horizontal="center" vertical="center" wrapText="1"/>
    </xf>
    <xf numFmtId="0" fontId="17" fillId="0" borderId="10" applyAlignment="1" pivotButton="0" quotePrefix="0" xfId="1">
      <alignment horizontal="center" vertical="center" wrapText="1"/>
    </xf>
    <xf numFmtId="0" fontId="17" fillId="0" borderId="14" applyAlignment="1" pivotButton="0" quotePrefix="0" xfId="1">
      <alignment horizontal="center" vertical="center" wrapText="1"/>
    </xf>
    <xf numFmtId="0" fontId="16" fillId="0" borderId="2" applyAlignment="1" pivotButton="0" quotePrefix="0" xfId="0">
      <alignment horizontal="center" vertical="center" wrapText="1"/>
    </xf>
    <xf numFmtId="49" fontId="16" fillId="0" borderId="2" applyAlignment="1" pivotButton="0" quotePrefix="0" xfId="0">
      <alignment horizontal="center" vertical="center" wrapText="1"/>
    </xf>
    <xf numFmtId="0" fontId="3" fillId="0" borderId="2" applyAlignment="1" pivotButton="0" quotePrefix="0" xfId="1">
      <alignment horizontal="center"/>
    </xf>
    <xf numFmtId="0" fontId="1" fillId="0" borderId="2" applyAlignment="1" pivotButton="0" quotePrefix="0" xfId="1">
      <alignment horizontal="center" vertical="center"/>
    </xf>
    <xf numFmtId="49" fontId="17" fillId="0" borderId="2" applyAlignment="1" pivotButton="0" quotePrefix="0" xfId="1">
      <alignment horizontal="center" vertical="center"/>
    </xf>
    <xf numFmtId="0" fontId="16" fillId="0" borderId="13" applyAlignment="1" pivotButton="0" quotePrefix="0" xfId="1">
      <alignment horizontal="left" vertical="center" wrapText="1"/>
    </xf>
    <xf numFmtId="0" fontId="16" fillId="0" borderId="2" applyAlignment="1" pivotButton="0" quotePrefix="0" xfId="1">
      <alignment horizontal="left" vertical="center" wrapText="1"/>
    </xf>
    <xf numFmtId="49" fontId="17" fillId="0" borderId="0" applyAlignment="1" pivotButton="0" quotePrefix="0" xfId="1">
      <alignment horizontal="center"/>
    </xf>
    <xf numFmtId="0" fontId="17" fillId="0" borderId="0" applyAlignment="1" pivotButton="0" quotePrefix="0" xfId="1">
      <alignment horizontal="center" vertical="top" wrapText="1"/>
    </xf>
    <xf numFmtId="0" fontId="17" fillId="0" borderId="0" applyAlignment="1" pivotButton="0" quotePrefix="0" xfId="1">
      <alignment horizontal="center" wrapText="1"/>
    </xf>
    <xf numFmtId="49" fontId="16" fillId="0" borderId="0" applyAlignment="1" pivotButton="0" quotePrefix="0" xfId="1">
      <alignment horizontal="left" vertical="top"/>
    </xf>
    <xf numFmtId="49" fontId="16" fillId="0" borderId="0" applyAlignment="1" pivotButton="0" quotePrefix="0" xfId="1">
      <alignment horizontal="left" wrapText="1"/>
    </xf>
    <xf numFmtId="0" fontId="16" fillId="0" borderId="0" applyAlignment="1" pivotButton="0" quotePrefix="0" xfId="1">
      <alignment horizontal="left" wrapText="1"/>
    </xf>
    <xf numFmtId="0" fontId="50" fillId="7" borderId="0" applyAlignment="1" pivotButton="0" quotePrefix="0" xfId="1">
      <alignment horizontal="left"/>
    </xf>
    <xf numFmtId="0" fontId="50" fillId="7" borderId="0" pivotButton="0" quotePrefix="0" xfId="1"/>
    <xf numFmtId="0" fontId="16" fillId="0" borderId="2" applyAlignment="1" pivotButton="0" quotePrefix="0" xfId="0">
      <alignment horizontal="center" vertical="top" wrapText="1"/>
    </xf>
    <xf numFmtId="0" fontId="17" fillId="0" borderId="2" applyAlignment="1" pivotButton="0" quotePrefix="0" xfId="0">
      <alignment horizontal="center" vertical="center"/>
    </xf>
    <xf numFmtId="0" fontId="16" fillId="0" borderId="2" applyAlignment="1" pivotButton="0" quotePrefix="0" xfId="1">
      <alignment vertical="center" wrapText="1"/>
    </xf>
    <xf numFmtId="0" fontId="1" fillId="0" borderId="0" applyAlignment="1" pivotButton="0" quotePrefix="0" xfId="1">
      <alignment horizontal="center" vertical="center"/>
    </xf>
    <xf numFmtId="0" fontId="16" fillId="0" borderId="2" applyAlignment="1" pivotButton="0" quotePrefix="0" xfId="1">
      <alignment vertical="center"/>
    </xf>
    <xf numFmtId="0" fontId="17" fillId="0" borderId="2" applyAlignment="1" pivotButton="0" quotePrefix="0" xfId="1">
      <alignment horizontal="center" vertical="center"/>
    </xf>
    <xf numFmtId="0" fontId="36" fillId="0" borderId="0" pivotButton="0" quotePrefix="0" xfId="1"/>
    <xf numFmtId="0" fontId="107" fillId="0" borderId="0" pivotButton="0" quotePrefix="0" xfId="1"/>
    <xf numFmtId="0" fontId="110" fillId="0" borderId="0" applyAlignment="1" pivotButton="0" quotePrefix="0" xfId="4">
      <alignment vertical="top" wrapText="1"/>
    </xf>
    <xf numFmtId="0" fontId="50" fillId="0" borderId="0" applyAlignment="1" pivotButton="0" quotePrefix="0" xfId="4">
      <alignment horizontal="center" vertical="center"/>
    </xf>
    <xf numFmtId="0" fontId="18" fillId="0" borderId="0" applyAlignment="1" pivotButton="0" quotePrefix="0" xfId="0">
      <alignment horizontal="center"/>
    </xf>
    <xf numFmtId="0" fontId="16" fillId="0" borderId="0" applyAlignment="1" pivotButton="0" quotePrefix="0" xfId="4">
      <alignment horizontal="center" vertical="top"/>
    </xf>
    <xf numFmtId="0" fontId="111" fillId="0" borderId="0" applyAlignment="1" pivotButton="0" quotePrefix="0" xfId="4">
      <alignment vertical="top" wrapText="1"/>
    </xf>
    <xf numFmtId="0" fontId="68" fillId="0" borderId="0" applyAlignment="1" pivotButton="0" quotePrefix="0" xfId="4">
      <alignment vertical="top" wrapText="1"/>
    </xf>
    <xf numFmtId="0" fontId="16" fillId="0" borderId="0" applyAlignment="1" pivotButton="0" quotePrefix="0" xfId="0">
      <alignment horizontal="right"/>
    </xf>
    <xf numFmtId="0" fontId="16" fillId="0" borderId="0" applyAlignment="1" pivotButton="0" quotePrefix="0" xfId="4">
      <alignment vertical="center"/>
    </xf>
    <xf numFmtId="3" fontId="22" fillId="0" borderId="21" applyAlignment="1" pivotButton="0" quotePrefix="0" xfId="4">
      <alignment horizontal="center" vertical="center"/>
    </xf>
    <xf numFmtId="3" fontId="22" fillId="0" borderId="13" applyAlignment="1" pivotButton="0" quotePrefix="0" xfId="4">
      <alignment horizontal="center" vertical="center"/>
    </xf>
    <xf numFmtId="0" fontId="85" fillId="0" borderId="0" pivotButton="0" quotePrefix="0" xfId="1"/>
    <xf numFmtId="0" fontId="50" fillId="0" borderId="0" applyAlignment="1" pivotButton="0" quotePrefix="0" xfId="4">
      <alignment horizontal="center" vertical="top"/>
    </xf>
    <xf numFmtId="0" fontId="50" fillId="0" borderId="0" applyAlignment="1" pivotButton="0" quotePrefix="0" xfId="4">
      <alignment vertical="top"/>
    </xf>
    <xf numFmtId="0" fontId="112" fillId="0" borderId="0" applyAlignment="1" pivotButton="0" quotePrefix="0" xfId="4">
      <alignment vertical="top"/>
    </xf>
    <xf numFmtId="0" fontId="111" fillId="0" borderId="0" applyAlignment="1" pivotButton="0" quotePrefix="0" xfId="4">
      <alignment vertical="top"/>
    </xf>
    <xf numFmtId="49" fontId="16" fillId="0" borderId="2" applyAlignment="1" pivotButton="0" quotePrefix="0" xfId="5">
      <alignment horizontal="center" vertical="center" wrapText="1"/>
    </xf>
    <xf numFmtId="0" fontId="16" fillId="0" borderId="0" applyAlignment="1" pivotButton="0" quotePrefix="0" xfId="4">
      <alignment horizontal="left" wrapText="1"/>
    </xf>
    <xf numFmtId="0" fontId="16" fillId="0" borderId="0" applyAlignment="1" pivotButton="0" quotePrefix="0" xfId="6">
      <alignment horizontal="center" vertical="center"/>
    </xf>
    <xf numFmtId="0" fontId="25" fillId="0" borderId="0" applyAlignment="1" pivotButton="0" quotePrefix="0" xfId="0">
      <alignment wrapText="1"/>
    </xf>
    <xf numFmtId="0" fontId="16" fillId="0" borderId="1" applyAlignment="1" pivotButton="0" quotePrefix="0" xfId="0">
      <alignment horizontal="center"/>
    </xf>
    <xf numFmtId="0" fontId="21" fillId="0" borderId="0" applyAlignment="1" pivotButton="0" quotePrefix="0" xfId="0">
      <alignment horizontal="right"/>
    </xf>
    <xf numFmtId="0" fontId="20" fillId="0" borderId="2" applyAlignment="1" pivotButton="0" quotePrefix="0" xfId="0">
      <alignment horizontal="center" vertical="center" wrapText="1"/>
    </xf>
    <xf numFmtId="0" fontId="20" fillId="0" borderId="2" applyAlignment="1" pivotButton="0" quotePrefix="0" xfId="0">
      <alignment horizontal="center" vertical="center"/>
    </xf>
    <xf numFmtId="0" fontId="30" fillId="0" borderId="3" applyAlignment="1" pivotButton="0" quotePrefix="0" xfId="0">
      <alignment horizontal="center" vertical="center" wrapText="1"/>
    </xf>
    <xf numFmtId="49" fontId="20" fillId="0" borderId="2" applyAlignment="1" pivotButton="0" quotePrefix="0" xfId="6">
      <alignment horizontal="center" vertical="center" wrapText="1"/>
    </xf>
    <xf numFmtId="170" fontId="20" fillId="0" borderId="2" applyAlignment="1" pivotButton="0" quotePrefix="0" xfId="6">
      <alignment horizontal="center" vertical="center"/>
    </xf>
    <xf numFmtId="0" fontId="20" fillId="0" borderId="2" applyAlignment="1" pivotButton="0" quotePrefix="0" xfId="6">
      <alignment horizontal="center" vertical="center" wrapText="1"/>
    </xf>
    <xf numFmtId="0" fontId="26" fillId="0" borderId="2" applyAlignment="1" pivotButton="0" quotePrefix="0" xfId="0">
      <alignment horizontal="center" vertical="center" wrapText="1"/>
    </xf>
    <xf numFmtId="0" fontId="24" fillId="0" borderId="28" applyAlignment="1" pivotButton="0" quotePrefix="0" xfId="6">
      <alignment horizontal="center" vertical="center" wrapText="1"/>
    </xf>
    <xf numFmtId="0" fontId="20" fillId="0" borderId="6" applyAlignment="1" pivotButton="0" quotePrefix="0" xfId="6">
      <alignment horizontal="center" vertical="center" wrapText="1"/>
    </xf>
    <xf numFmtId="0" fontId="20" fillId="0" borderId="3" applyAlignment="1" pivotButton="0" quotePrefix="0" xfId="6">
      <alignment horizontal="center" vertical="center" wrapText="1"/>
    </xf>
    <xf numFmtId="0" fontId="16" fillId="0" borderId="0" pivotButton="0" quotePrefix="0" xfId="52"/>
    <xf numFmtId="0" fontId="17" fillId="0" borderId="0" pivotButton="0" quotePrefix="0" xfId="52"/>
    <xf numFmtId="0" fontId="21" fillId="0" borderId="0" applyAlignment="1" pivotButton="0" quotePrefix="0" xfId="1">
      <alignment vertical="center"/>
    </xf>
    <xf numFmtId="0" fontId="23" fillId="0" borderId="0" applyAlignment="1" pivotButton="0" quotePrefix="0" xfId="0">
      <alignment horizontal="right"/>
    </xf>
    <xf numFmtId="0" fontId="16" fillId="0" borderId="0" applyAlignment="1" pivotButton="0" quotePrefix="0" xfId="6">
      <alignment wrapText="1"/>
    </xf>
    <xf numFmtId="0" fontId="18" fillId="0" borderId="0" applyAlignment="1" pivotButton="0" quotePrefix="0" xfId="1">
      <alignment horizontal="left"/>
    </xf>
    <xf numFmtId="0" fontId="26" fillId="0" borderId="0" applyAlignment="1" pivotButton="0" quotePrefix="0" xfId="1">
      <alignment horizontal="right"/>
    </xf>
    <xf numFmtId="49" fontId="24" fillId="0" borderId="2" applyAlignment="1" pivotButton="0" quotePrefix="0" xfId="1">
      <alignment horizontal="left" vertical="center" wrapText="1"/>
    </xf>
    <xf numFmtId="0" fontId="17" fillId="0" borderId="0" applyAlignment="1" pivotButton="0" quotePrefix="0" xfId="1">
      <alignment horizontal="left" vertical="top"/>
    </xf>
    <xf numFmtId="49" fontId="20" fillId="0" borderId="2" applyAlignment="1" pivotButton="0" quotePrefix="0" xfId="1">
      <alignment horizontal="left" vertical="center" wrapText="1"/>
    </xf>
    <xf numFmtId="0" fontId="24" fillId="0" borderId="2" applyAlignment="1" pivotButton="0" quotePrefix="0" xfId="1">
      <alignment horizontal="center" vertical="center" wrapText="1"/>
    </xf>
    <xf numFmtId="0" fontId="24" fillId="0" borderId="2" applyAlignment="1" pivotButton="0" quotePrefix="0" xfId="1">
      <alignment horizontal="left" vertical="center" wrapText="1"/>
    </xf>
    <xf numFmtId="0" fontId="24" fillId="0" borderId="2" applyAlignment="1" pivotButton="0" quotePrefix="0" xfId="1">
      <alignment vertical="center" wrapText="1"/>
    </xf>
    <xf numFmtId="0" fontId="20" fillId="0" borderId="0" applyAlignment="1" pivotButton="0" quotePrefix="0" xfId="1">
      <alignment horizontal="center" vertical="center" wrapText="1"/>
    </xf>
    <xf numFmtId="0" fontId="20" fillId="0" borderId="5" applyAlignment="1" pivotButton="0" quotePrefix="0" xfId="1">
      <alignment vertical="center"/>
    </xf>
    <xf numFmtId="0" fontId="54" fillId="0" borderId="0" applyAlignment="1" pivotButton="0" quotePrefix="0" xfId="1">
      <alignment horizontal="left" vertical="top"/>
    </xf>
    <xf numFmtId="0" fontId="54" fillId="0" borderId="0" applyAlignment="1" pivotButton="0" quotePrefix="0" xfId="1">
      <alignment horizontal="center" vertical="top"/>
    </xf>
    <xf numFmtId="0" fontId="50" fillId="0" borderId="0" applyAlignment="1" pivotButton="0" quotePrefix="0" xfId="1">
      <alignment horizontal="left"/>
    </xf>
    <xf numFmtId="0" fontId="3" fillId="0" borderId="2" applyAlignment="1" pivotButton="0" quotePrefix="0" xfId="1">
      <alignment horizontal="center" vertical="center"/>
    </xf>
    <xf numFmtId="0" fontId="3" fillId="0" borderId="5" applyAlignment="1" pivotButton="0" quotePrefix="0" xfId="1">
      <alignment horizontal="center" vertical="center"/>
    </xf>
    <xf numFmtId="0" fontId="19" fillId="0" borderId="0" applyAlignment="1" pivotButton="0" quotePrefix="0" xfId="1">
      <alignment horizontal="center"/>
    </xf>
    <xf numFmtId="0" fontId="16" fillId="0" borderId="0" applyAlignment="1" pivotButton="0" quotePrefix="0" xfId="1">
      <alignment horizontal="center" vertical="center"/>
    </xf>
    <xf numFmtId="0" fontId="16" fillId="0" borderId="0" applyAlignment="1" pivotButton="0" quotePrefix="0" xfId="1">
      <alignment horizontal="center" vertical="center" wrapText="1"/>
    </xf>
    <xf numFmtId="0" fontId="16" fillId="0" borderId="0" applyAlignment="1" pivotButton="0" quotePrefix="0" xfId="1">
      <alignment horizontal="left" vertical="center"/>
    </xf>
    <xf numFmtId="0" fontId="16" fillId="0" borderId="0" applyAlignment="1" pivotButton="0" quotePrefix="0" xfId="0">
      <alignment horizontal="left" vertical="center" wrapText="1"/>
    </xf>
    <xf numFmtId="0" fontId="19" fillId="0" borderId="0" applyAlignment="1" pivotButton="0" quotePrefix="0" xfId="38">
      <alignment horizontal="center" vertical="center" wrapText="1"/>
    </xf>
    <xf numFmtId="0" fontId="16" fillId="0" borderId="11" applyAlignment="1" pivotButton="0" quotePrefix="0" xfId="1">
      <alignment horizontal="center" vertical="center"/>
    </xf>
    <xf numFmtId="0" fontId="16" fillId="0" borderId="7" applyAlignment="1" pivotButton="0" quotePrefix="0" xfId="1">
      <alignment horizontal="center" vertical="center"/>
    </xf>
    <xf numFmtId="0" fontId="16" fillId="0" borderId="2" applyAlignment="1" pivotButton="0" quotePrefix="0" xfId="1">
      <alignment horizontal="center" vertical="center"/>
    </xf>
    <xf numFmtId="0" fontId="18" fillId="0" borderId="0" applyAlignment="1" pivotButton="0" quotePrefix="0" xfId="1">
      <alignment horizontal="right"/>
    </xf>
    <xf numFmtId="0" fontId="16" fillId="0" borderId="5" applyAlignment="1" pivotButton="0" quotePrefix="0" xfId="1">
      <alignment horizontal="center" vertical="center"/>
    </xf>
    <xf numFmtId="0" fontId="3" fillId="0" borderId="0" applyAlignment="1" pivotButton="0" quotePrefix="0" xfId="1">
      <alignment horizontal="center" vertical="center"/>
    </xf>
    <xf numFmtId="0" fontId="31" fillId="0" borderId="0" applyAlignment="1" pivotButton="0" quotePrefix="0" xfId="38">
      <alignment horizontal="center" vertical="center" wrapText="1"/>
    </xf>
    <xf numFmtId="49" fontId="35" fillId="0" borderId="0" applyAlignment="1" pivotButton="0" quotePrefix="0" xfId="1">
      <alignment horizontal="center" vertical="center" wrapText="1"/>
    </xf>
    <xf numFmtId="0" fontId="20" fillId="0" borderId="4" applyAlignment="1" pivotButton="0" quotePrefix="0" xfId="38">
      <alignment vertical="center" wrapText="1"/>
    </xf>
    <xf numFmtId="4" fontId="20" fillId="0" borderId="2" applyAlignment="1" pivotButton="0" quotePrefix="0" xfId="38">
      <alignment horizontal="center" vertical="center" wrapText="1"/>
    </xf>
    <xf numFmtId="171" fontId="20" fillId="0" borderId="2" applyAlignment="1" pivotButton="0" quotePrefix="0" xfId="38">
      <alignment horizontal="center" vertical="center" wrapText="1"/>
    </xf>
    <xf numFmtId="0" fontId="20" fillId="0" borderId="2" applyAlignment="1" pivotButton="0" quotePrefix="0" xfId="38">
      <alignment horizontal="left" vertical="center" wrapText="1"/>
    </xf>
    <xf numFmtId="0" fontId="16" fillId="0" borderId="0" applyAlignment="1" pivotButton="0" quotePrefix="0" xfId="38">
      <alignment horizontal="left" vertical="center" wrapText="1"/>
    </xf>
    <xf numFmtId="49" fontId="16" fillId="0" borderId="0" applyAlignment="1" pivotButton="0" quotePrefix="0" xfId="38">
      <alignment horizontal="left" vertical="center" wrapText="1"/>
    </xf>
    <xf numFmtId="0" fontId="20" fillId="0" borderId="0" applyAlignment="1" pivotButton="0" quotePrefix="0" xfId="38">
      <alignment horizontal="left" vertical="center" wrapText="1"/>
    </xf>
    <xf numFmtId="0" fontId="40" fillId="0" borderId="0" applyAlignment="1" pivotButton="0" quotePrefix="0" xfId="1">
      <alignment vertical="center"/>
    </xf>
    <xf numFmtId="0" fontId="18" fillId="0" borderId="0" applyAlignment="1" pivotButton="0" quotePrefix="0" xfId="4">
      <alignment horizontal="center" vertical="center"/>
    </xf>
    <xf numFmtId="0" fontId="89" fillId="0" borderId="0" pivotButton="0" quotePrefix="0" xfId="48"/>
    <xf numFmtId="0" fontId="19" fillId="0" borderId="0" applyAlignment="1" pivotButton="0" quotePrefix="0" xfId="4">
      <alignment horizontal="center" vertical="top"/>
    </xf>
    <xf numFmtId="0" fontId="18" fillId="0" borderId="0" applyAlignment="1" pivotButton="0" quotePrefix="0" xfId="4">
      <alignment horizontal="center" vertical="top"/>
    </xf>
    <xf numFmtId="0" fontId="4" fillId="0" borderId="0" pivotButton="0" quotePrefix="0" xfId="0"/>
    <xf numFmtId="0" fontId="20" fillId="0" borderId="2" applyAlignment="1" pivotButton="0" quotePrefix="0" xfId="4">
      <alignment horizontal="center" vertical="center"/>
    </xf>
    <xf numFmtId="0" fontId="20" fillId="0" borderId="2" applyAlignment="1" pivotButton="0" quotePrefix="0" xfId="4">
      <alignment horizontal="center" vertical="center" wrapText="1"/>
    </xf>
    <xf numFmtId="0" fontId="20" fillId="0" borderId="2" applyAlignment="1" pivotButton="0" quotePrefix="0" xfId="4">
      <alignment horizontal="center" vertical="top"/>
    </xf>
    <xf numFmtId="4" fontId="20" fillId="0" borderId="2" applyAlignment="1" pivotButton="0" quotePrefix="0" xfId="4">
      <alignment horizontal="left" vertical="center" wrapText="1"/>
    </xf>
    <xf numFmtId="4" fontId="20" fillId="0" borderId="2" applyAlignment="1" pivotButton="0" quotePrefix="0" xfId="4">
      <alignment horizontal="right" vertical="center"/>
    </xf>
    <xf numFmtId="4" fontId="20" fillId="0" borderId="2" applyAlignment="1" pivotButton="0" quotePrefix="0" xfId="4">
      <alignment horizontal="center" vertical="center"/>
    </xf>
    <xf numFmtId="0" fontId="3" fillId="0" borderId="0" applyAlignment="1" pivotButton="0" quotePrefix="0" xfId="48">
      <alignment vertical="center"/>
    </xf>
    <xf numFmtId="166" fontId="20" fillId="0" borderId="2" applyAlignment="1" pivotButton="0" quotePrefix="0" xfId="4">
      <alignment horizontal="right" vertical="center"/>
    </xf>
    <xf numFmtId="4" fontId="24" fillId="0" borderId="21" applyAlignment="1" pivotButton="0" quotePrefix="0" xfId="4">
      <alignment horizontal="right" vertical="center"/>
    </xf>
    <xf numFmtId="4" fontId="24" fillId="0" borderId="21" applyAlignment="1" pivotButton="0" quotePrefix="0" xfId="4">
      <alignment horizontal="center" vertical="center"/>
    </xf>
    <xf numFmtId="4" fontId="24" fillId="0" borderId="13" applyAlignment="1" pivotButton="0" quotePrefix="0" xfId="4">
      <alignment horizontal="right" vertical="center"/>
    </xf>
    <xf numFmtId="4" fontId="24" fillId="0" borderId="13" applyAlignment="1" pivotButton="0" quotePrefix="0" xfId="4">
      <alignment horizontal="center" vertical="center"/>
    </xf>
    <xf numFmtId="9" fontId="24" fillId="0" borderId="2" applyAlignment="1" pivotButton="0" quotePrefix="0" xfId="2">
      <alignment horizontal="center" vertical="center"/>
    </xf>
    <xf numFmtId="168" fontId="20" fillId="0" borderId="2" applyAlignment="1" pivotButton="0" quotePrefix="0" xfId="2">
      <alignment horizontal="center" vertical="center"/>
    </xf>
    <xf numFmtId="0" fontId="115" fillId="0" borderId="0" pivotButton="0" quotePrefix="0" xfId="48"/>
    <xf numFmtId="0" fontId="20" fillId="0" borderId="0" applyAlignment="1" pivotButton="0" quotePrefix="0" xfId="4">
      <alignment horizontal="left" wrapText="1"/>
    </xf>
    <xf numFmtId="0" fontId="116" fillId="0" borderId="0" pivotButton="0" quotePrefix="0" xfId="48"/>
    <xf numFmtId="0" fontId="20" fillId="0" borderId="0" applyAlignment="1" pivotButton="0" quotePrefix="0" xfId="4">
      <alignment vertical="top"/>
    </xf>
    <xf numFmtId="0" fontId="117" fillId="0" borderId="0" pivotButton="0" quotePrefix="0" xfId="24"/>
    <xf numFmtId="0" fontId="21" fillId="0" borderId="0" applyAlignment="1" pivotButton="0" quotePrefix="0" xfId="4">
      <alignment horizontal="left" vertical="center" wrapText="1"/>
    </xf>
    <xf numFmtId="0" fontId="16" fillId="0" borderId="0" applyAlignment="1" pivotButton="0" quotePrefix="0" xfId="4">
      <alignment horizontal="left" vertical="center" wrapText="1"/>
    </xf>
    <xf numFmtId="0" fontId="89" fillId="0" borderId="0" pivotButton="0" quotePrefix="0" xfId="24"/>
    <xf numFmtId="0" fontId="89" fillId="0" borderId="0" applyAlignment="1" pivotButton="0" quotePrefix="0" xfId="24">
      <alignment vertical="center"/>
    </xf>
    <xf numFmtId="49" fontId="16" fillId="0" borderId="0" applyAlignment="1" pivotButton="0" quotePrefix="0" xfId="5">
      <alignment horizontal="left" vertical="center" wrapText="1"/>
    </xf>
    <xf numFmtId="0" fontId="16" fillId="0" borderId="0" applyAlignment="1" pivotButton="0" quotePrefix="0" xfId="4">
      <alignment horizontal="left" vertical="top" wrapText="1"/>
    </xf>
    <xf numFmtId="0" fontId="117" fillId="0" borderId="0" pivotButton="0" quotePrefix="0" xfId="48"/>
    <xf numFmtId="0" fontId="89" fillId="0" borderId="0" applyAlignment="1" pivotButton="0" quotePrefix="0" xfId="48">
      <alignment vertical="center"/>
    </xf>
    <xf numFmtId="0" fontId="16" fillId="0" borderId="0" applyAlignment="1" pivotButton="0" quotePrefix="0" xfId="0">
      <alignment vertical="top" wrapText="1"/>
    </xf>
    <xf numFmtId="0" fontId="26" fillId="0" borderId="0" applyAlignment="1" pivotButton="0" quotePrefix="0" xfId="0">
      <alignment horizontal="left" vertical="center" wrapText="1"/>
    </xf>
    <xf numFmtId="49" fontId="17" fillId="0" borderId="0" applyAlignment="1" pivotButton="0" quotePrefix="0" xfId="1">
      <alignment vertical="center"/>
    </xf>
    <xf numFmtId="0" fontId="17" fillId="0" borderId="0" applyAlignment="1" pivotButton="0" quotePrefix="0" xfId="1">
      <alignment horizontal="center" vertical="center"/>
    </xf>
    <xf numFmtId="0" fontId="17" fillId="0" borderId="1" applyAlignment="1" pivotButton="0" quotePrefix="0" xfId="1">
      <alignment horizontal="center"/>
    </xf>
    <xf numFmtId="0" fontId="16" fillId="0" borderId="10" applyAlignment="1" pivotButton="0" quotePrefix="0" xfId="1">
      <alignment horizontal="center" vertical="center" textRotation="90"/>
    </xf>
    <xf numFmtId="0" fontId="16" fillId="0" borderId="10" applyAlignment="1" pivotButton="0" quotePrefix="0" xfId="1">
      <alignment horizontal="center" vertical="center" textRotation="90" wrapText="1"/>
    </xf>
    <xf numFmtId="0" fontId="16" fillId="0" borderId="2" applyAlignment="1" pivotButton="0" quotePrefix="0" xfId="1">
      <alignment horizontal="center" vertical="center" textRotation="90"/>
    </xf>
    <xf numFmtId="0" fontId="16" fillId="0" borderId="2" applyAlignment="1" pivotButton="0" quotePrefix="0" xfId="1">
      <alignment horizontal="center" vertical="center" textRotation="90" wrapText="1"/>
    </xf>
    <xf numFmtId="0" fontId="16" fillId="0" borderId="0" applyAlignment="1" pivotButton="0" quotePrefix="0" xfId="1">
      <alignment horizontal="center" vertical="center" textRotation="90" wrapText="1"/>
    </xf>
    <xf numFmtId="49" fontId="16" fillId="0" borderId="5" applyAlignment="1" pivotButton="0" quotePrefix="0" xfId="1">
      <alignment horizontal="center" vertical="center"/>
    </xf>
    <xf numFmtId="49" fontId="3" fillId="0" borderId="10" applyAlignment="1" pivotButton="0" quotePrefix="0" xfId="1">
      <alignment horizontal="center" vertical="top"/>
    </xf>
    <xf numFmtId="49" fontId="3" fillId="0" borderId="10" applyAlignment="1" pivotButton="0" quotePrefix="0" xfId="1">
      <alignment horizontal="left" vertical="center" wrapText="1"/>
    </xf>
    <xf numFmtId="0" fontId="3" fillId="0" borderId="10" applyAlignment="1" pivotButton="0" quotePrefix="0" xfId="1">
      <alignment horizontal="center" vertical="center"/>
    </xf>
    <xf numFmtId="4" fontId="3" fillId="0" borderId="10" applyAlignment="1" pivotButton="0" quotePrefix="0" xfId="1">
      <alignment horizontal="center" vertical="center"/>
    </xf>
    <xf numFmtId="0" fontId="3" fillId="0" borderId="14" applyAlignment="1" pivotButton="0" quotePrefix="0" xfId="1">
      <alignment horizontal="center" vertical="center"/>
    </xf>
    <xf numFmtId="4" fontId="3" fillId="0" borderId="2" applyAlignment="1" pivotButton="0" quotePrefix="0" xfId="1">
      <alignment horizontal="center" vertical="center"/>
    </xf>
    <xf numFmtId="49" fontId="3" fillId="0" borderId="5" applyAlignment="1" pivotButton="0" quotePrefix="0" xfId="1">
      <alignment horizontal="center"/>
    </xf>
    <xf numFmtId="49" fontId="3" fillId="0" borderId="5" applyAlignment="1" pivotButton="0" quotePrefix="0" xfId="1">
      <alignment horizontal="right" vertical="center" wrapText="1"/>
    </xf>
    <xf numFmtId="166" fontId="3" fillId="0" borderId="5" applyAlignment="1" pivotButton="0" quotePrefix="0" xfId="1">
      <alignment horizontal="center" vertical="center"/>
    </xf>
    <xf numFmtId="4" fontId="3" fillId="0" borderId="5" applyAlignment="1" pivotButton="0" quotePrefix="0" xfId="1">
      <alignment horizontal="center" vertical="center"/>
    </xf>
    <xf numFmtId="49" fontId="3" fillId="0" borderId="5" applyAlignment="1" pivotButton="0" quotePrefix="0" xfId="1">
      <alignment horizontal="left" vertical="center" wrapText="1"/>
    </xf>
    <xf numFmtId="2" fontId="3" fillId="0" borderId="5" applyAlignment="1" pivotButton="0" quotePrefix="0" xfId="1">
      <alignment horizontal="center" vertical="center"/>
    </xf>
    <xf numFmtId="2" fontId="3" fillId="0" borderId="2" applyAlignment="1" pivotButton="0" quotePrefix="0" xfId="1">
      <alignment horizontal="center" vertical="center"/>
    </xf>
    <xf numFmtId="49" fontId="3" fillId="0" borderId="10" applyAlignment="1" pivotButton="0" quotePrefix="0" xfId="1">
      <alignment horizontal="center"/>
    </xf>
    <xf numFmtId="4" fontId="3" fillId="0" borderId="13" applyAlignment="1" pivotButton="0" quotePrefix="0" xfId="1">
      <alignment horizontal="center" vertical="center"/>
    </xf>
    <xf numFmtId="166" fontId="3" fillId="0" borderId="2" applyAlignment="1" pivotButton="0" quotePrefix="0" xfId="1">
      <alignment horizontal="center" vertical="center"/>
    </xf>
    <xf numFmtId="49" fontId="3" fillId="0" borderId="10" applyAlignment="1" pivotButton="0" quotePrefix="0" xfId="1">
      <alignment horizontal="center" vertical="top" wrapText="1"/>
    </xf>
    <xf numFmtId="2" fontId="3" fillId="0" borderId="11" applyAlignment="1" pivotButton="0" quotePrefix="0" xfId="1">
      <alignment horizontal="center" vertical="center"/>
    </xf>
    <xf numFmtId="2" fontId="3" fillId="0" borderId="13" applyAlignment="1" pivotButton="0" quotePrefix="0" xfId="1">
      <alignment horizontal="center" vertical="center"/>
    </xf>
    <xf numFmtId="49" fontId="21" fillId="0" borderId="5" applyAlignment="1" pivotButton="0" quotePrefix="0" xfId="1">
      <alignment horizontal="center"/>
    </xf>
    <xf numFmtId="49" fontId="16" fillId="0" borderId="5" applyAlignment="1" pivotButton="0" quotePrefix="0" xfId="1">
      <alignment horizontal="left" vertical="center" wrapText="1"/>
    </xf>
    <xf numFmtId="49" fontId="16" fillId="0" borderId="10" applyAlignment="1" pivotButton="0" quotePrefix="0" xfId="1">
      <alignment horizontal="left" vertical="top" wrapText="1"/>
    </xf>
    <xf numFmtId="2" fontId="16" fillId="0" borderId="10" applyAlignment="1" pivotButton="0" quotePrefix="0" xfId="1">
      <alignment horizontal="center" vertical="center"/>
    </xf>
    <xf numFmtId="0" fontId="16" fillId="0" borderId="10" applyAlignment="1" pivotButton="0" quotePrefix="0" xfId="1">
      <alignment horizontal="center" vertical="center"/>
    </xf>
    <xf numFmtId="49" fontId="16" fillId="0" borderId="11" applyAlignment="1" pivotButton="0" quotePrefix="0" xfId="1">
      <alignment horizontal="left" vertical="center" wrapText="1"/>
    </xf>
    <xf numFmtId="2" fontId="16" fillId="0" borderId="11" applyAlignment="1" pivotButton="0" quotePrefix="0" xfId="1">
      <alignment horizontal="center" vertical="center"/>
    </xf>
    <xf numFmtId="0" fontId="16" fillId="0" borderId="15" applyAlignment="1" pivotButton="0" quotePrefix="0" xfId="1">
      <alignment horizontal="center" vertical="center"/>
    </xf>
    <xf numFmtId="166" fontId="16" fillId="0" borderId="11" applyAlignment="1" pivotButton="0" quotePrefix="0" xfId="1">
      <alignment horizontal="center" vertical="center"/>
    </xf>
    <xf numFmtId="166" fontId="16" fillId="0" borderId="7" applyAlignment="1" pivotButton="0" quotePrefix="0" xfId="1">
      <alignment horizontal="center" vertical="center"/>
    </xf>
    <xf numFmtId="49" fontId="16" fillId="0" borderId="10" applyAlignment="1" pivotButton="0" quotePrefix="0" xfId="1">
      <alignment horizontal="left" vertical="center" wrapText="1"/>
    </xf>
    <xf numFmtId="49" fontId="16" fillId="0" borderId="7" applyAlignment="1" pivotButton="0" quotePrefix="0" xfId="1">
      <alignment horizontal="left" vertical="center" wrapText="1"/>
    </xf>
    <xf numFmtId="0" fontId="16" fillId="0" borderId="1" applyAlignment="1" pivotButton="0" quotePrefix="0" xfId="1">
      <alignment horizontal="center" vertical="center"/>
    </xf>
    <xf numFmtId="2" fontId="3" fillId="0" borderId="10" applyAlignment="1" pivotButton="0" quotePrefix="0" xfId="1">
      <alignment horizontal="center" vertical="center"/>
    </xf>
    <xf numFmtId="49" fontId="3" fillId="0" borderId="11" applyAlignment="1" pivotButton="0" quotePrefix="0" xfId="1">
      <alignment horizontal="left" vertical="center" wrapText="1"/>
    </xf>
    <xf numFmtId="0" fontId="3" fillId="0" borderId="11" applyAlignment="1" pivotButton="0" quotePrefix="0" xfId="1">
      <alignment horizontal="center" vertical="center"/>
    </xf>
    <xf numFmtId="0" fontId="3" fillId="0" borderId="15" applyAlignment="1" pivotButton="0" quotePrefix="0" xfId="1">
      <alignment horizontal="center" vertical="center"/>
    </xf>
    <xf numFmtId="49" fontId="3" fillId="0" borderId="7" applyAlignment="1" pivotButton="0" quotePrefix="0" xfId="1">
      <alignment horizontal="left" vertical="center" wrapText="1"/>
    </xf>
    <xf numFmtId="166" fontId="3" fillId="0" borderId="1" applyAlignment="1" pivotButton="0" quotePrefix="0" xfId="1">
      <alignment horizontal="center" vertical="center"/>
    </xf>
    <xf numFmtId="0" fontId="3" fillId="0" borderId="7" applyAlignment="1" pivotButton="0" quotePrefix="0" xfId="1">
      <alignment horizontal="center" vertical="center"/>
    </xf>
    <xf numFmtId="166" fontId="3" fillId="0" borderId="7" applyAlignment="1" pivotButton="0" quotePrefix="0" xfId="1">
      <alignment horizontal="center" vertical="center"/>
    </xf>
    <xf numFmtId="0" fontId="3" fillId="0" borderId="13" applyAlignment="1" pivotButton="0" quotePrefix="0" xfId="1">
      <alignment horizontal="center" vertical="center"/>
    </xf>
    <xf numFmtId="49" fontId="16" fillId="0" borderId="10" applyAlignment="1" pivotButton="0" quotePrefix="0" xfId="1">
      <alignment horizontal="center" vertical="top"/>
    </xf>
    <xf numFmtId="4" fontId="16" fillId="0" borderId="10" applyAlignment="1" pivotButton="0" quotePrefix="0" xfId="1">
      <alignment horizontal="center" vertical="center"/>
    </xf>
    <xf numFmtId="4" fontId="16" fillId="0" borderId="2" applyAlignment="1" pivotButton="0" quotePrefix="0" xfId="1">
      <alignment horizontal="center" vertical="center"/>
    </xf>
    <xf numFmtId="166" fontId="3" fillId="0" borderId="11" applyAlignment="1" pivotButton="0" quotePrefix="0" xfId="1">
      <alignment horizontal="center" vertical="center"/>
    </xf>
    <xf numFmtId="4" fontId="3" fillId="0" borderId="11" applyAlignment="1" pivotButton="0" quotePrefix="0" xfId="1">
      <alignment horizontal="center" vertical="center"/>
    </xf>
    <xf numFmtId="4" fontId="3" fillId="0" borderId="14" applyAlignment="1" pivotButton="0" quotePrefix="0" xfId="1">
      <alignment horizontal="center" vertical="center"/>
    </xf>
    <xf numFmtId="166" fontId="3" fillId="0" borderId="13" applyAlignment="1" pivotButton="0" quotePrefix="0" xfId="1">
      <alignment horizontal="center" vertical="center"/>
    </xf>
    <xf numFmtId="4" fontId="3" fillId="0" borderId="7" applyAlignment="1" pivotButton="0" quotePrefix="0" xfId="1">
      <alignment horizontal="center" vertical="center"/>
    </xf>
    <xf numFmtId="49" fontId="16" fillId="0" borderId="10" applyAlignment="1" pivotButton="0" quotePrefix="0" xfId="1">
      <alignment horizontal="center" vertical="top" wrapText="1"/>
    </xf>
    <xf numFmtId="4" fontId="16" fillId="0" borderId="13" applyAlignment="1" pivotButton="0" quotePrefix="0" xfId="1">
      <alignment horizontal="center" vertical="center"/>
    </xf>
    <xf numFmtId="4" fontId="16" fillId="0" borderId="11" applyAlignment="1" pivotButton="0" quotePrefix="0" xfId="1">
      <alignment horizontal="center" vertical="center"/>
    </xf>
    <xf numFmtId="4" fontId="16" fillId="0" borderId="14" applyAlignment="1" pivotButton="0" quotePrefix="0" xfId="1">
      <alignment horizontal="center" vertical="center"/>
    </xf>
    <xf numFmtId="4" fontId="16" fillId="0" borderId="15" applyAlignment="1" pivotButton="0" quotePrefix="0" xfId="1">
      <alignment horizontal="center" vertical="center"/>
    </xf>
    <xf numFmtId="4" fontId="3" fillId="0" borderId="15" applyAlignment="1" pivotButton="0" quotePrefix="0" xfId="1">
      <alignment horizontal="center" vertical="center"/>
    </xf>
    <xf numFmtId="49" fontId="44" fillId="0" borderId="14" applyAlignment="1" pivotButton="0" quotePrefix="0" xfId="1">
      <alignment horizontal="left" vertical="center" wrapText="1"/>
    </xf>
    <xf numFmtId="172" fontId="16" fillId="0" borderId="14" applyAlignment="1" pivotButton="0" quotePrefix="0" xfId="1">
      <alignment horizontal="center" vertical="center"/>
    </xf>
    <xf numFmtId="172" fontId="16" fillId="0" borderId="9" applyAlignment="1" pivotButton="0" quotePrefix="0" xfId="1">
      <alignment horizontal="center" vertical="center"/>
    </xf>
    <xf numFmtId="172" fontId="3" fillId="0" borderId="9" applyAlignment="1" pivotButton="0" quotePrefix="0" xfId="1">
      <alignment horizontal="center" vertical="center"/>
    </xf>
    <xf numFmtId="49" fontId="44" fillId="0" borderId="15" applyAlignment="1" pivotButton="0" quotePrefix="0" xfId="1">
      <alignment horizontal="left" vertical="center" wrapText="1"/>
    </xf>
    <xf numFmtId="172" fontId="16" fillId="0" borderId="15" applyAlignment="1" pivotButton="0" quotePrefix="0" xfId="1">
      <alignment horizontal="center" vertical="center"/>
    </xf>
    <xf numFmtId="172" fontId="3" fillId="0" borderId="0" applyAlignment="1" pivotButton="0" quotePrefix="0" xfId="1">
      <alignment horizontal="center" vertical="center"/>
    </xf>
    <xf numFmtId="172" fontId="16" fillId="0" borderId="0" applyAlignment="1" pivotButton="0" quotePrefix="0" xfId="1">
      <alignment horizontal="center" vertical="center"/>
    </xf>
    <xf numFmtId="49" fontId="44" fillId="0" borderId="13" applyAlignment="1" pivotButton="0" quotePrefix="0" xfId="1">
      <alignment horizontal="left" vertical="center" wrapText="1"/>
    </xf>
    <xf numFmtId="172" fontId="16" fillId="0" borderId="13" applyAlignment="1" pivotButton="0" quotePrefix="0" xfId="1">
      <alignment horizontal="center" vertical="center"/>
    </xf>
    <xf numFmtId="172" fontId="3" fillId="0" borderId="1" applyAlignment="1" pivotButton="0" quotePrefix="0" xfId="1">
      <alignment horizontal="center" vertical="center"/>
    </xf>
    <xf numFmtId="172" fontId="16" fillId="0" borderId="1" applyAlignment="1" pivotButton="0" quotePrefix="0" xfId="1">
      <alignment horizontal="center" vertical="center"/>
    </xf>
    <xf numFmtId="167" fontId="16" fillId="0" borderId="5" applyAlignment="1" pivotButton="0" quotePrefix="0" xfId="1">
      <alignment horizontal="center" vertical="center"/>
    </xf>
    <xf numFmtId="167" fontId="3" fillId="0" borderId="5" applyAlignment="1" pivotButton="0" quotePrefix="0" xfId="47">
      <alignment horizontal="center" vertical="center"/>
    </xf>
    <xf numFmtId="167" fontId="16" fillId="0" borderId="2" applyAlignment="1" pivotButton="0" quotePrefix="0" xfId="1">
      <alignment horizontal="center" vertical="center"/>
    </xf>
    <xf numFmtId="49" fontId="16" fillId="0" borderId="5" applyAlignment="1" pivotButton="0" quotePrefix="0" xfId="1">
      <alignment horizontal="center" wrapText="1"/>
    </xf>
    <xf numFmtId="2" fontId="16" fillId="0" borderId="2" applyAlignment="1" pivotButton="0" quotePrefix="0" xfId="1">
      <alignment horizontal="center" vertical="center"/>
    </xf>
    <xf numFmtId="167" fontId="3" fillId="0" borderId="5" applyAlignment="1" pivotButton="0" quotePrefix="0" xfId="1">
      <alignment horizontal="center" vertical="center"/>
    </xf>
    <xf numFmtId="167" fontId="3" fillId="0" borderId="2" applyAlignment="1" pivotButton="0" quotePrefix="0" xfId="1">
      <alignment horizontal="center" vertical="center"/>
    </xf>
    <xf numFmtId="49" fontId="16" fillId="0" borderId="5" applyAlignment="1" pivotButton="0" quotePrefix="0" xfId="1">
      <alignment horizontal="center" vertical="center" wrapText="1"/>
    </xf>
    <xf numFmtId="4" fontId="16" fillId="0" borderId="5" applyAlignment="1" pivotButton="0" quotePrefix="0" xfId="1">
      <alignment horizontal="center" vertical="center"/>
    </xf>
    <xf numFmtId="10" fontId="16" fillId="0" borderId="11" applyAlignment="1" pivotButton="0" quotePrefix="0" xfId="1">
      <alignment horizontal="center" vertical="center"/>
    </xf>
    <xf numFmtId="49" fontId="16" fillId="0" borderId="5" applyAlignment="1" pivotButton="0" quotePrefix="0" xfId="1">
      <alignment horizontal="center" vertical="top" wrapText="1"/>
    </xf>
    <xf numFmtId="1" fontId="16" fillId="0" borderId="5" applyAlignment="1" pivotButton="0" quotePrefix="0" xfId="1">
      <alignment horizontal="center" vertical="center"/>
    </xf>
    <xf numFmtId="1" fontId="16" fillId="0" borderId="2" applyAlignment="1" pivotButton="0" quotePrefix="0" xfId="1">
      <alignment horizontal="center" vertical="center"/>
    </xf>
    <xf numFmtId="10" fontId="16" fillId="0" borderId="5" applyAlignment="1" pivotButton="0" quotePrefix="0" xfId="1">
      <alignment horizontal="center" vertical="center"/>
    </xf>
    <xf numFmtId="0" fontId="121" fillId="0" borderId="0" pivotButton="0" quotePrefix="0" xfId="1"/>
    <xf numFmtId="49" fontId="50" fillId="0" borderId="0" pivotButton="0" quotePrefix="0" xfId="1"/>
    <xf numFmtId="49" fontId="50" fillId="0" borderId="0" applyAlignment="1" pivotButton="0" quotePrefix="0" xfId="1">
      <alignment horizontal="center" vertical="center"/>
    </xf>
    <xf numFmtId="49" fontId="50" fillId="0" borderId="0" applyAlignment="1" pivotButton="0" quotePrefix="0" xfId="1">
      <alignment vertical="center"/>
    </xf>
    <xf numFmtId="49" fontId="17" fillId="0" borderId="0" applyAlignment="1" pivotButton="0" quotePrefix="0" xfId="1">
      <alignment horizontal="left" vertical="center" wrapText="1"/>
    </xf>
    <xf numFmtId="49" fontId="16" fillId="0" borderId="0" applyAlignment="1" pivotButton="0" quotePrefix="0" xfId="1">
      <alignment horizontal="center" vertical="center"/>
    </xf>
    <xf numFmtId="49" fontId="17" fillId="0" borderId="0" applyAlignment="1" pivotButton="0" quotePrefix="0" xfId="1">
      <alignment horizontal="center" vertical="center"/>
    </xf>
    <xf numFmtId="0" fontId="19" fillId="0" borderId="0" applyAlignment="1" pivotButton="0" quotePrefix="0" xfId="38">
      <alignment vertical="center" wrapText="1"/>
    </xf>
    <xf numFmtId="49" fontId="35" fillId="0" borderId="0" applyAlignment="1" pivotButton="0" quotePrefix="0" xfId="1">
      <alignment vertical="center" wrapText="1"/>
    </xf>
    <xf numFmtId="0" fontId="40" fillId="0" borderId="0" pivotButton="0" quotePrefix="0" xfId="1"/>
    <xf numFmtId="49" fontId="40" fillId="0" borderId="0" applyAlignment="1" pivotButton="0" quotePrefix="0" xfId="1">
      <alignment vertical="center"/>
    </xf>
    <xf numFmtId="0" fontId="125" fillId="0" borderId="0" pivotButton="0" quotePrefix="0" xfId="0"/>
    <xf numFmtId="0" fontId="40" fillId="0" borderId="0" applyAlignment="1" pivotButton="0" quotePrefix="0" xfId="4">
      <alignment vertical="top"/>
    </xf>
    <xf numFmtId="0" fontId="126" fillId="0" borderId="0" applyAlignment="1" pivotButton="0" quotePrefix="0" xfId="1">
      <alignment vertical="center" wrapText="1"/>
    </xf>
    <xf numFmtId="0" fontId="126" fillId="0" borderId="0" applyAlignment="1" pivotButton="0" quotePrefix="0" xfId="38">
      <alignment vertical="center" wrapText="1"/>
    </xf>
    <xf numFmtId="0" fontId="126" fillId="0" borderId="0" pivotButton="0" quotePrefix="0" xfId="1"/>
    <xf numFmtId="0" fontId="126" fillId="0" borderId="0" applyAlignment="1" pivotButton="0" quotePrefix="0" xfId="1">
      <alignment vertical="center"/>
    </xf>
    <xf numFmtId="0" fontId="18" fillId="0" borderId="2" applyAlignment="1" pivotButton="0" quotePrefix="0" xfId="1">
      <alignment horizontal="center" vertical="center"/>
    </xf>
    <xf numFmtId="0" fontId="18" fillId="0" borderId="2" applyAlignment="1" pivotButton="0" quotePrefix="0" xfId="1">
      <alignment horizontal="center" vertical="center" wrapText="1"/>
    </xf>
    <xf numFmtId="0" fontId="50" fillId="0" borderId="0" applyAlignment="1" pivotButton="0" quotePrefix="0" xfId="1">
      <alignment horizontal="left"/>
    </xf>
    <xf numFmtId="0" fontId="16" fillId="0" borderId="0" applyAlignment="1" pivotButton="0" quotePrefix="0" xfId="1">
      <alignment horizontal="center" vertical="center"/>
    </xf>
    <xf numFmtId="0" fontId="16" fillId="0" borderId="0" applyAlignment="1" pivotButton="0" quotePrefix="0" xfId="1">
      <alignment horizontal="left" vertical="center"/>
    </xf>
    <xf numFmtId="0" fontId="16" fillId="0" borderId="0" applyAlignment="1" pivotButton="0" quotePrefix="0" xfId="1">
      <alignment vertical="center" wrapText="1"/>
    </xf>
    <xf numFmtId="0" fontId="18" fillId="0" borderId="2" applyAlignment="1" pivotButton="0" quotePrefix="0" xfId="50">
      <alignment horizontal="center" vertical="center" wrapText="1"/>
    </xf>
    <xf numFmtId="49" fontId="20" fillId="0" borderId="14"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2" applyAlignment="1" pivotButton="0" quotePrefix="0" xfId="50">
      <alignment horizontal="center" vertical="center" wrapText="1"/>
    </xf>
    <xf numFmtId="0" fontId="29" fillId="0" borderId="0" applyAlignment="1" pivotButton="0" quotePrefix="0" xfId="50">
      <alignment wrapText="1"/>
    </xf>
    <xf numFmtId="0" fontId="41" fillId="0" borderId="0" applyAlignment="1" pivotButton="0" quotePrefix="0" xfId="50">
      <alignment wrapText="1"/>
    </xf>
    <xf numFmtId="0" fontId="16" fillId="0" borderId="2" applyAlignment="1" pivotButton="0" quotePrefix="0" xfId="1">
      <alignment horizontal="center" vertical="center" wrapText="1"/>
    </xf>
    <xf numFmtId="0" fontId="18" fillId="0" borderId="0" applyAlignment="1" pivotButton="0" quotePrefix="0" xfId="1">
      <alignment horizontal="right"/>
    </xf>
    <xf numFmtId="0" fontId="16" fillId="0" borderId="3" applyAlignment="1" pivotButton="0" quotePrefix="0" xfId="1">
      <alignment horizontal="center" vertical="center" wrapText="1"/>
    </xf>
    <xf numFmtId="0" fontId="16" fillId="0" borderId="2" applyAlignment="1" pivotButton="0" quotePrefix="0" xfId="1">
      <alignment horizontal="center"/>
    </xf>
    <xf numFmtId="0" fontId="17" fillId="0" borderId="0" applyAlignment="1" pivotButton="0" quotePrefix="0" xfId="1">
      <alignment horizontal="right" vertical="top"/>
    </xf>
    <xf numFmtId="0" fontId="127" fillId="0" borderId="0" applyAlignment="1" pivotButton="0" quotePrefix="0" xfId="1">
      <alignment horizontal="right" vertical="center"/>
    </xf>
    <xf numFmtId="0" fontId="16" fillId="0" borderId="0" applyAlignment="1" pivotButton="0" quotePrefix="0" xfId="1">
      <alignment horizontal="right"/>
    </xf>
    <xf numFmtId="0" fontId="128" fillId="0" borderId="2" applyAlignment="1" pivotButton="0" quotePrefix="0" xfId="1">
      <alignment horizontal="center" vertical="center" wrapText="1"/>
    </xf>
    <xf numFmtId="0" fontId="16" fillId="7" borderId="2" applyAlignment="1" pivotButton="0" quotePrefix="0" xfId="1">
      <alignment horizontal="center" vertical="center" wrapText="1"/>
    </xf>
    <xf numFmtId="0" fontId="16" fillId="7" borderId="2" applyAlignment="1" pivotButton="0" quotePrefix="0" xfId="1">
      <alignment horizontal="center" vertical="center"/>
    </xf>
    <xf numFmtId="49" fontId="128" fillId="0" borderId="2" applyAlignment="1" pivotButton="0" quotePrefix="0" xfId="1">
      <alignment horizontal="center" vertical="center"/>
    </xf>
    <xf numFmtId="164" fontId="16" fillId="7" borderId="2" applyAlignment="1" pivotButton="0" quotePrefix="0" xfId="1">
      <alignment horizontal="center" vertical="center" wrapText="1"/>
    </xf>
    <xf numFmtId="4" fontId="22" fillId="0" borderId="2" applyAlignment="1" pivotButton="0" quotePrefix="0" xfId="1">
      <alignment horizontal="center" vertical="center"/>
    </xf>
    <xf numFmtId="164" fontId="16" fillId="7" borderId="2" applyAlignment="1" pivotButton="0" quotePrefix="1" xfId="1">
      <alignment horizontal="center" vertical="center" wrapText="1"/>
    </xf>
    <xf numFmtId="3" fontId="16" fillId="7" borderId="2" applyAlignment="1" pivotButton="0" quotePrefix="0" xfId="0">
      <alignment horizontal="center" vertical="center" wrapText="1"/>
    </xf>
    <xf numFmtId="164" fontId="16" fillId="7" borderId="2" applyAlignment="1" pivotButton="0" quotePrefix="0" xfId="0">
      <alignment horizontal="center" vertical="center" wrapText="1"/>
    </xf>
    <xf numFmtId="0" fontId="16" fillId="0" borderId="9" pivotButton="0" quotePrefix="0" xfId="1"/>
    <xf numFmtId="0" fontId="53" fillId="0" borderId="0" applyAlignment="1" pivotButton="0" quotePrefix="0" xfId="1">
      <alignment horizontal="left" vertical="center"/>
    </xf>
    <xf numFmtId="0" fontId="129" fillId="0" borderId="0" pivotButton="0" quotePrefix="0" xfId="1"/>
    <xf numFmtId="0" fontId="130" fillId="0" borderId="0" applyAlignment="1" pivotButton="0" quotePrefix="0" xfId="1">
      <alignment vertical="top"/>
    </xf>
    <xf numFmtId="0" fontId="18" fillId="0" borderId="14" applyAlignment="1" pivotButton="0" quotePrefix="0" xfId="1">
      <alignment horizontal="center" vertical="center"/>
    </xf>
    <xf numFmtId="0" fontId="24" fillId="0" borderId="14" applyAlignment="1" pivotButton="0" quotePrefix="0" xfId="1">
      <alignment horizontal="center" vertical="center"/>
    </xf>
    <xf numFmtId="0" fontId="19" fillId="0" borderId="14" applyAlignment="1" pivotButton="0" quotePrefix="0" xfId="1">
      <alignment horizontal="center" vertical="center"/>
    </xf>
    <xf numFmtId="0" fontId="19" fillId="0" borderId="2" applyAlignment="1" pivotButton="0" quotePrefix="0" xfId="1">
      <alignment horizontal="left" vertical="center" wrapText="1"/>
    </xf>
    <xf numFmtId="2" fontId="19" fillId="0" borderId="5" applyAlignment="1" pivotButton="0" quotePrefix="0" xfId="51">
      <alignment horizontal="center" vertical="center"/>
    </xf>
    <xf numFmtId="164" fontId="19" fillId="0" borderId="14" applyAlignment="1" pivotButton="0" quotePrefix="0" xfId="1">
      <alignment horizontal="center" vertical="center"/>
    </xf>
    <xf numFmtId="164" fontId="22" fillId="7" borderId="2" applyAlignment="1" pivotButton="0" quotePrefix="0" xfId="1">
      <alignment horizontal="center" vertical="center" wrapText="1"/>
    </xf>
    <xf numFmtId="164" fontId="22" fillId="7" borderId="2" applyAlignment="1" pivotButton="0" quotePrefix="0" xfId="0">
      <alignment horizontal="center" vertical="center" wrapText="1"/>
    </xf>
    <xf numFmtId="164" fontId="22" fillId="0" borderId="2" applyAlignment="1" pivotButton="0" quotePrefix="0" xfId="1">
      <alignment horizontal="center" vertical="center" wrapText="1"/>
    </xf>
    <xf numFmtId="164" fontId="22" fillId="0" borderId="2" applyAlignment="1" pivotButton="0" quotePrefix="0" xfId="0">
      <alignment horizontal="center" vertical="center" wrapText="1"/>
    </xf>
    <xf numFmtId="173" fontId="16" fillId="0" borderId="2" applyAlignment="1" pivotButton="0" quotePrefix="0" xfId="1">
      <alignment horizontal="center"/>
    </xf>
    <xf numFmtId="2" fontId="18" fillId="0" borderId="0" applyAlignment="1" pivotButton="0" quotePrefix="0" xfId="51">
      <alignment horizontal="center" vertical="center"/>
    </xf>
    <xf numFmtId="4" fontId="16" fillId="0" borderId="9" applyAlignment="1" pivotButton="0" quotePrefix="0" xfId="50">
      <alignment horizontal="center" vertical="top" wrapText="1"/>
    </xf>
    <xf numFmtId="0" fontId="3" fillId="0" borderId="0" applyAlignment="1" pivotButton="0" quotePrefix="0" xfId="0">
      <alignment horizontal="left" vertical="center" wrapText="1"/>
    </xf>
    <xf numFmtId="0" fontId="76" fillId="0" borderId="0" applyAlignment="1" pivotButton="0" quotePrefix="0" xfId="0">
      <alignment horizontal="left" vertical="center"/>
    </xf>
    <xf numFmtId="0" fontId="3" fillId="0" borderId="0" applyAlignment="1" pivotButton="0" quotePrefix="0" xfId="0">
      <alignment horizontal="left" vertical="center"/>
    </xf>
    <xf numFmtId="0" fontId="76" fillId="0" borderId="0" applyAlignment="1" pivotButton="0" quotePrefix="0" xfId="0">
      <alignment horizontal="left" vertical="center" wrapText="1"/>
    </xf>
    <xf numFmtId="0" fontId="2" fillId="0" borderId="2" applyAlignment="1" pivotButton="0" quotePrefix="0" xfId="0">
      <alignment horizontal="center" vertical="center"/>
    </xf>
    <xf numFmtId="0" fontId="3" fillId="0" borderId="2" applyAlignment="1" pivotButton="0" quotePrefix="0" xfId="0">
      <alignment horizontal="center" vertical="center" wrapText="1"/>
    </xf>
    <xf numFmtId="0" fontId="20" fillId="0" borderId="0" applyAlignment="1" pivotButton="0" quotePrefix="0" xfId="1">
      <alignment horizontal="left" vertical="center"/>
    </xf>
    <xf numFmtId="0" fontId="20" fillId="0" borderId="2" applyAlignment="1" pivotButton="0" quotePrefix="0" xfId="38">
      <alignment horizontal="center" vertical="center" wrapText="1"/>
    </xf>
    <xf numFmtId="0" fontId="40" fillId="0" borderId="0" applyAlignment="1" pivotButton="0" quotePrefix="0" xfId="1">
      <alignment horizontal="left"/>
    </xf>
    <xf numFmtId="0" fontId="40" fillId="0" borderId="0" applyAlignment="1" pivotButton="0" quotePrefix="0" xfId="1">
      <alignment horizontal="left" vertical="center"/>
    </xf>
    <xf numFmtId="49" fontId="3" fillId="0" borderId="0" pivotButton="0" quotePrefix="0" xfId="1"/>
    <xf numFmtId="0" fontId="31" fillId="0" borderId="0" pivotButton="0" quotePrefix="0" xfId="0"/>
    <xf numFmtId="0" fontId="0" fillId="0" borderId="0" applyAlignment="1" pivotButton="0" quotePrefix="0" xfId="0">
      <alignment horizontal="center" vertical="center"/>
    </xf>
    <xf numFmtId="0" fontId="0" fillId="0" borderId="0" pivotButton="0" quotePrefix="0" xfId="0"/>
    <xf numFmtId="0" fontId="40" fillId="0" borderId="0" pivotButton="0" quotePrefix="0" xfId="1"/>
    <xf numFmtId="0" fontId="40" fillId="0" borderId="0" applyAlignment="1" pivotButton="0" quotePrefix="0" xfId="1">
      <alignment vertical="center" wrapText="1"/>
    </xf>
    <xf numFmtId="0" fontId="2" fillId="0" borderId="2" applyAlignment="1" pivotButton="0" quotePrefix="0" xfId="0">
      <alignment horizontal="center" wrapText="1"/>
    </xf>
    <xf numFmtId="0" fontId="131" fillId="0" borderId="0" applyAlignment="1" pivotButton="0" quotePrefix="0" xfId="50">
      <alignment vertical="center" wrapText="1"/>
    </xf>
    <xf numFmtId="0" fontId="132" fillId="0" borderId="0" applyAlignment="1" pivotButton="0" quotePrefix="0" xfId="0">
      <alignment horizontal="center" vertical="center"/>
    </xf>
    <xf numFmtId="0" fontId="132" fillId="0" borderId="0" applyAlignment="1" pivotButton="0" quotePrefix="0" xfId="50">
      <alignment vertical="center" wrapText="1"/>
    </xf>
    <xf numFmtId="4" fontId="132" fillId="0" borderId="0" applyAlignment="1" pivotButton="0" quotePrefix="0" xfId="50">
      <alignment vertical="top" wrapText="1"/>
    </xf>
    <xf numFmtId="0" fontId="132" fillId="0" borderId="0" applyAlignment="1" pivotButton="0" quotePrefix="0" xfId="50">
      <alignment vertical="top" wrapText="1"/>
    </xf>
    <xf numFmtId="4" fontId="132" fillId="0" borderId="0" applyAlignment="1" pivotButton="0" quotePrefix="0" xfId="0">
      <alignment vertical="center"/>
    </xf>
    <xf numFmtId="0" fontId="132" fillId="0" borderId="0" applyAlignment="1" pivotButton="0" quotePrefix="0" xfId="0">
      <alignment vertical="center"/>
    </xf>
    <xf numFmtId="0" fontId="132" fillId="0" borderId="0" applyAlignment="1" pivotButton="0" quotePrefix="0" xfId="1">
      <alignment horizontal="center" vertical="center"/>
    </xf>
    <xf numFmtId="0" fontId="134" fillId="0" borderId="0" pivotButton="0" quotePrefix="0" xfId="1"/>
    <xf numFmtId="0" fontId="133" fillId="0" borderId="0" applyAlignment="1" pivotButton="0" quotePrefix="0" xfId="1">
      <alignment horizontal="left" vertical="center"/>
    </xf>
    <xf numFmtId="2" fontId="92" fillId="0" borderId="2" applyAlignment="1" pivotButton="0" quotePrefix="0" xfId="50">
      <alignment horizontal="center" wrapText="1"/>
    </xf>
    <xf numFmtId="0" fontId="18" fillId="0" borderId="0" applyAlignment="1" pivotButton="0" quotePrefix="0" xfId="1">
      <alignment wrapText="1"/>
    </xf>
    <xf numFmtId="0" fontId="2" fillId="7" borderId="2" applyAlignment="1" pivotButton="0" quotePrefix="0" xfId="0">
      <alignment horizontal="center" wrapText="1"/>
    </xf>
    <xf numFmtId="4" fontId="16" fillId="0" borderId="0" applyAlignment="1" pivotButton="0" quotePrefix="0" xfId="50">
      <alignment wrapText="1"/>
    </xf>
    <xf numFmtId="0" fontId="50" fillId="0" borderId="0" applyAlignment="1" pivotButton="0" quotePrefix="0" xfId="1">
      <alignment horizontal="left"/>
    </xf>
    <xf numFmtId="49" fontId="18" fillId="6" borderId="2" applyAlignment="1" pivotButton="0" quotePrefix="0" xfId="1">
      <alignment horizontal="center" vertical="center" wrapText="1"/>
    </xf>
    <xf numFmtId="0" fontId="18" fillId="6" borderId="2" applyAlignment="1" pivotButton="0" quotePrefix="0" xfId="1">
      <alignment horizontal="center" vertical="center"/>
    </xf>
    <xf numFmtId="0" fontId="18" fillId="6" borderId="5" applyAlignment="1" pivotButton="0" quotePrefix="0" xfId="1">
      <alignment horizontal="left" vertical="center" wrapText="1"/>
    </xf>
    <xf numFmtId="0" fontId="18" fillId="6" borderId="5" applyAlignment="1" pivotButton="0" quotePrefix="0" xfId="1">
      <alignment horizontal="center" vertical="center" wrapText="1"/>
    </xf>
    <xf numFmtId="2" fontId="18" fillId="6" borderId="5" applyAlignment="1" pivotButton="0" quotePrefix="0" xfId="51">
      <alignment horizontal="center" vertical="center"/>
    </xf>
    <xf numFmtId="164" fontId="2" fillId="6" borderId="2" applyAlignment="1" pivotButton="0" quotePrefix="0" xfId="0">
      <alignment horizontal="center" vertical="center" wrapText="1"/>
    </xf>
    <xf numFmtId="168" fontId="20" fillId="6" borderId="2" applyAlignment="1" pivotButton="0" quotePrefix="0" xfId="0">
      <alignment horizontal="center" vertical="center" wrapText="1"/>
    </xf>
    <xf numFmtId="168" fontId="20" fillId="6" borderId="0" applyAlignment="1" pivotButton="0" quotePrefix="0" xfId="0">
      <alignment horizontal="center" vertical="center" wrapText="1"/>
    </xf>
    <xf numFmtId="4" fontId="20" fillId="6" borderId="2" applyAlignment="1" pivotButton="0" quotePrefix="0" xfId="0">
      <alignment horizontal="center" vertical="center"/>
    </xf>
    <xf numFmtId="4" fontId="20" fillId="0" borderId="2" applyAlignment="1" pivotButton="0" quotePrefix="0" xfId="0">
      <alignment horizontal="center" vertical="center"/>
    </xf>
    <xf numFmtId="164" fontId="18" fillId="6" borderId="5" applyAlignment="1" pivotButton="0" quotePrefix="0" xfId="1">
      <alignment horizontal="center" vertical="center"/>
    </xf>
    <xf numFmtId="164" fontId="18" fillId="6" borderId="2" applyAlignment="1" pivotButton="0" quotePrefix="0" xfId="1">
      <alignment horizontal="center" vertical="center"/>
    </xf>
    <xf numFmtId="0" fontId="31" fillId="0" borderId="0" applyAlignment="1" pivotButton="0" quotePrefix="0" xfId="1">
      <alignment horizontal="right" vertical="center" wrapText="1"/>
    </xf>
    <xf numFmtId="0" fontId="31" fillId="0" borderId="0" applyAlignment="1" pivotButton="0" quotePrefix="0" xfId="1">
      <alignment horizontal="right" vertical="center"/>
    </xf>
    <xf numFmtId="0" fontId="27" fillId="0" borderId="0" applyAlignment="1" pivotButton="0" quotePrefix="0" xfId="1">
      <alignment horizontal="center" vertical="center"/>
    </xf>
    <xf numFmtId="0" fontId="33" fillId="0" borderId="0" applyAlignment="1" pivotButton="0" quotePrefix="0" xfId="1">
      <alignment horizontal="center" vertical="top" wrapText="1"/>
    </xf>
    <xf numFmtId="0" fontId="34" fillId="0" borderId="0" applyAlignment="1" pivotButton="0" quotePrefix="0" xfId="1">
      <alignment horizontal="center" vertical="center"/>
    </xf>
    <xf numFmtId="0" fontId="18" fillId="0" borderId="1" applyAlignment="1" pivotButton="0" quotePrefix="0" xfId="1">
      <alignment horizontal="left" vertical="center"/>
    </xf>
    <xf numFmtId="0" fontId="20" fillId="0" borderId="0" applyAlignment="1" pivotButton="0" quotePrefix="0" xfId="1">
      <alignment horizontal="left" vertical="center" wrapText="1"/>
    </xf>
    <xf numFmtId="0" fontId="20" fillId="0" borderId="0" applyAlignment="1" pivotButton="0" quotePrefix="0" xfId="1">
      <alignment horizontal="left" vertical="center"/>
    </xf>
    <xf numFmtId="0" fontId="18" fillId="0" borderId="1" applyAlignment="1" pivotButton="0" quotePrefix="0" xfId="1">
      <alignment horizontal="left"/>
    </xf>
    <xf numFmtId="0" fontId="103" fillId="0" borderId="0" applyAlignment="1" pivotButton="0" quotePrefix="0" xfId="1">
      <alignment horizontal="left" vertical="center" wrapText="1"/>
    </xf>
    <xf numFmtId="0" fontId="18" fillId="0" borderId="2" applyAlignment="1" pivotButton="0" quotePrefix="0" xfId="1">
      <alignment horizontal="center" vertical="center" wrapText="1"/>
    </xf>
    <xf numFmtId="0" fontId="50" fillId="0" borderId="1" applyAlignment="1" pivotButton="0" quotePrefix="0" xfId="1">
      <alignment horizontal="center" vertical="center" wrapText="1"/>
    </xf>
    <xf numFmtId="0" fontId="50" fillId="0" borderId="0" applyAlignment="1" pivotButton="0" quotePrefix="0" xfId="1">
      <alignment horizontal="left"/>
    </xf>
    <xf numFmtId="0" fontId="20" fillId="0" borderId="1" applyAlignment="1" pivotButton="0" quotePrefix="0" xfId="1">
      <alignment horizontal="center" vertical="center"/>
    </xf>
    <xf numFmtId="0" fontId="20" fillId="0" borderId="0" applyAlignment="1" pivotButton="0" quotePrefix="0" xfId="1">
      <alignment horizontal="center"/>
    </xf>
    <xf numFmtId="0" fontId="18" fillId="0" borderId="2" applyAlignment="1" pivotButton="0" quotePrefix="0" xfId="1">
      <alignment horizontal="center" vertical="center"/>
    </xf>
    <xf numFmtId="0" fontId="18" fillId="0" borderId="10" applyAlignment="1" pivotButton="0" quotePrefix="0" xfId="1">
      <alignment horizontal="center" vertical="center" wrapText="1"/>
    </xf>
    <xf numFmtId="0" fontId="18" fillId="0" borderId="7" applyAlignment="1" pivotButton="0" quotePrefix="0" xfId="1">
      <alignment horizontal="center" vertical="center" wrapText="1"/>
    </xf>
    <xf numFmtId="0" fontId="16" fillId="0" borderId="14" applyAlignment="1" pivotButton="0" quotePrefix="0" xfId="1">
      <alignment horizontal="center" vertical="center" wrapText="1"/>
    </xf>
    <xf numFmtId="0" fontId="16" fillId="0" borderId="15" applyAlignment="1" pivotButton="0" quotePrefix="0" xfId="1">
      <alignment horizontal="center" vertical="center" wrapText="1"/>
    </xf>
    <xf numFmtId="0" fontId="16" fillId="0" borderId="13" applyAlignment="1" pivotButton="0" quotePrefix="0" xfId="1">
      <alignment horizontal="center" vertical="center" wrapText="1"/>
    </xf>
    <xf numFmtId="0" fontId="3" fillId="0" borderId="2" applyAlignment="1" pivotButton="0" quotePrefix="0" xfId="1">
      <alignment horizontal="center" vertical="center" wrapText="1"/>
    </xf>
    <xf numFmtId="0" fontId="16" fillId="7" borderId="2" applyAlignment="1" pivotButton="0" quotePrefix="0" xfId="1">
      <alignment horizontal="center" vertical="center" wrapText="1"/>
    </xf>
    <xf numFmtId="0" fontId="16" fillId="0" borderId="3" applyAlignment="1" pivotButton="0" quotePrefix="0" xfId="1">
      <alignment horizontal="center" vertical="center" wrapText="1"/>
    </xf>
    <xf numFmtId="0" fontId="16" fillId="0" borderId="2" applyAlignment="1" pivotButton="0" quotePrefix="0" xfId="1">
      <alignment horizontal="center" vertical="center" wrapText="1"/>
    </xf>
    <xf numFmtId="164" fontId="16" fillId="0" borderId="2" applyAlignment="1" pivotButton="0" quotePrefix="0" xfId="1">
      <alignment horizontal="center" vertical="center" wrapText="1"/>
    </xf>
    <xf numFmtId="164" fontId="3" fillId="0" borderId="2" applyAlignment="1" pivotButton="0" quotePrefix="0" xfId="1">
      <alignment horizontal="center" vertical="center" wrapText="1"/>
    </xf>
    <xf numFmtId="0" fontId="53" fillId="0" borderId="0" applyAlignment="1" pivotButton="0" quotePrefix="0" xfId="1">
      <alignment horizontal="left" vertical="center" wrapText="1"/>
    </xf>
    <xf numFmtId="0" fontId="25" fillId="7" borderId="9" applyAlignment="1" pivotButton="0" quotePrefix="0" xfId="1">
      <alignment horizontal="center" vertical="top"/>
    </xf>
    <xf numFmtId="0" fontId="19" fillId="0" borderId="0" applyAlignment="1" pivotButton="0" quotePrefix="0" xfId="1">
      <alignment horizontal="center"/>
    </xf>
    <xf numFmtId="0" fontId="92" fillId="0" borderId="0" applyAlignment="1" pivotButton="0" quotePrefix="0" xfId="1">
      <alignment horizontal="center"/>
    </xf>
    <xf numFmtId="0" fontId="16" fillId="7" borderId="4" applyAlignment="1" pivotButton="0" quotePrefix="0" xfId="1">
      <alignment horizontal="left" vertical="center"/>
    </xf>
    <xf numFmtId="0" fontId="25" fillId="7" borderId="9" applyAlignment="1" pivotButton="0" quotePrefix="0" xfId="1">
      <alignment horizontal="center"/>
    </xf>
    <xf numFmtId="49" fontId="16" fillId="7" borderId="1" applyAlignment="1" pivotButton="0" quotePrefix="0" xfId="1">
      <alignment horizontal="left" vertical="center" wrapText="1"/>
    </xf>
    <xf numFmtId="0" fontId="16" fillId="7" borderId="1" applyAlignment="1" pivotButton="0" quotePrefix="0" xfId="1">
      <alignment horizontal="left" vertical="center" wrapText="1"/>
    </xf>
    <xf numFmtId="49" fontId="16" fillId="7" borderId="1" applyAlignment="1" pivotButton="0" quotePrefix="0" xfId="1">
      <alignment horizontal="center"/>
    </xf>
    <xf numFmtId="49" fontId="16" fillId="7" borderId="4" applyAlignment="1" pivotButton="0" quotePrefix="0" xfId="1">
      <alignment horizontal="center"/>
    </xf>
    <xf numFmtId="49" fontId="45" fillId="0" borderId="1" applyAlignment="1" pivotButton="0" quotePrefix="0" xfId="1">
      <alignment horizontal="left" wrapText="1"/>
    </xf>
    <xf numFmtId="0" fontId="79" fillId="0" borderId="0" applyAlignment="1" pivotButton="0" quotePrefix="0" xfId="1">
      <alignment horizontal="center" vertical="top"/>
    </xf>
    <xf numFmtId="0" fontId="77" fillId="0" borderId="0" applyAlignment="1" pivotButton="0" quotePrefix="0" xfId="1">
      <alignment horizontal="center"/>
    </xf>
    <xf numFmtId="0" fontId="77" fillId="0" borderId="0" applyAlignment="1" pivotButton="0" quotePrefix="0" xfId="1">
      <alignment horizontal="right"/>
    </xf>
    <xf numFmtId="49" fontId="77" fillId="0" borderId="1" applyAlignment="1" pivotButton="0" quotePrefix="0" xfId="1">
      <alignment horizontal="center"/>
    </xf>
    <xf numFmtId="0" fontId="77" fillId="0" borderId="0" applyAlignment="1" pivotButton="0" quotePrefix="0" xfId="1">
      <alignment horizontal="left"/>
    </xf>
    <xf numFmtId="0" fontId="45" fillId="0" borderId="5" applyAlignment="1" pivotButton="0" quotePrefix="0" xfId="1">
      <alignment horizontal="center" vertical="center" wrapText="1"/>
    </xf>
    <xf numFmtId="0" fontId="45" fillId="0" borderId="4" applyAlignment="1" pivotButton="0" quotePrefix="0" xfId="1">
      <alignment horizontal="center" vertical="center" wrapText="1"/>
    </xf>
    <xf numFmtId="0" fontId="45" fillId="0" borderId="3" applyAlignment="1" pivotButton="0" quotePrefix="0" xfId="1">
      <alignment horizontal="center" vertical="center" wrapText="1"/>
    </xf>
    <xf numFmtId="0" fontId="45" fillId="0" borderId="2" applyAlignment="1" pivotButton="0" quotePrefix="0" xfId="1">
      <alignment horizontal="center" vertical="center" wrapText="1"/>
    </xf>
    <xf numFmtId="0" fontId="45" fillId="0" borderId="10" applyAlignment="1" pivotButton="0" quotePrefix="0" xfId="1">
      <alignment horizontal="center" vertical="center" wrapText="1"/>
    </xf>
    <xf numFmtId="0" fontId="45" fillId="0" borderId="9" applyAlignment="1" pivotButton="0" quotePrefix="0" xfId="1">
      <alignment horizontal="center" vertical="center" wrapText="1"/>
    </xf>
    <xf numFmtId="0" fontId="45" fillId="0" borderId="8" applyAlignment="1" pivotButton="0" quotePrefix="0" xfId="1">
      <alignment horizontal="center" vertical="center" wrapText="1"/>
    </xf>
    <xf numFmtId="0" fontId="45" fillId="0" borderId="7" applyAlignment="1" pivotButton="0" quotePrefix="0" xfId="1">
      <alignment horizontal="center" vertical="center" wrapText="1"/>
    </xf>
    <xf numFmtId="0" fontId="45" fillId="0" borderId="1" applyAlignment="1" pivotButton="0" quotePrefix="0" xfId="1">
      <alignment horizontal="center" vertical="center" wrapText="1"/>
    </xf>
    <xf numFmtId="0" fontId="45" fillId="0" borderId="6" applyAlignment="1" pivotButton="0" quotePrefix="0" xfId="1">
      <alignment horizontal="center" vertical="center" wrapText="1"/>
    </xf>
    <xf numFmtId="0" fontId="45" fillId="0" borderId="5" applyAlignment="1" pivotButton="0" quotePrefix="0" xfId="1">
      <alignment horizontal="center" vertical="center"/>
    </xf>
    <xf numFmtId="0" fontId="45" fillId="0" borderId="4" applyAlignment="1" pivotButton="0" quotePrefix="0" xfId="1">
      <alignment horizontal="center" vertical="center"/>
    </xf>
    <xf numFmtId="0" fontId="45" fillId="0" borderId="3" applyAlignment="1" pivotButton="0" quotePrefix="0" xfId="1">
      <alignment horizontal="center" vertical="center"/>
    </xf>
    <xf numFmtId="0" fontId="45" fillId="0" borderId="2" applyAlignment="1" pivotButton="0" quotePrefix="0" xfId="1">
      <alignment horizontal="center" vertical="center"/>
    </xf>
    <xf numFmtId="0" fontId="45" fillId="0" borderId="1" applyAlignment="1" pivotButton="0" quotePrefix="0" xfId="1">
      <alignment horizontal="left" wrapText="1"/>
    </xf>
    <xf numFmtId="0" fontId="45" fillId="0" borderId="5" applyAlignment="1" pivotButton="0" quotePrefix="0" xfId="1">
      <alignment horizontal="center" vertical="top"/>
    </xf>
    <xf numFmtId="0" fontId="45" fillId="0" borderId="4" applyAlignment="1" pivotButton="0" quotePrefix="0" xfId="1">
      <alignment horizontal="center" vertical="top"/>
    </xf>
    <xf numFmtId="0" fontId="45" fillId="0" borderId="3" applyAlignment="1" pivotButton="0" quotePrefix="0" xfId="1">
      <alignment horizontal="center" vertical="top"/>
    </xf>
    <xf numFmtId="49" fontId="45" fillId="0" borderId="5" applyAlignment="1" pivotButton="0" quotePrefix="0" xfId="1">
      <alignment horizontal="center" vertical="center"/>
    </xf>
    <xf numFmtId="49" fontId="45" fillId="0" borderId="4" applyAlignment="1" pivotButton="0" quotePrefix="0" xfId="1">
      <alignment horizontal="center" vertical="center"/>
    </xf>
    <xf numFmtId="49" fontId="45" fillId="0" borderId="3" applyAlignment="1" pivotButton="0" quotePrefix="0" xfId="1">
      <alignment horizontal="center" vertical="center"/>
    </xf>
    <xf numFmtId="0" fontId="45" fillId="0" borderId="2" applyAlignment="1" pivotButton="0" quotePrefix="0" xfId="1">
      <alignment horizontal="left" vertical="center"/>
    </xf>
    <xf numFmtId="0" fontId="45" fillId="0" borderId="5" applyAlignment="1" pivotButton="0" quotePrefix="0" xfId="1">
      <alignment horizontal="center" vertical="center" wrapText="1"/>
    </xf>
    <xf numFmtId="0" fontId="45" fillId="0" borderId="4" applyAlignment="1" pivotButton="0" quotePrefix="0" xfId="1">
      <alignment horizontal="center" vertical="center" wrapText="1"/>
    </xf>
    <xf numFmtId="0" fontId="45" fillId="0" borderId="3" applyAlignment="1" pivotButton="0" quotePrefix="0" xfId="1">
      <alignment horizontal="center" vertical="center" wrapText="1"/>
    </xf>
    <xf numFmtId="49" fontId="45" fillId="0" borderId="5" applyAlignment="1" pivotButton="0" quotePrefix="0" xfId="1">
      <alignment horizontal="center" vertical="center" wrapText="1"/>
    </xf>
    <xf numFmtId="164" fontId="45" fillId="0" borderId="5" applyAlignment="1" pivotButton="0" quotePrefix="0" xfId="1">
      <alignment horizontal="center" vertical="center"/>
    </xf>
    <xf numFmtId="164" fontId="45" fillId="0" borderId="4" applyAlignment="1" pivotButton="0" quotePrefix="0" xfId="1">
      <alignment horizontal="center" vertical="center"/>
    </xf>
    <xf numFmtId="164" fontId="45" fillId="0" borderId="3" applyAlignment="1" pivotButton="0" quotePrefix="0" xfId="1">
      <alignment horizontal="center" vertical="center"/>
    </xf>
    <xf numFmtId="169" fontId="45" fillId="0" borderId="5" applyAlignment="1" pivotButton="0" quotePrefix="0" xfId="1">
      <alignment horizontal="center" vertical="center"/>
    </xf>
    <xf numFmtId="169" fontId="45" fillId="0" borderId="4" applyAlignment="1" pivotButton="0" quotePrefix="0" xfId="1">
      <alignment horizontal="center" vertical="center"/>
    </xf>
    <xf numFmtId="169" fontId="45" fillId="0" borderId="3" applyAlignment="1" pivotButton="0" quotePrefix="0" xfId="1">
      <alignment horizontal="center" vertical="center"/>
    </xf>
    <xf numFmtId="0" fontId="45" fillId="0" borderId="7" applyAlignment="1" pivotButton="0" quotePrefix="0" xfId="1">
      <alignment horizontal="center" vertical="top"/>
    </xf>
    <xf numFmtId="0" fontId="45" fillId="0" borderId="1" applyAlignment="1" pivotButton="0" quotePrefix="0" xfId="1">
      <alignment horizontal="center" vertical="top"/>
    </xf>
    <xf numFmtId="0" fontId="45" fillId="0" borderId="6" applyAlignment="1" pivotButton="0" quotePrefix="0" xfId="1">
      <alignment horizontal="center" vertical="top"/>
    </xf>
    <xf numFmtId="0" fontId="45" fillId="0" borderId="5" applyAlignment="1" pivotButton="0" quotePrefix="0" xfId="1">
      <alignment horizontal="center" vertical="center"/>
    </xf>
    <xf numFmtId="0" fontId="45" fillId="0" borderId="4" applyAlignment="1" pivotButton="0" quotePrefix="0" xfId="1">
      <alignment horizontal="center" vertical="center"/>
    </xf>
    <xf numFmtId="0" fontId="45" fillId="0" borderId="3" applyAlignment="1" pivotButton="0" quotePrefix="0" xfId="1">
      <alignment horizontal="center" vertical="center"/>
    </xf>
    <xf numFmtId="0" fontId="45" fillId="0" borderId="2" applyAlignment="1" pivotButton="0" quotePrefix="0" xfId="1">
      <alignment horizontal="center" vertical="center"/>
    </xf>
    <xf numFmtId="49" fontId="45" fillId="0" borderId="5" applyAlignment="1" pivotButton="0" quotePrefix="0" xfId="1">
      <alignment horizontal="center" vertical="center"/>
    </xf>
    <xf numFmtId="49" fontId="45" fillId="0" borderId="4" applyAlignment="1" pivotButton="0" quotePrefix="0" xfId="1">
      <alignment horizontal="center" vertical="center"/>
    </xf>
    <xf numFmtId="49" fontId="45" fillId="0" borderId="3" applyAlignment="1" pivotButton="0" quotePrefix="0" xfId="1">
      <alignment horizontal="center" vertical="center"/>
    </xf>
    <xf numFmtId="0" fontId="45" fillId="0" borderId="2" applyAlignment="1" pivotButton="0" quotePrefix="0" xfId="1">
      <alignment horizontal="left" vertical="center" indent="1"/>
    </xf>
    <xf numFmtId="2" fontId="45" fillId="0" borderId="5" applyAlignment="1" pivotButton="0" quotePrefix="0" xfId="1">
      <alignment horizontal="center" vertical="center"/>
    </xf>
    <xf numFmtId="2" fontId="45" fillId="0" borderId="4" applyAlignment="1" pivotButton="0" quotePrefix="0" xfId="1">
      <alignment horizontal="center" vertical="center"/>
    </xf>
    <xf numFmtId="2" fontId="45" fillId="0" borderId="3" applyAlignment="1" pivotButton="0" quotePrefix="0" xfId="1">
      <alignment horizontal="center" vertical="center"/>
    </xf>
    <xf numFmtId="164" fontId="45" fillId="0" borderId="5" applyAlignment="1" pivotButton="0" quotePrefix="0" xfId="1">
      <alignment horizontal="center" vertical="center"/>
    </xf>
    <xf numFmtId="164" fontId="45" fillId="0" borderId="4" applyAlignment="1" pivotButton="0" quotePrefix="0" xfId="1">
      <alignment horizontal="center" vertical="center"/>
    </xf>
    <xf numFmtId="164" fontId="45" fillId="0" borderId="3" applyAlignment="1" pivotButton="0" quotePrefix="0" xfId="1">
      <alignment horizontal="center" vertical="center"/>
    </xf>
    <xf numFmtId="0" fontId="45" fillId="0" borderId="5" applyAlignment="1" pivotButton="0" quotePrefix="0" xfId="1">
      <alignment horizontal="left" vertical="center" wrapText="1" indent="1"/>
    </xf>
    <xf numFmtId="0" fontId="45" fillId="0" borderId="4" applyAlignment="1" pivotButton="0" quotePrefix="0" xfId="1">
      <alignment horizontal="left" vertical="center" wrapText="1" indent="1"/>
    </xf>
    <xf numFmtId="0" fontId="45" fillId="0" borderId="3" applyAlignment="1" pivotButton="0" quotePrefix="0" xfId="1">
      <alignment horizontal="left" vertical="center" wrapText="1" indent="1"/>
    </xf>
    <xf numFmtId="0" fontId="45" fillId="0" borderId="2" applyAlignment="1" pivotButton="0" quotePrefix="0" xfId="1">
      <alignment horizontal="left" vertical="center"/>
    </xf>
    <xf numFmtId="164" fontId="87" fillId="0" borderId="5" applyAlignment="1" pivotButton="0" quotePrefix="0" xfId="1">
      <alignment horizontal="center" vertical="center"/>
    </xf>
    <xf numFmtId="164" fontId="87" fillId="0" borderId="4" applyAlignment="1" pivotButton="0" quotePrefix="0" xfId="1">
      <alignment horizontal="center" vertical="center"/>
    </xf>
    <xf numFmtId="164" fontId="87" fillId="0" borderId="3" applyAlignment="1" pivotButton="0" quotePrefix="0" xfId="1">
      <alignment horizontal="center" vertical="center"/>
    </xf>
    <xf numFmtId="0" fontId="45" fillId="0" borderId="5" applyAlignment="1" pivotButton="0" quotePrefix="0" xfId="1">
      <alignment horizontal="left" vertical="center" wrapText="1"/>
    </xf>
    <xf numFmtId="0" fontId="45" fillId="0" borderId="4" applyAlignment="1" pivotButton="0" quotePrefix="0" xfId="1">
      <alignment horizontal="left" vertical="center" wrapText="1"/>
    </xf>
    <xf numFmtId="0" fontId="45" fillId="0" borderId="3" applyAlignment="1" pivotButton="0" quotePrefix="0" xfId="1">
      <alignment horizontal="left" vertical="center" wrapText="1"/>
    </xf>
    <xf numFmtId="0" fontId="45" fillId="0" borderId="2" applyAlignment="1" pivotButton="0" quotePrefix="0" xfId="1">
      <alignment horizontal="left" vertical="center" wrapText="1"/>
    </xf>
    <xf numFmtId="0" fontId="45" fillId="0" borderId="14" applyAlignment="1" pivotButton="0" quotePrefix="0" xfId="1">
      <alignment horizontal="center" vertical="center"/>
    </xf>
    <xf numFmtId="49" fontId="45" fillId="0" borderId="10" applyAlignment="1" pivotButton="0" quotePrefix="0" xfId="1">
      <alignment horizontal="center" vertical="center"/>
    </xf>
    <xf numFmtId="49" fontId="45" fillId="0" borderId="9" applyAlignment="1" pivotButton="0" quotePrefix="0" xfId="1">
      <alignment horizontal="center" vertical="center"/>
    </xf>
    <xf numFmtId="49" fontId="45" fillId="0" borderId="7" applyAlignment="1" pivotButton="0" quotePrefix="0" xfId="1">
      <alignment horizontal="center" vertical="center"/>
    </xf>
    <xf numFmtId="49" fontId="45" fillId="0" borderId="1" applyAlignment="1" pivotButton="0" quotePrefix="0" xfId="1">
      <alignment horizontal="center" vertical="center"/>
    </xf>
    <xf numFmtId="49" fontId="45" fillId="0" borderId="8" applyAlignment="1" pivotButton="0" quotePrefix="0" xfId="1">
      <alignment horizontal="center" vertical="center"/>
    </xf>
    <xf numFmtId="0" fontId="45" fillId="0" borderId="10" applyAlignment="1" pivotButton="0" quotePrefix="0" xfId="1">
      <alignment horizontal="center" vertical="center"/>
    </xf>
    <xf numFmtId="0" fontId="45" fillId="0" borderId="9" applyAlignment="1" pivotButton="0" quotePrefix="0" xfId="1">
      <alignment horizontal="center" vertical="center"/>
    </xf>
    <xf numFmtId="0" fontId="45" fillId="0" borderId="8" applyAlignment="1" pivotButton="0" quotePrefix="0" xfId="1">
      <alignment horizontal="center" vertical="center"/>
    </xf>
    <xf numFmtId="49" fontId="45" fillId="0" borderId="2" applyAlignment="1" pivotButton="0" quotePrefix="0" xfId="1">
      <alignment horizontal="center" vertical="center" wrapText="1"/>
    </xf>
    <xf numFmtId="49" fontId="45" fillId="0" borderId="2" applyAlignment="1" pivotButton="0" quotePrefix="0" xfId="1">
      <alignment horizontal="center" vertical="center"/>
    </xf>
    <xf numFmtId="0" fontId="45" fillId="0" borderId="10" applyAlignment="1" pivotButton="0" quotePrefix="0" xfId="1">
      <alignment horizontal="left" vertical="center"/>
    </xf>
    <xf numFmtId="0" fontId="45" fillId="0" borderId="9" applyAlignment="1" pivotButton="0" quotePrefix="0" xfId="1">
      <alignment horizontal="left" vertical="center"/>
    </xf>
    <xf numFmtId="0" fontId="45" fillId="0" borderId="8" applyAlignment="1" pivotButton="0" quotePrefix="0" xfId="1">
      <alignment horizontal="left" vertical="center"/>
    </xf>
    <xf numFmtId="0" fontId="45" fillId="0" borderId="7" applyAlignment="1" pivotButton="0" quotePrefix="0" xfId="1">
      <alignment horizontal="left" vertical="center"/>
    </xf>
    <xf numFmtId="0" fontId="45" fillId="0" borderId="1" applyAlignment="1" pivotButton="0" quotePrefix="0" xfId="1">
      <alignment horizontal="left" vertical="center"/>
    </xf>
    <xf numFmtId="0" fontId="45" fillId="0" borderId="6" applyAlignment="1" pivotButton="0" quotePrefix="0" xfId="1">
      <alignment horizontal="left" vertical="center"/>
    </xf>
    <xf numFmtId="0" fontId="45" fillId="0" borderId="2" applyAlignment="1" pivotButton="0" quotePrefix="0" xfId="1">
      <alignment horizontal="center" vertical="top"/>
    </xf>
    <xf numFmtId="0" fontId="45" fillId="0" borderId="1" applyAlignment="1" pivotButton="0" quotePrefix="0" xfId="1">
      <alignment horizontal="center" wrapText="1"/>
    </xf>
    <xf numFmtId="0" fontId="79" fillId="0" borderId="0" applyAlignment="1" pivotButton="0" quotePrefix="0" xfId="1">
      <alignment horizontal="center" vertical="top"/>
    </xf>
    <xf numFmtId="0" fontId="45" fillId="0" borderId="1" applyAlignment="1" pivotButton="0" quotePrefix="0" xfId="1">
      <alignment horizontal="center"/>
    </xf>
    <xf numFmtId="49" fontId="45" fillId="0" borderId="1" applyAlignment="1" pivotButton="0" quotePrefix="0" xfId="1">
      <alignment horizontal="center"/>
    </xf>
    <xf numFmtId="0" fontId="45" fillId="0" borderId="1" applyAlignment="1" pivotButton="0" quotePrefix="0" xfId="1">
      <alignment horizontal="left"/>
    </xf>
    <xf numFmtId="169" fontId="45" fillId="0" borderId="2" applyAlignment="1" pivotButton="0" quotePrefix="0" xfId="1">
      <alignment horizontal="center" vertical="center"/>
    </xf>
    <xf numFmtId="0" fontId="16" fillId="0" borderId="0" applyAlignment="1" pivotButton="0" quotePrefix="0" xfId="1">
      <alignment horizontal="left" vertical="center" wrapText="1"/>
    </xf>
    <xf numFmtId="0" fontId="19" fillId="0" borderId="2" applyAlignment="1" pivotButton="0" quotePrefix="0" xfId="1">
      <alignment horizontal="right" vertical="center"/>
    </xf>
    <xf numFmtId="0" fontId="16" fillId="0" borderId="0" applyAlignment="1" pivotButton="0" quotePrefix="0" xfId="1">
      <alignment vertical="center" wrapText="1"/>
    </xf>
    <xf numFmtId="0" fontId="24" fillId="0" borderId="5" applyAlignment="1" pivotButton="0" quotePrefix="0" xfId="1">
      <alignment horizontal="center" vertical="center"/>
    </xf>
    <xf numFmtId="0" fontId="24" fillId="0" borderId="3" applyAlignment="1" pivotButton="0" quotePrefix="0" xfId="1">
      <alignment horizontal="center" vertical="center"/>
    </xf>
    <xf numFmtId="0" fontId="33" fillId="0" borderId="0" applyAlignment="1" pivotButton="0" quotePrefix="0" xfId="1">
      <alignment horizontal="center" vertical="top"/>
    </xf>
    <xf numFmtId="0" fontId="16" fillId="0" borderId="0" applyAlignment="1" pivotButton="0" quotePrefix="0" xfId="1">
      <alignment horizontal="center" vertical="center" wrapText="1"/>
    </xf>
    <xf numFmtId="0" fontId="16" fillId="0" borderId="0" applyAlignment="1" pivotButton="0" quotePrefix="0" xfId="1">
      <alignment horizontal="left" vertical="center"/>
    </xf>
    <xf numFmtId="0" fontId="33" fillId="0" borderId="0" applyAlignment="1" pivotButton="0" quotePrefix="0" xfId="1">
      <alignment horizontal="left" wrapText="1"/>
    </xf>
    <xf numFmtId="0" fontId="33" fillId="0" borderId="0" applyAlignment="1" pivotButton="0" quotePrefix="0" xfId="1">
      <alignment horizontal="center"/>
    </xf>
    <xf numFmtId="0" fontId="43" fillId="0" borderId="0" applyAlignment="1" applyProtection="1" pivotButton="0" quotePrefix="0" xfId="47">
      <alignment horizontal="center" vertical="center"/>
      <protection locked="0" hidden="0"/>
    </xf>
    <xf numFmtId="0" fontId="18" fillId="0" borderId="0" applyAlignment="1" pivotButton="0" quotePrefix="0" xfId="1">
      <alignment horizontal="center" vertical="center"/>
    </xf>
    <xf numFmtId="0" fontId="20" fillId="0" borderId="14" applyAlignment="1" pivotButton="0" quotePrefix="0" xfId="1">
      <alignment horizontal="center" vertical="center" textRotation="90"/>
    </xf>
    <xf numFmtId="0" fontId="20" fillId="0" borderId="15" applyAlignment="1" pivotButton="0" quotePrefix="0" xfId="1">
      <alignment horizontal="center" vertical="center" textRotation="90"/>
    </xf>
    <xf numFmtId="0" fontId="20" fillId="0" borderId="13" applyAlignment="1" pivotButton="0" quotePrefix="0" xfId="1">
      <alignment horizontal="center" vertical="center" textRotation="90"/>
    </xf>
    <xf numFmtId="0" fontId="20" fillId="0" borderId="14" applyAlignment="1" pivotButton="0" quotePrefix="0" xfId="1">
      <alignment horizontal="center" vertical="center" wrapText="1"/>
    </xf>
    <xf numFmtId="0" fontId="20" fillId="0" borderId="13" applyAlignment="1" pivotButton="0" quotePrefix="0" xfId="1">
      <alignment horizontal="center" vertical="center" wrapText="1"/>
    </xf>
    <xf numFmtId="0" fontId="16" fillId="0" borderId="0" applyAlignment="1" pivotButton="0" quotePrefix="0" xfId="1">
      <alignment horizontal="center" vertical="center"/>
    </xf>
    <xf numFmtId="0" fontId="16" fillId="0" borderId="14" applyAlignment="1" pivotButton="0" quotePrefix="0" xfId="1">
      <alignment horizontal="center" vertical="center" textRotation="90"/>
    </xf>
    <xf numFmtId="0" fontId="16" fillId="0" borderId="15" applyAlignment="1" pivotButton="0" quotePrefix="0" xfId="1">
      <alignment horizontal="center" vertical="center" textRotation="90"/>
    </xf>
    <xf numFmtId="0" fontId="16" fillId="0" borderId="13" applyAlignment="1" pivotButton="0" quotePrefix="0" xfId="1">
      <alignment horizontal="center" vertical="center" textRotation="90"/>
    </xf>
    <xf numFmtId="0" fontId="20" fillId="0" borderId="15" applyAlignment="1" pivotButton="0" quotePrefix="0" xfId="1">
      <alignment horizontal="center" vertical="center" wrapText="1"/>
    </xf>
    <xf numFmtId="0" fontId="20" fillId="0" borderId="2" applyAlignment="1" pivotButton="0" quotePrefix="0" xfId="1">
      <alignment horizontal="center" vertical="center"/>
    </xf>
    <xf numFmtId="0" fontId="20" fillId="0" borderId="2" applyAlignment="1" pivotButton="0" quotePrefix="0" xfId="1">
      <alignment horizontal="center" vertical="center" wrapText="1"/>
    </xf>
    <xf numFmtId="0" fontId="20" fillId="0" borderId="5" applyAlignment="1" pivotButton="0" quotePrefix="0" xfId="1">
      <alignment horizontal="center" vertical="center" textRotation="90" wrapText="1"/>
    </xf>
    <xf numFmtId="0" fontId="20" fillId="0" borderId="3" applyAlignment="1" pivotButton="0" quotePrefix="0" xfId="1">
      <alignment horizontal="center" vertical="center" textRotation="90" wrapText="1"/>
    </xf>
    <xf numFmtId="0" fontId="20" fillId="0" borderId="5" applyAlignment="1" pivotButton="0" quotePrefix="0" xfId="1">
      <alignment horizontal="center" vertical="center" wrapText="1"/>
    </xf>
    <xf numFmtId="0" fontId="20" fillId="0" borderId="4" applyAlignment="1" pivotButton="0" quotePrefix="0" xfId="1">
      <alignment horizontal="center" vertical="center" wrapText="1"/>
    </xf>
    <xf numFmtId="0" fontId="18" fillId="0" borderId="1" applyAlignment="1" pivotButton="0" quotePrefix="0" xfId="1">
      <alignment horizontal="left" vertical="center" wrapText="1"/>
    </xf>
    <xf numFmtId="0" fontId="37" fillId="0" borderId="9" applyAlignment="1" pivotButton="0" quotePrefix="0" xfId="1">
      <alignment horizontal="center"/>
    </xf>
    <xf numFmtId="49" fontId="16" fillId="0" borderId="0" applyAlignment="1" pivotButton="0" quotePrefix="0" xfId="1">
      <alignment horizontal="left" vertical="center" wrapText="1"/>
    </xf>
    <xf numFmtId="0" fontId="82" fillId="0" borderId="0" applyAlignment="1" pivotButton="0" quotePrefix="0" xfId="1">
      <alignment horizontal="left" vertical="center" wrapText="1"/>
    </xf>
    <xf numFmtId="0" fontId="20" fillId="0" borderId="5" applyAlignment="1" pivotButton="0" quotePrefix="0" xfId="1">
      <alignment horizontal="center"/>
    </xf>
    <xf numFmtId="0" fontId="20" fillId="0" borderId="3" applyAlignment="1" pivotButton="0" quotePrefix="0" xfId="1">
      <alignment horizontal="center"/>
    </xf>
    <xf numFmtId="49" fontId="18" fillId="0" borderId="14" applyAlignment="1" pivotButton="0" quotePrefix="0" xfId="1">
      <alignment horizontal="center" vertical="center"/>
    </xf>
    <xf numFmtId="49" fontId="18" fillId="0" borderId="15" applyAlignment="1" pivotButton="0" quotePrefix="0" xfId="1">
      <alignment horizontal="center" vertical="center"/>
    </xf>
    <xf numFmtId="49" fontId="18" fillId="0" borderId="13" applyAlignment="1" pivotButton="0" quotePrefix="0" xfId="1">
      <alignment horizontal="center" vertical="center"/>
    </xf>
    <xf numFmtId="0" fontId="18" fillId="0" borderId="10" applyAlignment="1" pivotButton="0" quotePrefix="0" xfId="1">
      <alignment horizontal="center" vertical="center"/>
    </xf>
    <xf numFmtId="0" fontId="18" fillId="0" borderId="8" applyAlignment="1" pivotButton="0" quotePrefix="0" xfId="1">
      <alignment horizontal="center" vertical="center"/>
    </xf>
    <xf numFmtId="0" fontId="50" fillId="0" borderId="0" applyAlignment="1" pivotButton="0" quotePrefix="0" xfId="1">
      <alignment horizontal="left" vertical="center" wrapText="1"/>
    </xf>
    <xf numFmtId="0" fontId="18" fillId="0" borderId="2" applyAlignment="1" pivotButton="0" quotePrefix="0" xfId="50">
      <alignment horizontal="center" vertical="center" wrapText="1"/>
    </xf>
    <xf numFmtId="164" fontId="92" fillId="0" borderId="2" applyAlignment="1" pivotButton="0" quotePrefix="0" xfId="50">
      <alignment horizontal="center" vertical="center" wrapText="1"/>
    </xf>
    <xf numFmtId="0" fontId="18" fillId="0" borderId="2" applyAlignment="1" pivotButton="0" quotePrefix="0" xfId="50">
      <alignment horizontal="right" vertical="center" wrapText="1"/>
    </xf>
    <xf numFmtId="4" fontId="18" fillId="0" borderId="2"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13" applyAlignment="1" pivotButton="0" quotePrefix="0" xfId="50">
      <alignment horizontal="center" vertical="center" wrapText="1"/>
    </xf>
    <xf numFmtId="0" fontId="18" fillId="0" borderId="0" applyAlignment="1" pivotButton="0" quotePrefix="0" xfId="50">
      <alignment horizontal="right" wrapText="1"/>
    </xf>
    <xf numFmtId="0" fontId="29" fillId="0" borderId="0" applyAlignment="1" pivotButton="0" quotePrefix="0" xfId="50">
      <alignment wrapText="1"/>
    </xf>
    <xf numFmtId="0" fontId="19" fillId="0" borderId="0" applyAlignment="1" pivotButton="0" quotePrefix="0" xfId="50">
      <alignment horizontal="center" wrapText="1"/>
    </xf>
    <xf numFmtId="0" fontId="48" fillId="0" borderId="1" applyAlignment="1" pivotButton="0" quotePrefix="0" xfId="50">
      <alignment horizontal="center" vertical="center" wrapText="1"/>
    </xf>
    <xf numFmtId="0" fontId="29" fillId="0" borderId="1" applyAlignment="1" pivotButton="0" quotePrefix="0" xfId="50">
      <alignment vertical="center" wrapText="1"/>
    </xf>
    <xf numFmtId="0" fontId="25" fillId="0" borderId="0" applyAlignment="1" pivotButton="0" quotePrefix="0" xfId="50">
      <alignment horizontal="center" wrapText="1"/>
    </xf>
    <xf numFmtId="0" fontId="41" fillId="0" borderId="0" applyAlignment="1" pivotButton="0" quotePrefix="0" xfId="50">
      <alignment wrapText="1"/>
    </xf>
    <xf numFmtId="0" fontId="16" fillId="0" borderId="0" applyAlignment="1" pivotButton="0" quotePrefix="0" xfId="50">
      <alignment horizontal="left" vertical="center" wrapText="1"/>
    </xf>
    <xf numFmtId="0" fontId="22" fillId="0" borderId="5" applyAlignment="1" pivotButton="0" quotePrefix="0" xfId="50">
      <alignment horizontal="right" vertical="center" wrapText="1"/>
    </xf>
    <xf numFmtId="0" fontId="22" fillId="0" borderId="3" applyAlignment="1" pivotButton="0" quotePrefix="0" xfId="50">
      <alignment horizontal="right" vertical="center" wrapText="1"/>
    </xf>
    <xf numFmtId="0" fontId="20" fillId="0" borderId="1" applyAlignment="1" pivotButton="0" quotePrefix="0" xfId="50">
      <alignment vertical="top" wrapText="1"/>
    </xf>
    <xf numFmtId="49" fontId="20" fillId="0" borderId="14" applyAlignment="1" pivotButton="0" quotePrefix="0" xfId="50">
      <alignment horizontal="center" vertical="center" wrapText="1"/>
    </xf>
    <xf numFmtId="49" fontId="20" fillId="0" borderId="13" applyAlignment="1" pivotButton="0" quotePrefix="0" xfId="50">
      <alignment horizontal="center" vertical="center" wrapText="1"/>
    </xf>
    <xf numFmtId="0" fontId="20" fillId="0" borderId="2" applyAlignment="1" pivotButton="0" quotePrefix="0" xfId="50">
      <alignment horizontal="center" vertical="center" wrapText="1"/>
    </xf>
    <xf numFmtId="0" fontId="20" fillId="0" borderId="5" applyAlignment="1" pivotButton="0" quotePrefix="0" xfId="50">
      <alignment horizontal="center" vertical="center" wrapText="1"/>
    </xf>
    <xf numFmtId="0" fontId="20" fillId="0" borderId="3" applyAlignment="1" pivotButton="0" quotePrefix="0" xfId="50">
      <alignment horizontal="center" vertical="center" wrapText="1"/>
    </xf>
    <xf numFmtId="0" fontId="16" fillId="0" borderId="0" applyAlignment="1" pivotButton="0" quotePrefix="0" xfId="0">
      <alignment horizontal="left" vertical="center" wrapText="1"/>
    </xf>
    <xf numFmtId="0" fontId="20" fillId="0" borderId="0" applyAlignment="1" pivotButton="0" quotePrefix="0" xfId="0">
      <alignment horizontal="right"/>
    </xf>
    <xf numFmtId="0" fontId="18" fillId="0" borderId="0" applyAlignment="1" pivotButton="0" quotePrefix="0" xfId="0">
      <alignment horizontal="left" vertical="center" wrapText="1"/>
    </xf>
    <xf numFmtId="0" fontId="24" fillId="0" borderId="0" applyAlignment="1" pivotButton="0" quotePrefix="0" xfId="0">
      <alignment horizontal="center" vertical="center" wrapText="1"/>
    </xf>
    <xf numFmtId="0" fontId="26" fillId="0" borderId="11" applyAlignment="1" pivotButton="0" quotePrefix="0" xfId="0">
      <alignment horizontal="center" wrapText="1"/>
    </xf>
    <xf numFmtId="0" fontId="26" fillId="0" borderId="0" applyAlignment="1" pivotButton="0" quotePrefix="0" xfId="0">
      <alignment horizontal="center" wrapText="1"/>
    </xf>
    <xf numFmtId="0" fontId="31" fillId="0" borderId="0" applyAlignment="1" pivotButton="0" quotePrefix="0" xfId="0">
      <alignment horizontal="left" vertical="center" wrapText="1"/>
    </xf>
    <xf numFmtId="0" fontId="16" fillId="0" borderId="0" applyAlignment="1" pivotButton="0" quotePrefix="0" xfId="0">
      <alignment horizontal="center"/>
    </xf>
    <xf numFmtId="0" fontId="31" fillId="0" borderId="0" applyAlignment="1" pivotButton="0" quotePrefix="0" xfId="0">
      <alignment horizontal="left" wrapText="1"/>
    </xf>
    <xf numFmtId="49" fontId="20" fillId="0" borderId="2" applyAlignment="1" pivotButton="0" quotePrefix="0" xfId="38">
      <alignment horizontal="center" vertical="center" wrapText="1"/>
    </xf>
    <xf numFmtId="0" fontId="20" fillId="0" borderId="8" applyAlignment="1" pivotButton="0" quotePrefix="0" xfId="38">
      <alignment horizontal="center" vertical="center" wrapText="1"/>
    </xf>
    <xf numFmtId="0" fontId="20" fillId="0" borderId="6" applyAlignment="1" pivotButton="0" quotePrefix="0" xfId="38">
      <alignment horizontal="center" vertical="center" wrapText="1"/>
    </xf>
    <xf numFmtId="0" fontId="20" fillId="0" borderId="2" applyAlignment="1" pivotButton="0" quotePrefix="0" xfId="38">
      <alignment horizontal="center" vertical="center" wrapText="1"/>
    </xf>
    <xf numFmtId="0" fontId="20" fillId="0" borderId="0" applyAlignment="1" pivotButton="0" quotePrefix="0" xfId="38">
      <alignment horizontal="center" vertical="center" wrapText="1"/>
    </xf>
    <xf numFmtId="0" fontId="19" fillId="0" borderId="0" applyAlignment="1" pivotButton="0" quotePrefix="0" xfId="38">
      <alignment horizontal="center" vertical="center" wrapText="1"/>
    </xf>
    <xf numFmtId="49" fontId="18" fillId="0" borderId="1" applyAlignment="1" pivotButton="0" quotePrefix="0" xfId="1">
      <alignment horizontal="center" vertical="center" wrapText="1"/>
    </xf>
    <xf numFmtId="0" fontId="37" fillId="0" borderId="0" applyAlignment="1" pivotButton="0" quotePrefix="0" xfId="38">
      <alignment horizontal="center" vertical="center" wrapText="1"/>
    </xf>
    <xf numFmtId="0" fontId="20" fillId="0" borderId="0" applyAlignment="1" pivotButton="0" quotePrefix="0" xfId="38">
      <alignment horizontal="left" vertical="center" wrapText="1"/>
    </xf>
    <xf numFmtId="0" fontId="16" fillId="0" borderId="0" applyAlignment="1" pivotButton="0" quotePrefix="0" xfId="38">
      <alignment horizontal="left" vertical="center" wrapText="1"/>
    </xf>
    <xf numFmtId="49" fontId="16" fillId="0" borderId="0" applyAlignment="1" pivotButton="0" quotePrefix="0" xfId="38">
      <alignment horizontal="left" vertical="center" wrapText="1"/>
    </xf>
    <xf numFmtId="0" fontId="20" fillId="0" borderId="10" applyAlignment="1" pivotButton="0" quotePrefix="0" xfId="38">
      <alignment horizontal="center" vertical="center" wrapText="1"/>
    </xf>
    <xf numFmtId="0" fontId="20" fillId="0" borderId="7" applyAlignment="1" pivotButton="0" quotePrefix="0" xfId="38">
      <alignment horizontal="center" vertical="center" wrapText="1"/>
    </xf>
    <xf numFmtId="0" fontId="20" fillId="0" borderId="5" applyAlignment="1" pivotButton="0" quotePrefix="0" xfId="38">
      <alignment horizontal="left" vertical="center" wrapText="1"/>
    </xf>
    <xf numFmtId="0" fontId="20" fillId="0" borderId="3" applyAlignment="1" pivotButton="0" quotePrefix="0" xfId="38">
      <alignment horizontal="left" vertical="center" wrapText="1"/>
    </xf>
    <xf numFmtId="0" fontId="20" fillId="0" borderId="0" applyAlignment="1" pivotButton="0" quotePrefix="0" xfId="38">
      <alignment vertical="center" wrapText="1"/>
    </xf>
    <xf numFmtId="0" fontId="126" fillId="0" borderId="0" applyAlignment="1" pivotButton="0" quotePrefix="0" xfId="1">
      <alignment horizontal="left" vertical="center" wrapText="1"/>
    </xf>
    <xf numFmtId="49" fontId="18" fillId="0" borderId="1" applyAlignment="1" pivotButton="0" quotePrefix="0" xfId="1">
      <alignment horizontal="center" wrapText="1"/>
    </xf>
    <xf numFmtId="0" fontId="37" fillId="0" borderId="9" applyAlignment="1" pivotButton="0" quotePrefix="0" xfId="38">
      <alignment horizontal="center" vertical="center" wrapText="1"/>
    </xf>
    <xf numFmtId="49" fontId="20" fillId="0" borderId="2" applyAlignment="1" pivotButton="0" quotePrefix="0" xfId="4">
      <alignment horizontal="center" vertical="center" wrapText="1"/>
    </xf>
    <xf numFmtId="0" fontId="20" fillId="0" borderId="2" applyAlignment="1" pivotButton="0" quotePrefix="0" xfId="4">
      <alignment horizontal="center" vertical="center"/>
    </xf>
    <xf numFmtId="0" fontId="20" fillId="0" borderId="2" applyAlignment="1" pivotButton="0" quotePrefix="0" xfId="4">
      <alignment horizontal="center" vertical="center" wrapText="1"/>
    </xf>
    <xf numFmtId="0" fontId="16" fillId="0" borderId="0" applyAlignment="1" pivotButton="0" quotePrefix="0" xfId="4">
      <alignment horizontal="left" vertical="top" wrapText="1"/>
    </xf>
    <xf numFmtId="0" fontId="48" fillId="0" borderId="1" applyAlignment="1" pivotButton="0" quotePrefix="0" xfId="4">
      <alignment horizontal="center" vertical="top" wrapText="1"/>
    </xf>
    <xf numFmtId="0" fontId="37" fillId="0" borderId="9" applyAlignment="1" pivotButton="0" quotePrefix="0" xfId="4">
      <alignment horizontal="center" vertical="top"/>
    </xf>
    <xf numFmtId="0" fontId="19" fillId="0" borderId="0" applyAlignment="1" pivotButton="0" quotePrefix="0" xfId="4">
      <alignment horizontal="center" vertical="top"/>
    </xf>
    <xf numFmtId="0" fontId="40" fillId="0" borderId="0" applyAlignment="1" pivotButton="0" quotePrefix="0" xfId="1">
      <alignment horizontal="left" vertical="center" wrapText="1"/>
    </xf>
    <xf numFmtId="0" fontId="16" fillId="0" borderId="0" applyAlignment="1" pivotButton="0" quotePrefix="0" xfId="4">
      <alignment horizontal="left" vertical="center" wrapText="1"/>
    </xf>
    <xf numFmtId="0" fontId="21" fillId="0" borderId="0" applyAlignment="1" pivotButton="0" quotePrefix="0" xfId="4">
      <alignment horizontal="left" vertical="center" wrapText="1"/>
    </xf>
    <xf numFmtId="49" fontId="16" fillId="0" borderId="0" applyAlignment="1" pivotButton="0" quotePrefix="0" xfId="5">
      <alignment horizontal="left" vertical="center" wrapText="1"/>
    </xf>
    <xf numFmtId="49" fontId="20" fillId="0" borderId="22" applyAlignment="1" pivotButton="0" quotePrefix="0" xfId="5">
      <alignment horizontal="left" vertical="center" wrapText="1"/>
    </xf>
    <xf numFmtId="49" fontId="20" fillId="0" borderId="23" applyAlignment="1" pivotButton="0" quotePrefix="0" xfId="5">
      <alignment horizontal="left" vertical="center" wrapText="1"/>
    </xf>
    <xf numFmtId="49" fontId="20" fillId="0" borderId="7" applyAlignment="1" pivotButton="0" quotePrefix="0" xfId="5">
      <alignment horizontal="left" vertical="center" wrapText="1"/>
    </xf>
    <xf numFmtId="49" fontId="20" fillId="0" borderId="6" applyAlignment="1" pivotButton="0" quotePrefix="0" xfId="5">
      <alignment horizontal="left" vertical="center" wrapText="1"/>
    </xf>
    <xf numFmtId="49" fontId="20" fillId="0" borderId="5" applyAlignment="1" pivotButton="0" quotePrefix="0" xfId="5">
      <alignment horizontal="left" vertical="center" wrapText="1"/>
    </xf>
    <xf numFmtId="49" fontId="20" fillId="0" borderId="3" applyAlignment="1" pivotButton="0" quotePrefix="0" xfId="5">
      <alignment horizontal="left" vertical="center" wrapText="1"/>
    </xf>
    <xf numFmtId="0" fontId="18" fillId="0" borderId="0" applyAlignment="1" pivotButton="0" quotePrefix="0" xfId="1">
      <alignment horizontal="right"/>
    </xf>
    <xf numFmtId="49" fontId="16" fillId="0" borderId="10" applyAlignment="1" pivotButton="0" quotePrefix="0" xfId="1">
      <alignment horizontal="center" vertical="top" wrapText="1"/>
    </xf>
    <xf numFmtId="49" fontId="21" fillId="0" borderId="11" applyAlignment="1" pivotButton="0" quotePrefix="0" xfId="1">
      <alignment horizontal="center" vertical="top"/>
    </xf>
    <xf numFmtId="0" fontId="16" fillId="0" borderId="2" applyAlignment="1" pivotButton="0" quotePrefix="0" xfId="1">
      <alignment horizontal="center" vertical="center"/>
    </xf>
    <xf numFmtId="0" fontId="16" fillId="0" borderId="10" applyAlignment="1" pivotButton="0" quotePrefix="0" xfId="1">
      <alignment horizontal="center" vertical="center"/>
    </xf>
    <xf numFmtId="0" fontId="16" fillId="0" borderId="9" applyAlignment="1" pivotButton="0" quotePrefix="0" xfId="1">
      <alignment horizontal="center" vertical="center"/>
    </xf>
    <xf numFmtId="0" fontId="16" fillId="0" borderId="10" applyAlignment="1" pivotButton="0" quotePrefix="0" xfId="1">
      <alignment horizontal="center" vertical="center" wrapText="1"/>
    </xf>
    <xf numFmtId="0" fontId="16" fillId="0" borderId="9" applyAlignment="1" pivotButton="0" quotePrefix="0" xfId="1">
      <alignment horizontal="center" vertical="center" wrapText="1"/>
    </xf>
    <xf numFmtId="0" fontId="16" fillId="0" borderId="10" applyAlignment="1" pivotButton="0" quotePrefix="0" xfId="1">
      <alignment horizontal="center" vertical="center" textRotation="90"/>
    </xf>
    <xf numFmtId="0" fontId="16" fillId="0" borderId="11" applyAlignment="1" pivotButton="0" quotePrefix="0" xfId="1">
      <alignment horizontal="center" vertical="center" textRotation="90"/>
    </xf>
    <xf numFmtId="49" fontId="16" fillId="0" borderId="2" applyAlignment="1" pivotButton="0" quotePrefix="0" xfId="1">
      <alignment horizontal="center" vertical="center"/>
    </xf>
    <xf numFmtId="0" fontId="16" fillId="0" borderId="10" applyAlignment="1" pivotButton="0" quotePrefix="0" xfId="1">
      <alignment horizontal="center" vertical="center" textRotation="90" wrapText="1"/>
    </xf>
    <xf numFmtId="0" fontId="16" fillId="0" borderId="11" applyAlignment="1" pivotButton="0" quotePrefix="0" xfId="1">
      <alignment horizontal="center" vertical="center" textRotation="90" wrapText="1"/>
    </xf>
    <xf numFmtId="0" fontId="16" fillId="0" borderId="5" applyAlignment="1" pivotButton="0" quotePrefix="0" xfId="1">
      <alignment horizontal="center" vertical="center"/>
    </xf>
    <xf numFmtId="0" fontId="16" fillId="0" borderId="4" applyAlignment="1" pivotButton="0" quotePrefix="0" xfId="1">
      <alignment horizontal="center" vertical="center"/>
    </xf>
    <xf numFmtId="0" fontId="16" fillId="0" borderId="3" applyAlignment="1" pivotButton="0" quotePrefix="0" xfId="1">
      <alignment horizontal="center" vertical="center"/>
    </xf>
    <xf numFmtId="49" fontId="21" fillId="0" borderId="10" applyAlignment="1" pivotButton="0" quotePrefix="0" xfId="1">
      <alignment horizontal="center" vertical="top" wrapText="1"/>
    </xf>
    <xf numFmtId="49" fontId="21" fillId="0" borderId="7" applyAlignment="1" pivotButton="0" quotePrefix="0" xfId="1">
      <alignment horizontal="center" vertical="top"/>
    </xf>
    <xf numFmtId="49" fontId="119" fillId="0" borderId="10" applyAlignment="1" pivotButton="0" quotePrefix="0" xfId="1">
      <alignment horizontal="center" vertical="top" wrapText="1"/>
    </xf>
    <xf numFmtId="49" fontId="119" fillId="0" borderId="11" applyAlignment="1" pivotButton="0" quotePrefix="0" xfId="1">
      <alignment horizontal="center" vertical="top"/>
    </xf>
    <xf numFmtId="49" fontId="119" fillId="0" borderId="7" applyAlignment="1" pivotButton="0" quotePrefix="0" xfId="1">
      <alignment horizontal="center" vertical="top"/>
    </xf>
    <xf numFmtId="0" fontId="3" fillId="0" borderId="2" applyAlignment="1" pivotButton="0" quotePrefix="0" xfId="1">
      <alignment horizontal="center" vertical="center"/>
    </xf>
    <xf numFmtId="0" fontId="3" fillId="0" borderId="10" applyAlignment="1" pivotButton="0" quotePrefix="0" xfId="1">
      <alignment horizontal="center" vertical="center"/>
    </xf>
    <xf numFmtId="0" fontId="3" fillId="0" borderId="11" applyAlignment="1" pivotButton="0" quotePrefix="0" xfId="1">
      <alignment horizontal="center" vertical="center"/>
    </xf>
    <xf numFmtId="0" fontId="16" fillId="0" borderId="14" applyAlignment="1" pivotButton="0" quotePrefix="0" xfId="1">
      <alignment horizontal="center" vertical="center"/>
    </xf>
    <xf numFmtId="0" fontId="16" fillId="0" borderId="15" applyAlignment="1" pivotButton="0" quotePrefix="0" xfId="1">
      <alignment horizontal="center" vertical="center"/>
    </xf>
    <xf numFmtId="0" fontId="16" fillId="0" borderId="13" applyAlignment="1" pivotButton="0" quotePrefix="0" xfId="1">
      <alignment horizontal="center" vertical="center"/>
    </xf>
    <xf numFmtId="0" fontId="3" fillId="0" borderId="7" applyAlignment="1" pivotButton="0" quotePrefix="0" xfId="1">
      <alignment horizontal="center" vertical="center"/>
    </xf>
    <xf numFmtId="0" fontId="3" fillId="0" borderId="10" applyAlignment="1" pivotButton="0" quotePrefix="0" xfId="1">
      <alignment horizontal="center" vertical="center" wrapText="1"/>
    </xf>
    <xf numFmtId="0" fontId="3" fillId="0" borderId="11" applyAlignment="1" pivotButton="0" quotePrefix="0" xfId="1">
      <alignment horizontal="center" vertical="center" wrapText="1"/>
    </xf>
    <xf numFmtId="0" fontId="16" fillId="0" borderId="11" applyAlignment="1" pivotButton="0" quotePrefix="0" xfId="1">
      <alignment horizontal="center" vertical="center"/>
    </xf>
    <xf numFmtId="0" fontId="16" fillId="0" borderId="7" applyAlignment="1" pivotButton="0" quotePrefix="0" xfId="1">
      <alignment horizontal="center" vertical="center"/>
    </xf>
    <xf numFmtId="49" fontId="21" fillId="0" borderId="11" applyAlignment="1" pivotButton="0" quotePrefix="0" xfId="1">
      <alignment horizontal="center" vertical="top" wrapText="1"/>
    </xf>
    <xf numFmtId="49" fontId="21" fillId="0" borderId="7" applyAlignment="1" pivotButton="0" quotePrefix="0" xfId="1">
      <alignment horizontal="center" vertical="top" wrapText="1"/>
    </xf>
    <xf numFmtId="0" fontId="17" fillId="0" borderId="0" applyAlignment="1" pivotButton="0" quotePrefix="0" xfId="1">
      <alignment horizontal="center"/>
    </xf>
    <xf numFmtId="0" fontId="17" fillId="0" borderId="0" applyAlignment="1" pivotButton="0" quotePrefix="0" xfId="1">
      <alignment horizontal="left" wrapText="1"/>
    </xf>
    <xf numFmtId="0" fontId="17" fillId="0" borderId="0" applyAlignment="1" pivotButton="0" quotePrefix="0" xfId="1">
      <alignment horizontal="left"/>
    </xf>
    <xf numFmtId="0" fontId="20" fillId="0" borderId="1" applyAlignment="1" pivotButton="0" quotePrefix="0" xfId="1">
      <alignment horizontal="center"/>
    </xf>
    <xf numFmtId="0" fontId="37" fillId="0" borderId="0" applyAlignment="1" pivotButton="0" quotePrefix="0" xfId="1">
      <alignment horizontal="center" vertical="center"/>
    </xf>
    <xf numFmtId="0" fontId="40" fillId="0" borderId="0" applyAlignment="1" pivotButton="0" quotePrefix="0" xfId="1">
      <alignment horizontal="left" vertical="center"/>
    </xf>
    <xf numFmtId="0" fontId="17" fillId="0" borderId="0" applyAlignment="1" pivotButton="0" quotePrefix="0" xfId="1">
      <alignment horizontal="left" vertical="center" wrapText="1"/>
    </xf>
    <xf numFmtId="0" fontId="17" fillId="0" borderId="0" applyAlignment="1" pivotButton="0" quotePrefix="0" xfId="1">
      <alignment horizontal="left" vertical="center"/>
    </xf>
    <xf numFmtId="0" fontId="76" fillId="0" borderId="2" applyAlignment="1" pivotButton="0" quotePrefix="0" xfId="0">
      <alignment horizontal="left" vertical="center" wrapText="1"/>
    </xf>
    <xf numFmtId="0" fontId="3" fillId="0" borderId="2" applyAlignment="1" pivotButton="0" quotePrefix="0" xfId="0">
      <alignment horizontal="center" vertical="center" wrapText="1"/>
    </xf>
    <xf numFmtId="0" fontId="2" fillId="0" borderId="2" applyAlignment="1" pivotButton="0" quotePrefix="0" xfId="0">
      <alignment horizontal="center" vertical="center"/>
    </xf>
    <xf numFmtId="0" fontId="89" fillId="0" borderId="2" applyAlignment="1" pivotButton="0" quotePrefix="0" xfId="0">
      <alignment horizontal="center" vertical="center"/>
    </xf>
    <xf numFmtId="0" fontId="76" fillId="0" borderId="2" applyAlignment="1" pivotButton="0" quotePrefix="0" xfId="0">
      <alignment horizontal="left" vertical="center"/>
    </xf>
    <xf numFmtId="0" fontId="95" fillId="0" borderId="0" applyAlignment="1" pivotButton="0" quotePrefix="0" xfId="0">
      <alignment horizontal="center" vertical="center"/>
    </xf>
    <xf numFmtId="0" fontId="94" fillId="0" borderId="0" applyAlignment="1" pivotButton="0" quotePrefix="0" xfId="0">
      <alignment horizontal="center" vertical="center"/>
    </xf>
    <xf numFmtId="0" fontId="3" fillId="0" borderId="0" applyAlignment="1" pivotButton="0" quotePrefix="0" xfId="0">
      <alignment horizontal="left" vertical="center" wrapText="1"/>
    </xf>
    <xf numFmtId="0" fontId="76" fillId="0" borderId="2" applyAlignment="1" pivotButton="0" quotePrefix="0" xfId="0">
      <alignment horizontal="center" vertical="center"/>
    </xf>
    <xf numFmtId="0" fontId="133" fillId="0" borderId="0" applyAlignment="1" pivotButton="0" quotePrefix="0" xfId="1">
      <alignment horizontal="left" vertical="center" wrapText="1"/>
    </xf>
    <xf numFmtId="0" fontId="133" fillId="0" borderId="0" applyAlignment="1" pivotButton="0" quotePrefix="0" xfId="1">
      <alignment horizontal="left"/>
    </xf>
    <xf numFmtId="0" fontId="54" fillId="0" borderId="0" applyAlignment="1" pivotButton="0" quotePrefix="0" xfId="1">
      <alignment horizontal="left" vertical="top"/>
    </xf>
    <xf numFmtId="0" fontId="76" fillId="0" borderId="0" applyAlignment="1" pivotButton="0" quotePrefix="0" xfId="0">
      <alignment horizontal="left" vertical="center"/>
    </xf>
    <xf numFmtId="0" fontId="3" fillId="0" borderId="0" applyAlignment="1" pivotButton="0" quotePrefix="0" xfId="1">
      <alignment horizontal="center" vertical="center"/>
    </xf>
    <xf numFmtId="0" fontId="3" fillId="0" borderId="0" applyAlignment="1" pivotButton="0" quotePrefix="0" xfId="1">
      <alignment horizontal="left" vertical="center" wrapText="1"/>
    </xf>
    <xf numFmtId="0" fontId="3" fillId="0" borderId="0" applyAlignment="1" pivotButton="0" quotePrefix="0" xfId="1">
      <alignment horizontal="left" vertical="center"/>
    </xf>
    <xf numFmtId="0" fontId="3" fillId="0" borderId="0" applyAlignment="1" pivotButton="0" quotePrefix="0" xfId="0">
      <alignment horizontal="left" vertical="center"/>
    </xf>
    <xf numFmtId="0" fontId="76" fillId="0" borderId="0" applyAlignment="1" pivotButton="0" quotePrefix="0" xfId="0">
      <alignment horizontal="left" vertical="center" wrapText="1"/>
    </xf>
    <xf numFmtId="0" fontId="17" fillId="0" borderId="2" applyAlignment="1" pivotButton="0" quotePrefix="0" xfId="1">
      <alignment horizontal="center" vertical="center" wrapText="1"/>
    </xf>
    <xf numFmtId="0" fontId="106" fillId="0" borderId="2" applyAlignment="1" pivotButton="0" quotePrefix="0" xfId="0">
      <alignment horizontal="center" vertical="center" wrapText="1"/>
    </xf>
    <xf numFmtId="0" fontId="37" fillId="0" borderId="0" applyAlignment="1" pivotButton="0" quotePrefix="0" xfId="1">
      <alignment horizontal="center" vertical="top"/>
    </xf>
    <xf numFmtId="0" fontId="16" fillId="0" borderId="14" applyAlignment="1" pivotButton="0" quotePrefix="0" xfId="1">
      <alignment horizontal="center" vertical="center" textRotation="90" wrapText="1"/>
    </xf>
    <xf numFmtId="0" fontId="16" fillId="0" borderId="15" applyAlignment="1" pivotButton="0" quotePrefix="0" xfId="1">
      <alignment horizontal="center" vertical="center" textRotation="90" wrapText="1"/>
    </xf>
    <xf numFmtId="0" fontId="16" fillId="0" borderId="13" applyAlignment="1" pivotButton="0" quotePrefix="0" xfId="1">
      <alignment horizontal="center" vertical="center" textRotation="90" wrapText="1"/>
    </xf>
    <xf numFmtId="0" fontId="17" fillId="0" borderId="5" applyAlignment="1" pivotButton="0" quotePrefix="0" xfId="1">
      <alignment horizontal="center" vertical="center" wrapText="1"/>
    </xf>
    <xf numFmtId="0" fontId="17" fillId="0" borderId="4" applyAlignment="1" pivotButton="0" quotePrefix="0" xfId="1">
      <alignment horizontal="center" vertical="center" wrapText="1"/>
    </xf>
    <xf numFmtId="0" fontId="17" fillId="0" borderId="3" applyAlignment="1" pivotButton="0" quotePrefix="0" xfId="1">
      <alignment horizontal="center" vertical="center" wrapText="1"/>
    </xf>
    <xf numFmtId="0" fontId="17" fillId="0" borderId="2" applyAlignment="1" pivotButton="0" quotePrefix="0" xfId="1">
      <alignment horizontal="center" vertical="center"/>
    </xf>
    <xf numFmtId="0" fontId="17" fillId="0" borderId="5"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3" applyAlignment="1" pivotButton="0" quotePrefix="0" xfId="0">
      <alignment horizontal="center" vertical="center" wrapText="1"/>
    </xf>
    <xf numFmtId="0" fontId="17" fillId="0" borderId="13" applyAlignment="1" pivotButton="0" quotePrefix="0" xfId="1">
      <alignment horizontal="center" vertical="center" wrapText="1"/>
    </xf>
    <xf numFmtId="0" fontId="17" fillId="0" borderId="14" applyAlignment="1" pivotButton="0" quotePrefix="0" xfId="0">
      <alignment horizontal="center" vertical="center" wrapText="1"/>
    </xf>
    <xf numFmtId="0" fontId="17" fillId="0" borderId="10" applyAlignment="1" pivotButton="0" quotePrefix="0" xfId="1">
      <alignment horizontal="center" vertical="center" wrapText="1"/>
    </xf>
    <xf numFmtId="0" fontId="106" fillId="0" borderId="7" applyAlignment="1" pivotButton="0" quotePrefix="0" xfId="0">
      <alignment horizontal="center" vertical="center" wrapText="1"/>
    </xf>
    <xf numFmtId="0" fontId="17" fillId="0" borderId="14" applyAlignment="1" pivotButton="0" quotePrefix="0" xfId="1">
      <alignment horizontal="center" vertical="center" wrapText="1"/>
    </xf>
    <xf numFmtId="0" fontId="16" fillId="0" borderId="5"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5" applyAlignment="1" pivotButton="0" quotePrefix="0" xfId="0">
      <alignment horizontal="center" vertical="center"/>
    </xf>
    <xf numFmtId="0" fontId="16" fillId="0" borderId="3" applyAlignment="1" pivotButton="0" quotePrefix="0" xfId="0">
      <alignment horizontal="center" vertical="center"/>
    </xf>
    <xf numFmtId="0" fontId="17" fillId="0" borderId="5" applyAlignment="1" pivotButton="0" quotePrefix="0" xfId="1">
      <alignment horizontal="center" vertical="top" wrapText="1"/>
    </xf>
    <xf numFmtId="0" fontId="17" fillId="0" borderId="3" applyAlignment="1" pivotButton="0" quotePrefix="0" xfId="1">
      <alignment horizontal="center" vertical="top" wrapText="1"/>
    </xf>
    <xf numFmtId="0" fontId="3" fillId="0" borderId="2" applyAlignment="1" pivotButton="0" quotePrefix="0" xfId="1">
      <alignment horizontal="center"/>
    </xf>
    <xf numFmtId="0" fontId="18" fillId="0" borderId="1" applyAlignment="1" pivotButton="0" quotePrefix="0" xfId="1">
      <alignment horizontal="center" wrapText="1"/>
    </xf>
    <xf numFmtId="0" fontId="17" fillId="0" borderId="5" applyAlignment="1" pivotButton="0" quotePrefix="1" xfId="1">
      <alignment horizontal="center" vertical="top" wrapText="1"/>
    </xf>
    <xf numFmtId="0" fontId="18" fillId="0" borderId="0" applyAlignment="1" pivotButton="0" quotePrefix="0" xfId="1">
      <alignment horizontal="right" vertical="center"/>
    </xf>
    <xf numFmtId="0" fontId="0" fillId="0" borderId="2" applyAlignment="1" pivotButton="0" quotePrefix="0" xfId="0">
      <alignment horizontal="center" vertical="center"/>
    </xf>
    <xf numFmtId="0" fontId="16" fillId="0" borderId="5" applyAlignment="1" pivotButton="0" quotePrefix="0" xfId="1">
      <alignment horizontal="center"/>
    </xf>
    <xf numFmtId="0" fontId="16" fillId="0" borderId="3" applyAlignment="1" pivotButton="0" quotePrefix="0" xfId="1">
      <alignment horizontal="center"/>
    </xf>
    <xf numFmtId="0" fontId="17" fillId="0" borderId="5" applyAlignment="1" pivotButton="0" quotePrefix="0" xfId="0">
      <alignment horizontal="center" vertical="center"/>
    </xf>
    <xf numFmtId="0" fontId="17" fillId="0" borderId="3" applyAlignment="1" pivotButton="0" quotePrefix="0" xfId="0">
      <alignment horizontal="center" vertical="center"/>
    </xf>
    <xf numFmtId="0" fontId="23" fillId="0" borderId="2" applyAlignment="1" pivotButton="0" quotePrefix="0" xfId="0">
      <alignment horizontal="center" vertical="center"/>
    </xf>
    <xf numFmtId="0" fontId="16" fillId="0" borderId="5" applyAlignment="1" pivotButton="0" quotePrefix="0" xfId="1">
      <alignment horizontal="center" vertical="center" wrapText="1"/>
    </xf>
    <xf numFmtId="0" fontId="19" fillId="0" borderId="0" applyAlignment="1" pivotButton="0" quotePrefix="0" xfId="1">
      <alignment horizontal="center" wrapText="1"/>
    </xf>
    <xf numFmtId="0" fontId="16" fillId="0" borderId="4" applyAlignment="1" pivotButton="0" quotePrefix="0" xfId="1">
      <alignment horizontal="center" vertical="center" wrapText="1"/>
    </xf>
    <xf numFmtId="0" fontId="16" fillId="0" borderId="8" applyAlignment="1" pivotButton="0" quotePrefix="0" xfId="1">
      <alignment horizontal="center" vertical="center" wrapText="1"/>
    </xf>
    <xf numFmtId="0" fontId="31" fillId="0" borderId="0" applyAlignment="1" pivotButton="0" quotePrefix="0" xfId="1">
      <alignment horizontal="left" vertical="center" wrapText="1"/>
    </xf>
    <xf numFmtId="0" fontId="16" fillId="0" borderId="2" applyAlignment="1" pivotButton="0" quotePrefix="0" xfId="1">
      <alignment horizontal="center"/>
    </xf>
    <xf numFmtId="0" fontId="108" fillId="0" borderId="0" applyAlignment="1" pivotButton="0" quotePrefix="0" xfId="0">
      <alignment horizontal="center" wrapText="1"/>
    </xf>
    <xf numFmtId="0" fontId="109" fillId="0" borderId="1" applyAlignment="1" pivotButton="0" quotePrefix="0" xfId="4">
      <alignment horizontal="center" vertical="top" wrapText="1"/>
    </xf>
    <xf numFmtId="0" fontId="108" fillId="0" borderId="1" applyAlignment="1" pivotButton="0" quotePrefix="0" xfId="4">
      <alignment horizontal="center" vertical="top" wrapText="1"/>
    </xf>
    <xf numFmtId="0" fontId="37" fillId="0" borderId="0" applyAlignment="1" pivotButton="0" quotePrefix="0" xfId="4">
      <alignment horizontal="center" vertical="top"/>
    </xf>
    <xf numFmtId="0" fontId="0" fillId="0" borderId="5" applyAlignment="1" pivotButton="0" quotePrefix="0" xfId="0">
      <alignment horizontal="center" vertical="center"/>
    </xf>
    <xf numFmtId="0" fontId="16" fillId="0" borderId="2" applyAlignment="1" pivotButton="0" quotePrefix="0" xfId="4">
      <alignment horizontal="center" vertical="center" wrapText="1"/>
    </xf>
    <xf numFmtId="0" fontId="16" fillId="0" borderId="2" applyAlignment="1" pivotButton="0" quotePrefix="0" xfId="4">
      <alignment horizontal="center" vertical="center"/>
    </xf>
    <xf numFmtId="0" fontId="111" fillId="0" borderId="0" applyAlignment="1" pivotButton="0" quotePrefix="0" xfId="4">
      <alignment horizontal="center" vertical="top" wrapText="1"/>
    </xf>
    <xf numFmtId="0" fontId="25" fillId="0" borderId="0" applyAlignment="1" pivotButton="0" quotePrefix="0" xfId="4">
      <alignment horizontal="center" vertical="center"/>
    </xf>
    <xf numFmtId="0" fontId="16" fillId="0" borderId="14" applyAlignment="1" pivotButton="0" quotePrefix="0" xfId="4">
      <alignment horizontal="center" vertical="center" wrapText="1"/>
    </xf>
    <xf numFmtId="0" fontId="16" fillId="0" borderId="15" applyAlignment="1" pivotButton="0" quotePrefix="0" xfId="4">
      <alignment horizontal="center" vertical="center" wrapText="1"/>
    </xf>
    <xf numFmtId="0" fontId="16" fillId="0" borderId="13" applyAlignment="1" pivotButton="0" quotePrefix="0" xfId="4">
      <alignment horizontal="center" vertical="center" wrapText="1"/>
    </xf>
    <xf numFmtId="0" fontId="16" fillId="0" borderId="14" applyAlignment="1" pivotButton="0" quotePrefix="0" xfId="4">
      <alignment horizontal="center" vertical="center"/>
    </xf>
    <xf numFmtId="0" fontId="16" fillId="0" borderId="15" applyAlignment="1" pivotButton="0" quotePrefix="0" xfId="4">
      <alignment horizontal="center" vertical="center"/>
    </xf>
    <xf numFmtId="0" fontId="16" fillId="0" borderId="13" applyAlignment="1" pivotButton="0" quotePrefix="0" xfId="4">
      <alignment horizontal="center" vertical="center"/>
    </xf>
    <xf numFmtId="0" fontId="16" fillId="0" borderId="5" applyAlignment="1" pivotButton="0" quotePrefix="0" xfId="4">
      <alignment horizontal="center" vertical="center" wrapText="1"/>
    </xf>
    <xf numFmtId="0" fontId="16" fillId="0" borderId="4" applyAlignment="1" pivotButton="0" quotePrefix="0" xfId="4">
      <alignment horizontal="center" vertical="center" wrapText="1"/>
    </xf>
    <xf numFmtId="0" fontId="16" fillId="0" borderId="3" applyAlignment="1" pivotButton="0" quotePrefix="0" xfId="4">
      <alignment horizontal="center" vertical="center" wrapText="1"/>
    </xf>
    <xf numFmtId="0" fontId="16" fillId="0" borderId="7" applyAlignment="1" pivotButton="0" quotePrefix="0" xfId="4">
      <alignment horizontal="center" vertical="center"/>
    </xf>
    <xf numFmtId="0" fontId="16" fillId="0" borderId="6" applyAlignment="1" pivotButton="0" quotePrefix="0" xfId="4">
      <alignment horizontal="center" vertical="center"/>
    </xf>
    <xf numFmtId="49" fontId="16" fillId="0" borderId="2" applyAlignment="1" pivotButton="0" quotePrefix="0" xfId="4">
      <alignment horizontal="center" vertical="center" wrapText="1"/>
    </xf>
    <xf numFmtId="0" fontId="16" fillId="0" borderId="8" applyAlignment="1" pivotButton="0" quotePrefix="0" xfId="4">
      <alignment horizontal="center" vertical="center" wrapText="1"/>
    </xf>
    <xf numFmtId="0" fontId="16" fillId="0" borderId="6" applyAlignment="1" pivotButton="0" quotePrefix="0" xfId="4">
      <alignment horizontal="center" vertical="center" wrapText="1"/>
    </xf>
    <xf numFmtId="49" fontId="16" fillId="0" borderId="22" applyAlignment="1" pivotButton="0" quotePrefix="0" xfId="5">
      <alignment horizontal="left" vertical="center" wrapText="1"/>
    </xf>
    <xf numFmtId="49" fontId="16" fillId="0" borderId="23" applyAlignment="1" pivotButton="0" quotePrefix="0" xfId="5">
      <alignment horizontal="left" vertical="center" wrapText="1"/>
    </xf>
    <xf numFmtId="49" fontId="16" fillId="0" borderId="7" applyAlignment="1" pivotButton="0" quotePrefix="0" xfId="5">
      <alignment horizontal="left" vertical="center" wrapText="1"/>
    </xf>
    <xf numFmtId="49" fontId="16" fillId="0" borderId="6" applyAlignment="1" pivotButton="0" quotePrefix="0" xfId="5">
      <alignment horizontal="left" vertical="center" wrapText="1"/>
    </xf>
    <xf numFmtId="49" fontId="16" fillId="0" borderId="5" applyAlignment="1" pivotButton="0" quotePrefix="0" xfId="5">
      <alignment horizontal="left" vertical="center" wrapText="1"/>
    </xf>
    <xf numFmtId="49" fontId="16" fillId="0" borderId="3" applyAlignment="1" pivotButton="0" quotePrefix="0" xfId="5">
      <alignment horizontal="left" vertical="center" wrapText="1"/>
    </xf>
    <xf numFmtId="0" fontId="109" fillId="0" borderId="1" applyAlignment="1" pivotButton="0" quotePrefix="0" xfId="4">
      <alignment horizontal="center" vertical="center" wrapText="1"/>
    </xf>
    <xf numFmtId="0" fontId="108" fillId="0" borderId="1" applyAlignment="1" pivotButton="0" quotePrefix="0" xfId="4">
      <alignment horizontal="center" vertical="center" wrapText="1"/>
    </xf>
    <xf numFmtId="0" fontId="16" fillId="0" borderId="5" applyAlignment="1" pivotButton="0" quotePrefix="0" xfId="4">
      <alignment horizontal="center" vertical="center"/>
    </xf>
    <xf numFmtId="0" fontId="16" fillId="0" borderId="4" applyAlignment="1" pivotButton="0" quotePrefix="0" xfId="4">
      <alignment horizontal="center" vertical="center"/>
    </xf>
    <xf numFmtId="0" fontId="16" fillId="0" borderId="3" applyAlignment="1" pivotButton="0" quotePrefix="0" xfId="4">
      <alignment horizontal="center" vertical="center"/>
    </xf>
    <xf numFmtId="0" fontId="16" fillId="0" borderId="0" applyAlignment="1" pivotButton="0" quotePrefix="0" xfId="0">
      <alignment horizontal="left" wrapText="1"/>
    </xf>
    <xf numFmtId="0" fontId="20" fillId="0" borderId="14" applyAlignment="1" pivotButton="0" quotePrefix="0" xfId="0">
      <alignment horizontal="center" vertical="center" wrapText="1"/>
    </xf>
    <xf numFmtId="0" fontId="20" fillId="0" borderId="13" applyAlignment="1" pivotButton="0" quotePrefix="0" xfId="0">
      <alignment horizontal="center" vertical="center" wrapText="1"/>
    </xf>
    <xf numFmtId="0" fontId="20" fillId="0" borderId="22" applyAlignment="1" pivotButton="0" quotePrefix="0" xfId="6">
      <alignment horizontal="left" vertical="center" wrapText="1"/>
    </xf>
    <xf numFmtId="0" fontId="20" fillId="0" borderId="23" applyAlignment="1" pivotButton="0" quotePrefix="0" xfId="6">
      <alignment horizontal="left" vertical="center" wrapText="1"/>
    </xf>
    <xf numFmtId="0" fontId="20" fillId="0" borderId="7" applyAlignment="1" pivotButton="0" quotePrefix="0" xfId="6">
      <alignment horizontal="left" vertical="center" wrapText="1"/>
    </xf>
    <xf numFmtId="0" fontId="20" fillId="0" borderId="6" applyAlignment="1" pivotButton="0" quotePrefix="0" xfId="6">
      <alignment horizontal="left" vertical="center" wrapText="1"/>
    </xf>
    <xf numFmtId="0" fontId="20" fillId="0" borderId="5" applyAlignment="1" pivotButton="0" quotePrefix="0" xfId="6">
      <alignment horizontal="left" vertical="center" wrapText="1"/>
    </xf>
    <xf numFmtId="0" fontId="20" fillId="0" borderId="3" applyAlignment="1" pivotButton="0" quotePrefix="0" xfId="6">
      <alignment horizontal="left" vertical="center" wrapText="1"/>
    </xf>
    <xf numFmtId="0" fontId="22" fillId="0" borderId="0" applyAlignment="1" pivotButton="0" quotePrefix="0" xfId="0">
      <alignment horizontal="center" wrapText="1"/>
    </xf>
    <xf numFmtId="0" fontId="22" fillId="0" borderId="0" applyAlignment="1" pivotButton="0" quotePrefix="0" xfId="0">
      <alignment horizontal="center"/>
    </xf>
    <xf numFmtId="0" fontId="18" fillId="0" borderId="1" applyAlignment="1" pivotButton="0" quotePrefix="0" xfId="0">
      <alignment horizontal="center" wrapText="1"/>
    </xf>
    <xf numFmtId="0" fontId="37" fillId="0" borderId="9" applyAlignment="1" pivotButton="0" quotePrefix="0" xfId="0">
      <alignment horizontal="center" wrapText="1"/>
    </xf>
    <xf numFmtId="0" fontId="20" fillId="0" borderId="2" applyAlignment="1" pivotButton="0" quotePrefix="0" xfId="0">
      <alignment horizontal="center" vertical="center" wrapText="1"/>
    </xf>
    <xf numFmtId="0" fontId="20" fillId="0" borderId="15" applyAlignment="1" pivotButton="0" quotePrefix="0" xfId="0">
      <alignment horizontal="center" vertical="center" wrapText="1"/>
    </xf>
    <xf numFmtId="0" fontId="20" fillId="0" borderId="10" applyAlignment="1" pivotButton="0" quotePrefix="0" xfId="0">
      <alignment horizontal="center" vertical="center" wrapText="1"/>
    </xf>
    <xf numFmtId="0" fontId="20" fillId="0" borderId="8" applyAlignment="1" pivotButton="0" quotePrefix="0" xfId="0">
      <alignment horizontal="center" vertical="center" wrapText="1"/>
    </xf>
    <xf numFmtId="0" fontId="20" fillId="0" borderId="7" applyAlignment="1" pivotButton="0" quotePrefix="0" xfId="0">
      <alignment horizontal="center" vertical="center" wrapText="1"/>
    </xf>
    <xf numFmtId="0" fontId="20" fillId="0" borderId="6" applyAlignment="1" pivotButton="0" quotePrefix="0" xfId="0">
      <alignment horizontal="center" vertical="center" wrapText="1"/>
    </xf>
    <xf numFmtId="0" fontId="20" fillId="0" borderId="2" applyAlignment="1" pivotButton="0" quotePrefix="0" xfId="0">
      <alignment horizontal="center" vertical="center"/>
    </xf>
    <xf numFmtId="0" fontId="27" fillId="0" borderId="0" applyAlignment="1" pivotButton="0" quotePrefix="0" xfId="1">
      <alignment horizontal="center" vertical="center" wrapText="1"/>
    </xf>
    <xf numFmtId="0" fontId="20" fillId="0" borderId="3" applyAlignment="1" pivotButton="0" quotePrefix="0" xfId="1">
      <alignment horizontal="center" vertical="center" wrapText="1"/>
    </xf>
    <xf numFmtId="49" fontId="20" fillId="0" borderId="5" applyAlignment="1" pivotButton="0" quotePrefix="0" xfId="1">
      <alignment horizontal="center" vertical="center" wrapText="1"/>
    </xf>
    <xf numFmtId="49" fontId="20" fillId="0" borderId="3" applyAlignment="1" pivotButton="0" quotePrefix="0" xfId="1">
      <alignment horizontal="center" vertical="center" wrapText="1"/>
    </xf>
    <xf numFmtId="0" fontId="20" fillId="0" borderId="11" applyAlignment="1" pivotButton="0" quotePrefix="0" xfId="0">
      <alignment horizontal="center" vertical="center" wrapText="1"/>
    </xf>
    <xf numFmtId="0" fontId="20" fillId="0" borderId="12" applyAlignment="1" pivotButton="0" quotePrefix="0" xfId="0">
      <alignment horizontal="center" vertical="center" wrapText="1"/>
    </xf>
    <xf numFmtId="49" fontId="24" fillId="0" borderId="5" applyAlignment="1" pivotButton="0" quotePrefix="0" xfId="1">
      <alignment horizontal="center" vertical="center" wrapText="1"/>
    </xf>
    <xf numFmtId="49" fontId="24" fillId="0" borderId="3" applyAlignment="1" pivotButton="0" quotePrefix="0" xfId="1">
      <alignment horizontal="center" vertical="center" wrapText="1"/>
    </xf>
    <xf numFmtId="0" fontId="20" fillId="0" borderId="5" applyAlignment="1" pivotButton="0" quotePrefix="0" xfId="1">
      <alignment horizontal="center" vertical="center"/>
    </xf>
    <xf numFmtId="0" fontId="20" fillId="0" borderId="4" applyAlignment="1" pivotButton="0" quotePrefix="0" xfId="1">
      <alignment horizontal="center" vertical="center"/>
    </xf>
    <xf numFmtId="0" fontId="20" fillId="0" borderId="3" applyAlignment="1" pivotButton="0" quotePrefix="0" xfId="1">
      <alignment horizontal="center" vertical="center"/>
    </xf>
    <xf numFmtId="0" fontId="18" fillId="0" borderId="0" applyAlignment="1" pivotButton="0" quotePrefix="0" xfId="0">
      <alignment horizontal="right"/>
    </xf>
    <xf numFmtId="0" fontId="27" fillId="0" borderId="0" applyAlignment="1" pivotButton="0" quotePrefix="0" xfId="0">
      <alignment horizontal="center" vertical="center"/>
    </xf>
    <xf numFmtId="0" fontId="48" fillId="0" borderId="1" applyAlignment="1" pivotButton="0" quotePrefix="0" xfId="0">
      <alignment horizontal="center" vertical="center" wrapText="1"/>
    </xf>
    <xf numFmtId="0" fontId="37" fillId="0" borderId="0" applyAlignment="1" pivotButton="0" quotePrefix="0" xfId="0">
      <alignment horizontal="center" vertical="center" wrapText="1"/>
    </xf>
    <xf numFmtId="0" fontId="20" fillId="0" borderId="1" applyAlignment="1" pivotButton="0" quotePrefix="0" xfId="0">
      <alignment horizontal="center" vertical="top"/>
    </xf>
    <xf numFmtId="0" fontId="20" fillId="0" borderId="2" applyAlignment="1" pivotButton="0" quotePrefix="0" xfId="0">
      <alignment horizontal="left"/>
    </xf>
    <xf numFmtId="0" fontId="20" fillId="0" borderId="5" applyAlignment="1" pivotButton="0" quotePrefix="0" xfId="0">
      <alignment horizontal="center" vertical="center" wrapText="1"/>
    </xf>
    <xf numFmtId="0" fontId="20" fillId="0" borderId="3" applyAlignment="1" pivotButton="0" quotePrefix="0" xfId="0">
      <alignment horizontal="center" vertical="center" wrapText="1"/>
    </xf>
    <xf numFmtId="0" fontId="19" fillId="0" borderId="0" applyAlignment="1" pivotButton="0" quotePrefix="0" xfId="0">
      <alignment horizontal="center" wrapText="1"/>
    </xf>
    <xf numFmtId="0" fontId="19" fillId="0" borderId="0" applyAlignment="1" pivotButton="0" quotePrefix="0" xfId="0">
      <alignment horizontal="center"/>
    </xf>
    <xf numFmtId="0" fontId="18" fillId="0" borderId="1" applyAlignment="1" pivotButton="0" quotePrefix="0" xfId="0">
      <alignment horizontal="center" vertical="center" wrapText="1"/>
    </xf>
    <xf numFmtId="0" fontId="37" fillId="0" borderId="9" applyAlignment="1" pivotButton="0" quotePrefix="0" xfId="0">
      <alignment horizontal="center" vertical="center"/>
    </xf>
    <xf numFmtId="0" fontId="20" fillId="0" borderId="14" applyAlignment="1" pivotButton="0" quotePrefix="0" xfId="0">
      <alignment horizontal="center" vertical="center"/>
    </xf>
    <xf numFmtId="0" fontId="20" fillId="0" borderId="13" applyAlignment="1" pivotButton="0" quotePrefix="0" xfId="0">
      <alignment horizontal="center" vertical="center"/>
    </xf>
    <xf numFmtId="0" fontId="26" fillId="0" borderId="0" applyAlignment="1" pivotButton="0" quotePrefix="0" xfId="1">
      <alignment horizontal="left" vertical="center"/>
    </xf>
    <xf numFmtId="0" fontId="56" fillId="0" borderId="0" applyAlignment="1" pivotButton="0" quotePrefix="0" xfId="1">
      <alignment horizontal="left"/>
    </xf>
    <xf numFmtId="0" fontId="54" fillId="0" borderId="0" applyAlignment="1" pivotButton="0" quotePrefix="0" xfId="1">
      <alignment horizontal="center" vertical="top"/>
    </xf>
    <xf numFmtId="49" fontId="16" fillId="0" borderId="13" applyAlignment="1" pivotButton="0" quotePrefix="0" xfId="1">
      <alignment horizontal="center" vertical="center" wrapText="1"/>
    </xf>
    <xf numFmtId="49" fontId="16" fillId="0" borderId="2" applyAlignment="1" pivotButton="0" quotePrefix="0" xfId="1">
      <alignment horizontal="center" vertical="center" wrapText="1"/>
    </xf>
    <xf numFmtId="0" fontId="16" fillId="0" borderId="19" applyAlignment="1" pivotButton="0" quotePrefix="0" xfId="24">
      <alignment horizontal="center" vertical="center" wrapText="1"/>
    </xf>
    <xf numFmtId="0" fontId="16" fillId="0" borderId="20" applyAlignment="1" pivotButton="0" quotePrefix="0" xfId="24">
      <alignment horizontal="center" vertical="center" wrapText="1"/>
    </xf>
    <xf numFmtId="0" fontId="16" fillId="0" borderId="5" applyAlignment="1" pivotButton="0" quotePrefix="0" xfId="24">
      <alignment horizontal="center" vertical="center" wrapText="1"/>
    </xf>
    <xf numFmtId="0" fontId="16" fillId="0" borderId="3" applyAlignment="1" pivotButton="0" quotePrefix="0" xfId="24">
      <alignment horizontal="center" vertical="center" wrapText="1"/>
    </xf>
    <xf numFmtId="0" fontId="16" fillId="0" borderId="11" applyAlignment="1" pivotButton="0" quotePrefix="0" xfId="1">
      <alignment horizontal="center" vertical="center" wrapText="1"/>
    </xf>
    <xf numFmtId="0" fontId="16" fillId="0" borderId="7" applyAlignment="1" pivotButton="0" quotePrefix="0" xfId="1">
      <alignment horizontal="center" vertical="center" wrapText="1"/>
    </xf>
    <xf numFmtId="0" fontId="31" fillId="0" borderId="0" applyAlignment="1" pivotButton="0" quotePrefix="0" xfId="38">
      <alignment horizontal="center" vertical="center" wrapText="1"/>
    </xf>
    <xf numFmtId="49" fontId="18" fillId="0" borderId="2" applyAlignment="1" pivotButton="0" quotePrefix="0" xfId="38">
      <alignment horizontal="center" vertical="center" wrapText="1"/>
    </xf>
    <xf numFmtId="0" fontId="18" fillId="0" borderId="10" applyAlignment="1" pivotButton="0" quotePrefix="0" xfId="38">
      <alignment horizontal="center" vertical="center" wrapText="1"/>
    </xf>
    <xf numFmtId="0" fontId="18" fillId="0" borderId="7" applyAlignment="1" pivotButton="0" quotePrefix="0" xfId="38">
      <alignment horizontal="center" vertical="center" wrapText="1"/>
    </xf>
    <xf numFmtId="0" fontId="18" fillId="0" borderId="2" applyAlignment="1" pivotButton="0" quotePrefix="0" xfId="38">
      <alignment horizontal="center" vertical="center" wrapText="1"/>
    </xf>
    <xf numFmtId="0" fontId="18" fillId="0" borderId="5" applyAlignment="1" pivotButton="0" quotePrefix="0" xfId="38">
      <alignment horizontal="right" vertical="center" wrapText="1"/>
    </xf>
    <xf numFmtId="0" fontId="18" fillId="0" borderId="3" applyAlignment="1" pivotButton="0" quotePrefix="0" xfId="38">
      <alignment horizontal="right" vertical="center" wrapText="1"/>
    </xf>
    <xf numFmtId="49" fontId="18" fillId="0" borderId="0" applyAlignment="1" pivotButton="0" quotePrefix="0" xfId="1">
      <alignment horizontal="center" vertical="center" wrapText="1"/>
    </xf>
    <xf numFmtId="0" fontId="18" fillId="0" borderId="8" applyAlignment="1" pivotButton="0" quotePrefix="0" xfId="38">
      <alignment horizontal="center" vertical="center" wrapText="1"/>
    </xf>
    <xf numFmtId="0" fontId="18" fillId="0" borderId="6" applyAlignment="1" pivotButton="0" quotePrefix="0" xfId="38">
      <alignment horizontal="center" vertical="center" wrapText="1"/>
    </xf>
    <xf numFmtId="0" fontId="77" fillId="0" borderId="0" applyAlignment="1" pivotButton="0" quotePrefix="0" xfId="1">
      <alignment horizontal="center" wrapText="1"/>
    </xf>
    <xf numFmtId="0" fontId="80" fillId="0" borderId="10" applyAlignment="1" pivotButton="0" quotePrefix="0" xfId="1">
      <alignment horizontal="center" vertical="center" wrapText="1"/>
    </xf>
    <xf numFmtId="0" fontId="80" fillId="0" borderId="9" applyAlignment="1" pivotButton="0" quotePrefix="0" xfId="1">
      <alignment horizontal="center" vertical="center" wrapText="1"/>
    </xf>
    <xf numFmtId="0" fontId="80" fillId="0" borderId="8" applyAlignment="1" pivotButton="0" quotePrefix="0" xfId="1">
      <alignment horizontal="center" vertical="center" wrapText="1"/>
    </xf>
    <xf numFmtId="0" fontId="80" fillId="0" borderId="11" applyAlignment="1" pivotButton="0" quotePrefix="0" xfId="1">
      <alignment horizontal="center" vertical="center" wrapText="1"/>
    </xf>
    <xf numFmtId="0" fontId="80" fillId="0" borderId="0" applyAlignment="1" pivotButton="0" quotePrefix="0" xfId="1">
      <alignment horizontal="center" vertical="center" wrapText="1"/>
    </xf>
    <xf numFmtId="0" fontId="80" fillId="0" borderId="12" applyAlignment="1" pivotButton="0" quotePrefix="0" xfId="1">
      <alignment horizontal="center" vertical="center" wrapText="1"/>
    </xf>
    <xf numFmtId="0" fontId="80" fillId="0" borderId="7" applyAlignment="1" pivotButton="0" quotePrefix="0" xfId="1">
      <alignment horizontal="center" vertical="center" wrapText="1"/>
    </xf>
    <xf numFmtId="0" fontId="80" fillId="0" borderId="1" applyAlignment="1" pivotButton="0" quotePrefix="0" xfId="1">
      <alignment horizontal="center" vertical="center" wrapText="1"/>
    </xf>
    <xf numFmtId="0" fontId="80" fillId="0" borderId="6" applyAlignment="1" pivotButton="0" quotePrefix="0" xfId="1">
      <alignment horizontal="center" vertical="center" wrapText="1"/>
    </xf>
    <xf numFmtId="0" fontId="80" fillId="0" borderId="10" applyAlignment="1" pivotButton="0" quotePrefix="0" xfId="1">
      <alignment horizontal="center"/>
    </xf>
    <xf numFmtId="0" fontId="80" fillId="0" borderId="9" applyAlignment="1" pivotButton="0" quotePrefix="0" xfId="1">
      <alignment horizontal="center"/>
    </xf>
    <xf numFmtId="49" fontId="80" fillId="0" borderId="4" applyAlignment="1" pivotButton="0" quotePrefix="0" xfId="1">
      <alignment horizontal="center"/>
    </xf>
    <xf numFmtId="0" fontId="80" fillId="0" borderId="9" applyAlignment="1" pivotButton="0" quotePrefix="0" xfId="1">
      <alignment horizontal="left"/>
    </xf>
    <xf numFmtId="0" fontId="80" fillId="0" borderId="5" applyAlignment="1" pivotButton="0" quotePrefix="0" xfId="1">
      <alignment horizontal="center" vertical="center" wrapText="1"/>
    </xf>
    <xf numFmtId="0" fontId="80" fillId="0" borderId="4" applyAlignment="1" pivotButton="0" quotePrefix="0" xfId="1">
      <alignment horizontal="center" vertical="center" wrapText="1"/>
    </xf>
    <xf numFmtId="0" fontId="80" fillId="0" borderId="3" applyAlignment="1" pivotButton="0" quotePrefix="0" xfId="1">
      <alignment horizontal="center" vertical="center" wrapText="1"/>
    </xf>
    <xf numFmtId="0" fontId="80" fillId="0" borderId="8" applyAlignment="1" pivotButton="0" quotePrefix="0" xfId="1">
      <alignment horizontal="left"/>
    </xf>
    <xf numFmtId="0" fontId="80" fillId="0" borderId="5" applyAlignment="1" pivotButton="0" quotePrefix="0" xfId="1">
      <alignment horizontal="center" vertical="top"/>
    </xf>
    <xf numFmtId="0" fontId="80" fillId="0" borderId="4" applyAlignment="1" pivotButton="0" quotePrefix="0" xfId="1">
      <alignment horizontal="center" vertical="top"/>
    </xf>
    <xf numFmtId="0" fontId="80" fillId="0" borderId="3" applyAlignment="1" pivotButton="0" quotePrefix="0" xfId="1">
      <alignment horizontal="center" vertical="top"/>
    </xf>
    <xf numFmtId="0" fontId="80" fillId="0" borderId="5" applyAlignment="1" pivotButton="0" quotePrefix="0" xfId="1">
      <alignment horizontal="center" vertical="center"/>
    </xf>
    <xf numFmtId="0" fontId="80" fillId="0" borderId="4" applyAlignment="1" pivotButton="0" quotePrefix="0" xfId="1">
      <alignment horizontal="center" vertical="center"/>
    </xf>
    <xf numFmtId="0" fontId="80" fillId="0" borderId="3" applyAlignment="1" pivotButton="0" quotePrefix="0" xfId="1">
      <alignment horizontal="center" vertical="center"/>
    </xf>
    <xf numFmtId="164" fontId="2" fillId="0" borderId="17" applyAlignment="1" pivotButton="0" quotePrefix="0" xfId="1">
      <alignment horizontal="center" vertical="center"/>
    </xf>
    <xf numFmtId="0" fontId="80" fillId="0" borderId="2" applyAlignment="1" pivotButton="0" quotePrefix="0" xfId="1">
      <alignment horizontal="center" vertical="center"/>
    </xf>
    <xf numFmtId="164" fontId="2" fillId="0" borderId="2" applyAlignment="1" pivotButton="0" quotePrefix="0" xfId="1">
      <alignment horizontal="center" vertical="center"/>
    </xf>
    <xf numFmtId="0" fontId="2" fillId="0" borderId="5" applyAlignment="1" pivotButton="0" quotePrefix="0" xfId="1">
      <alignment horizontal="left" vertical="center" wrapText="1"/>
    </xf>
    <xf numFmtId="0" fontId="2" fillId="0" borderId="4" applyAlignment="1" pivotButton="0" quotePrefix="0" xfId="1">
      <alignment horizontal="left" vertical="center" wrapText="1"/>
    </xf>
    <xf numFmtId="0" fontId="2" fillId="0" borderId="3" applyAlignment="1" pivotButton="0" quotePrefix="0" xfId="1">
      <alignment horizontal="left" vertical="center" wrapText="1"/>
    </xf>
    <xf numFmtId="0" fontId="80" fillId="0" borderId="10" applyAlignment="1" pivotButton="0" quotePrefix="0" xfId="1">
      <alignment horizontal="right"/>
    </xf>
    <xf numFmtId="0" fontId="80" fillId="0" borderId="9" applyAlignment="1" pivotButton="0" quotePrefix="0" xfId="1">
      <alignment horizontal="right"/>
    </xf>
    <xf numFmtId="2" fontId="2" fillId="0" borderId="2" applyAlignment="1" pivotButton="0" quotePrefix="0" xfId="1">
      <alignment horizontal="center" vertical="center"/>
    </xf>
    <xf numFmtId="0" fontId="2" fillId="0" borderId="2" applyAlignment="1" pivotButton="0" quotePrefix="0" xfId="1">
      <alignment horizontal="center" vertical="center"/>
    </xf>
    <xf numFmtId="0" fontId="80" fillId="0" borderId="25" applyAlignment="1" pivotButton="0" quotePrefix="0" xfId="1">
      <alignment horizontal="center" vertical="center"/>
    </xf>
    <xf numFmtId="0" fontId="80" fillId="0" borderId="26" applyAlignment="1" pivotButton="0" quotePrefix="0" xfId="1">
      <alignment horizontal="center" vertical="center"/>
    </xf>
    <xf numFmtId="0" fontId="80" fillId="0" borderId="27" applyAlignment="1" pivotButton="0" quotePrefix="0" xfId="1">
      <alignment horizontal="center" vertical="center"/>
    </xf>
    <xf numFmtId="0" fontId="80" fillId="0" borderId="11" applyAlignment="1" pivotButton="0" quotePrefix="0" xfId="1">
      <alignment horizontal="center" vertical="center"/>
    </xf>
    <xf numFmtId="0" fontId="80" fillId="0" borderId="0" applyAlignment="1" pivotButton="0" quotePrefix="0" xfId="1">
      <alignment horizontal="center" vertical="center"/>
    </xf>
    <xf numFmtId="0" fontId="80" fillId="0" borderId="12" applyAlignment="1" pivotButton="0" quotePrefix="0" xfId="1">
      <alignment horizontal="center" vertical="center"/>
    </xf>
    <xf numFmtId="164" fontId="2" fillId="0" borderId="25" applyAlignment="1" pivotButton="0" quotePrefix="0" xfId="1">
      <alignment horizontal="center" vertical="center"/>
    </xf>
    <xf numFmtId="164" fontId="2" fillId="0" borderId="26" applyAlignment="1" pivotButton="0" quotePrefix="0" xfId="1">
      <alignment horizontal="center" vertical="center"/>
    </xf>
    <xf numFmtId="164" fontId="2" fillId="0" borderId="27" applyAlignment="1" pivotButton="0" quotePrefix="0" xfId="1">
      <alignment horizontal="center" vertical="center"/>
    </xf>
    <xf numFmtId="164" fontId="2" fillId="0" borderId="11" applyAlignment="1" pivotButton="0" quotePrefix="0" xfId="1">
      <alignment horizontal="center" vertical="center"/>
    </xf>
    <xf numFmtId="164" fontId="2" fillId="0" borderId="0" applyAlignment="1" pivotButton="0" quotePrefix="0" xfId="1">
      <alignment horizontal="center" vertical="center"/>
    </xf>
    <xf numFmtId="164" fontId="2" fillId="0" borderId="12" applyAlignment="1" pivotButton="0" quotePrefix="0" xfId="1">
      <alignment horizontal="center" vertical="center"/>
    </xf>
    <xf numFmtId="49" fontId="2" fillId="0" borderId="11" applyAlignment="1" pivotButton="0" quotePrefix="0" xfId="1">
      <alignment horizontal="right"/>
    </xf>
    <xf numFmtId="49" fontId="2" fillId="0" borderId="0" applyAlignment="1" pivotButton="0" quotePrefix="0" xfId="1">
      <alignment horizontal="right"/>
    </xf>
    <xf numFmtId="0" fontId="2" fillId="0" borderId="22" applyAlignment="1" pivotButton="0" quotePrefix="0" xfId="1">
      <alignment horizontal="left" vertical="center" wrapText="1"/>
    </xf>
    <xf numFmtId="0" fontId="2" fillId="0" borderId="24" applyAlignment="1" pivotButton="0" quotePrefix="0" xfId="1">
      <alignment horizontal="left" vertical="center" wrapText="1"/>
    </xf>
    <xf numFmtId="0" fontId="2" fillId="0" borderId="23" applyAlignment="1" pivotButton="0" quotePrefix="0" xfId="1">
      <alignment horizontal="left" vertical="center" wrapText="1"/>
    </xf>
    <xf numFmtId="0" fontId="80" fillId="0" borderId="17" applyAlignment="1" pivotButton="0" quotePrefix="0" xfId="1">
      <alignment horizontal="center" vertical="center"/>
    </xf>
    <xf numFmtId="0" fontId="56" fillId="0" borderId="0" applyAlignment="1" pivotButton="0" quotePrefix="0" xfId="1">
      <alignment horizontal="left" vertical="center" wrapText="1"/>
    </xf>
    <xf numFmtId="0" fontId="2" fillId="0" borderId="0" applyAlignment="1" pivotButton="0" quotePrefix="0" xfId="1">
      <alignment horizontal="center" wrapText="1"/>
    </xf>
    <xf numFmtId="49" fontId="2" fillId="0" borderId="1" applyAlignment="1" pivotButton="0" quotePrefix="0" xfId="1">
      <alignment horizontal="left"/>
    </xf>
    <xf numFmtId="0" fontId="2" fillId="0" borderId="0" applyAlignment="1" pivotButton="0" quotePrefix="0" xfId="1">
      <alignment horizontal="left"/>
    </xf>
    <xf numFmtId="0" fontId="2" fillId="0" borderId="12" applyAlignment="1" pivotButton="0" quotePrefix="0" xfId="1">
      <alignment horizontal="left"/>
    </xf>
    <xf numFmtId="49" fontId="2" fillId="0" borderId="25" applyAlignment="1" pivotButton="0" quotePrefix="0" xfId="1">
      <alignment horizontal="left" wrapText="1"/>
    </xf>
    <xf numFmtId="49" fontId="2" fillId="0" borderId="26" applyAlignment="1" pivotButton="0" quotePrefix="0" xfId="1">
      <alignment horizontal="left" wrapText="1"/>
    </xf>
    <xf numFmtId="49" fontId="2" fillId="0" borderId="27" applyAlignment="1" pivotButton="0" quotePrefix="0" xfId="1">
      <alignment horizontal="left" wrapText="1"/>
    </xf>
    <xf numFmtId="49" fontId="2" fillId="0" borderId="2" applyAlignment="1" pivotButton="0" quotePrefix="0" xfId="1">
      <alignment horizontal="center" vertical="center"/>
    </xf>
    <xf numFmtId="0" fontId="76" fillId="0" borderId="0" applyAlignment="1" pivotButton="0" quotePrefix="0" xfId="1">
      <alignment horizontal="center" wrapText="1"/>
    </xf>
    <xf numFmtId="0" fontId="76" fillId="0" borderId="0" applyAlignment="1" pivotButton="0" quotePrefix="0" xfId="1">
      <alignment horizontal="center"/>
    </xf>
    <xf numFmtId="0" fontId="78" fillId="0" borderId="10" applyAlignment="1" pivotButton="0" quotePrefix="0" xfId="1">
      <alignment horizontal="center" vertical="center" wrapText="1"/>
    </xf>
    <xf numFmtId="0" fontId="78" fillId="0" borderId="9" applyAlignment="1" pivotButton="0" quotePrefix="0" xfId="1">
      <alignment horizontal="center" vertical="center" wrapText="1"/>
    </xf>
    <xf numFmtId="0" fontId="78" fillId="0" borderId="8" applyAlignment="1" pivotButton="0" quotePrefix="0" xfId="1">
      <alignment horizontal="center" vertical="center" wrapText="1"/>
    </xf>
    <xf numFmtId="0" fontId="78" fillId="0" borderId="11" applyAlignment="1" pivotButton="0" quotePrefix="0" xfId="1">
      <alignment horizontal="center" vertical="center" wrapText="1"/>
    </xf>
    <xf numFmtId="0" fontId="78" fillId="0" borderId="0" applyAlignment="1" pivotButton="0" quotePrefix="0" xfId="1">
      <alignment horizontal="center" vertical="center" wrapText="1"/>
    </xf>
    <xf numFmtId="0" fontId="78" fillId="0" borderId="12" applyAlignment="1" pivotButton="0" quotePrefix="0" xfId="1">
      <alignment horizontal="center" vertical="center" wrapText="1"/>
    </xf>
    <xf numFmtId="0" fontId="78" fillId="0" borderId="7" applyAlignment="1" pivotButton="0" quotePrefix="0" xfId="1">
      <alignment horizontal="center" vertical="center" wrapText="1"/>
    </xf>
    <xf numFmtId="0" fontId="78" fillId="0" borderId="1" applyAlignment="1" pivotButton="0" quotePrefix="0" xfId="1">
      <alignment horizontal="center" vertical="center" wrapText="1"/>
    </xf>
    <xf numFmtId="0" fontId="78" fillId="0" borderId="6" applyAlignment="1" pivotButton="0" quotePrefix="0" xfId="1">
      <alignment horizontal="center" vertical="center" wrapText="1"/>
    </xf>
    <xf numFmtId="0" fontId="78" fillId="0" borderId="10" applyAlignment="1" pivotButton="0" quotePrefix="0" xfId="1">
      <alignment horizontal="right"/>
    </xf>
    <xf numFmtId="0" fontId="78" fillId="0" borderId="9" applyAlignment="1" pivotButton="0" quotePrefix="0" xfId="1">
      <alignment horizontal="right"/>
    </xf>
    <xf numFmtId="49" fontId="78" fillId="0" borderId="4" applyAlignment="1" pivotButton="0" quotePrefix="0" xfId="1">
      <alignment horizontal="center"/>
    </xf>
    <xf numFmtId="0" fontId="78" fillId="0" borderId="9" applyAlignment="1" pivotButton="0" quotePrefix="0" xfId="1">
      <alignment horizontal="left"/>
    </xf>
    <xf numFmtId="0" fontId="78" fillId="0" borderId="8" applyAlignment="1" pivotButton="0" quotePrefix="0" xfId="1">
      <alignment horizontal="left"/>
    </xf>
    <xf numFmtId="0" fontId="78" fillId="0" borderId="11" applyAlignment="1" pivotButton="0" quotePrefix="0" xfId="1">
      <alignment horizontal="right"/>
    </xf>
    <xf numFmtId="0" fontId="78" fillId="0" borderId="0" applyAlignment="1" pivotButton="0" quotePrefix="0" xfId="1">
      <alignment horizontal="right"/>
    </xf>
    <xf numFmtId="49" fontId="78" fillId="0" borderId="9" applyAlignment="1" pivotButton="0" quotePrefix="0" xfId="1">
      <alignment horizontal="center"/>
    </xf>
    <xf numFmtId="49" fontId="78" fillId="0" borderId="1" applyAlignment="1" pivotButton="0" quotePrefix="0" xfId="1">
      <alignment horizontal="center"/>
    </xf>
    <xf numFmtId="0" fontId="78" fillId="0" borderId="0" applyAlignment="1" pivotButton="0" quotePrefix="0" xfId="1">
      <alignment horizontal="left"/>
    </xf>
    <xf numFmtId="0" fontId="78" fillId="0" borderId="12" applyAlignment="1" pivotButton="0" quotePrefix="0" xfId="1">
      <alignment horizontal="left"/>
    </xf>
    <xf numFmtId="0" fontId="78" fillId="0" borderId="7" applyAlignment="1" pivotButton="0" quotePrefix="0" xfId="1">
      <alignment horizontal="center"/>
    </xf>
    <xf numFmtId="0" fontId="78" fillId="0" borderId="1" applyAlignment="1" pivotButton="0" quotePrefix="0" xfId="1">
      <alignment horizontal="center"/>
    </xf>
    <xf numFmtId="0" fontId="78" fillId="0" borderId="6" applyAlignment="1" pivotButton="0" quotePrefix="0" xfId="1">
      <alignment horizontal="center"/>
    </xf>
    <xf numFmtId="0" fontId="78" fillId="0" borderId="5" applyAlignment="1" pivotButton="0" quotePrefix="0" xfId="1">
      <alignment horizontal="center" vertical="center"/>
    </xf>
    <xf numFmtId="0" fontId="78" fillId="0" borderId="4" applyAlignment="1" pivotButton="0" quotePrefix="0" xfId="1">
      <alignment horizontal="center" vertical="center"/>
    </xf>
    <xf numFmtId="0" fontId="78" fillId="0" borderId="3" applyAlignment="1" pivotButton="0" quotePrefix="0" xfId="1">
      <alignment horizontal="center" vertical="center"/>
    </xf>
    <xf numFmtId="0" fontId="78" fillId="0" borderId="7" applyAlignment="1" pivotButton="0" quotePrefix="0" xfId="1">
      <alignment vertical="top"/>
    </xf>
    <xf numFmtId="0" fontId="78" fillId="0" borderId="1" applyAlignment="1" pivotButton="0" quotePrefix="0" xfId="1">
      <alignment vertical="top"/>
    </xf>
    <xf numFmtId="0" fontId="78" fillId="0" borderId="6" applyAlignment="1" pivotButton="0" quotePrefix="0" xfId="1">
      <alignment vertical="top"/>
    </xf>
    <xf numFmtId="0" fontId="78" fillId="0" borderId="10" applyAlignment="1" pivotButton="0" quotePrefix="0" xfId="1">
      <alignment horizontal="right" vertical="center" textRotation="90" wrapText="1"/>
    </xf>
    <xf numFmtId="0" fontId="78" fillId="0" borderId="9" applyAlignment="1" pivotButton="0" quotePrefix="0" xfId="1">
      <alignment horizontal="right" vertical="center" textRotation="90" wrapText="1"/>
    </xf>
    <xf numFmtId="0" fontId="78" fillId="0" borderId="11" applyAlignment="1" pivotButton="0" quotePrefix="0" xfId="1">
      <alignment horizontal="right" vertical="center" textRotation="90" wrapText="1"/>
    </xf>
    <xf numFmtId="0" fontId="78" fillId="0" borderId="0" applyAlignment="1" pivotButton="0" quotePrefix="0" xfId="1">
      <alignment horizontal="right" vertical="center" textRotation="90" wrapText="1"/>
    </xf>
    <xf numFmtId="0" fontId="78" fillId="0" borderId="7" applyAlignment="1" pivotButton="0" quotePrefix="0" xfId="1">
      <alignment horizontal="right" vertical="center" textRotation="90" wrapText="1"/>
    </xf>
    <xf numFmtId="0" fontId="78" fillId="0" borderId="1" applyAlignment="1" pivotButton="0" quotePrefix="0" xfId="1">
      <alignment horizontal="right" vertical="center" textRotation="90" wrapText="1"/>
    </xf>
    <xf numFmtId="0" fontId="78" fillId="0" borderId="9" applyAlignment="1" pivotButton="0" quotePrefix="0" xfId="1">
      <alignment horizontal="right" textRotation="90"/>
    </xf>
    <xf numFmtId="0" fontId="81" fillId="0" borderId="9" applyAlignment="1" pivotButton="0" quotePrefix="0" xfId="1">
      <alignment horizontal="right" textRotation="90"/>
    </xf>
    <xf numFmtId="0" fontId="81" fillId="0" borderId="0" applyAlignment="1" pivotButton="0" quotePrefix="0" xfId="1">
      <alignment horizontal="right" textRotation="90"/>
    </xf>
    <xf numFmtId="0" fontId="78" fillId="0" borderId="8" applyAlignment="1" pivotButton="0" quotePrefix="0" xfId="1">
      <alignment horizontal="right"/>
    </xf>
    <xf numFmtId="0" fontId="78" fillId="0" borderId="12" applyAlignment="1" pivotButton="0" quotePrefix="0" xfId="1">
      <alignment horizontal="right"/>
    </xf>
    <xf numFmtId="0" fontId="78" fillId="0" borderId="1" applyAlignment="1" pivotButton="0" quotePrefix="0" xfId="1">
      <alignment horizontal="right"/>
    </xf>
    <xf numFmtId="0" fontId="78" fillId="0" borderId="6" applyAlignment="1" pivotButton="0" quotePrefix="0" xfId="1">
      <alignment horizontal="right"/>
    </xf>
    <xf numFmtId="0" fontId="81" fillId="0" borderId="10" applyAlignment="1" pivotButton="0" quotePrefix="0" xfId="1">
      <alignment horizontal="right" textRotation="90"/>
    </xf>
    <xf numFmtId="0" fontId="78" fillId="0" borderId="9" applyAlignment="1" pivotButton="0" quotePrefix="0" xfId="1">
      <alignment horizontal="left" vertical="center" textRotation="90"/>
    </xf>
    <xf numFmtId="0" fontId="78" fillId="0" borderId="8" applyAlignment="1" pivotButton="0" quotePrefix="0" xfId="1">
      <alignment horizontal="left" vertical="center" textRotation="90"/>
    </xf>
    <xf numFmtId="0" fontId="78" fillId="0" borderId="0" applyAlignment="1" pivotButton="0" quotePrefix="0" xfId="1">
      <alignment horizontal="left" vertical="center" textRotation="90"/>
    </xf>
    <xf numFmtId="0" fontId="78" fillId="0" borderId="12" applyAlignment="1" pivotButton="0" quotePrefix="0" xfId="1">
      <alignment horizontal="left" vertical="center" textRotation="90"/>
    </xf>
    <xf numFmtId="0" fontId="78" fillId="0" borderId="1" applyAlignment="1" pivotButton="0" quotePrefix="0" xfId="1">
      <alignment horizontal="left" vertical="center" textRotation="90"/>
    </xf>
    <xf numFmtId="0" fontId="78" fillId="0" borderId="6" applyAlignment="1" pivotButton="0" quotePrefix="0" xfId="1">
      <alignment horizontal="left" vertical="center" textRotation="90"/>
    </xf>
    <xf numFmtId="0" fontId="78" fillId="0" borderId="10" applyAlignment="1" pivotButton="0" quotePrefix="0" xfId="1">
      <alignment horizontal="center" vertical="center" textRotation="90" wrapText="1"/>
    </xf>
    <xf numFmtId="0" fontId="78" fillId="0" borderId="9" applyAlignment="1" pivotButton="0" quotePrefix="0" xfId="1">
      <alignment horizontal="center" vertical="center" textRotation="90" wrapText="1"/>
    </xf>
    <xf numFmtId="0" fontId="78" fillId="0" borderId="8" applyAlignment="1" pivotButton="0" quotePrefix="0" xfId="1">
      <alignment horizontal="center" vertical="center" textRotation="90" wrapText="1"/>
    </xf>
    <xf numFmtId="0" fontId="78" fillId="0" borderId="11" applyAlignment="1" pivotButton="0" quotePrefix="0" xfId="1">
      <alignment horizontal="center" vertical="center" textRotation="90" wrapText="1"/>
    </xf>
    <xf numFmtId="0" fontId="78" fillId="0" borderId="0" applyAlignment="1" pivotButton="0" quotePrefix="0" xfId="1">
      <alignment horizontal="center" vertical="center" textRotation="90" wrapText="1"/>
    </xf>
    <xf numFmtId="0" fontId="78" fillId="0" borderId="12" applyAlignment="1" pivotButton="0" quotePrefix="0" xfId="1">
      <alignment horizontal="center" vertical="center" textRotation="90" wrapText="1"/>
    </xf>
    <xf numFmtId="0" fontId="78" fillId="0" borderId="7" applyAlignment="1" pivotButton="0" quotePrefix="0" xfId="1">
      <alignment horizontal="center" vertical="center" textRotation="90" wrapText="1"/>
    </xf>
    <xf numFmtId="0" fontId="78" fillId="0" borderId="1" applyAlignment="1" pivotButton="0" quotePrefix="0" xfId="1">
      <alignment horizontal="center" vertical="center" textRotation="90" wrapText="1"/>
    </xf>
    <xf numFmtId="0" fontId="78" fillId="0" borderId="6" applyAlignment="1" pivotButton="0" quotePrefix="0" xfId="1">
      <alignment horizontal="center" vertical="center" textRotation="90" wrapText="1"/>
    </xf>
    <xf numFmtId="0" fontId="78" fillId="0" borderId="11" applyAlignment="1" pivotButton="0" quotePrefix="0" xfId="1">
      <alignment horizontal="right" vertical="center" textRotation="90"/>
    </xf>
    <xf numFmtId="0" fontId="78" fillId="0" borderId="0" applyAlignment="1" pivotButton="0" quotePrefix="0" xfId="1">
      <alignment horizontal="right" vertical="center" textRotation="90"/>
    </xf>
    <xf numFmtId="0" fontId="78" fillId="0" borderId="12" applyAlignment="1" pivotButton="0" quotePrefix="0" xfId="1">
      <alignment horizontal="right" vertical="center" textRotation="90"/>
    </xf>
    <xf numFmtId="0" fontId="2" fillId="0" borderId="2" applyAlignment="1" pivotButton="0" quotePrefix="0" xfId="1">
      <alignment horizontal="center" vertical="center"/>
    </xf>
    <xf numFmtId="0" fontId="78" fillId="0" borderId="11" applyAlignment="1" pivotButton="0" quotePrefix="0" xfId="1">
      <alignment horizontal="right" vertical="top" textRotation="90"/>
    </xf>
    <xf numFmtId="0" fontId="78" fillId="0" borderId="0" applyAlignment="1" pivotButton="0" quotePrefix="0" xfId="1">
      <alignment horizontal="right" vertical="top" textRotation="90"/>
    </xf>
    <xf numFmtId="0" fontId="78" fillId="0" borderId="7" applyAlignment="1" pivotButton="0" quotePrefix="0" xfId="1">
      <alignment horizontal="right" vertical="top" textRotation="90"/>
    </xf>
    <xf numFmtId="0" fontId="78" fillId="0" borderId="1" applyAlignment="1" pivotButton="0" quotePrefix="0" xfId="1">
      <alignment horizontal="right" vertical="top" textRotation="90"/>
    </xf>
    <xf numFmtId="0" fontId="78" fillId="0" borderId="2" applyAlignment="1" pivotButton="0" quotePrefix="0" xfId="1">
      <alignment horizontal="center" vertical="top"/>
    </xf>
    <xf numFmtId="49" fontId="78" fillId="0" borderId="5" applyAlignment="1" pivotButton="0" quotePrefix="0" xfId="1">
      <alignment horizontal="center" vertical="center"/>
    </xf>
    <xf numFmtId="49" fontId="78" fillId="0" borderId="4" applyAlignment="1" pivotButton="0" quotePrefix="0" xfId="1">
      <alignment horizontal="center" vertical="center"/>
    </xf>
    <xf numFmtId="49" fontId="78" fillId="0" borderId="3" applyAlignment="1" pivotButton="0" quotePrefix="0" xfId="1">
      <alignment horizontal="center" vertical="center"/>
    </xf>
    <xf numFmtId="0" fontId="78" fillId="0" borderId="5" applyAlignment="1" pivotButton="0" quotePrefix="0" xfId="1">
      <alignment horizontal="center" vertical="center" wrapText="1"/>
    </xf>
    <xf numFmtId="0" fontId="78" fillId="0" borderId="4" applyAlignment="1" pivotButton="0" quotePrefix="0" xfId="1">
      <alignment horizontal="center" vertical="center" wrapText="1"/>
    </xf>
    <xf numFmtId="0" fontId="78" fillId="0" borderId="3" applyAlignment="1" pivotButton="0" quotePrefix="0" xfId="1">
      <alignment horizontal="center" vertical="center" wrapText="1"/>
    </xf>
    <xf numFmtId="0" fontId="78" fillId="0" borderId="7" applyAlignment="1" pivotButton="0" quotePrefix="0" xfId="1">
      <alignment horizontal="right" vertical="center"/>
    </xf>
    <xf numFmtId="0" fontId="78" fillId="0" borderId="1" applyAlignment="1" pivotButton="0" quotePrefix="0" xfId="1">
      <alignment horizontal="right" vertical="center"/>
    </xf>
    <xf numFmtId="0" fontId="78" fillId="0" borderId="6" applyAlignment="1" pivotButton="0" quotePrefix="0" xfId="1">
      <alignment horizontal="right" vertical="center"/>
    </xf>
    <xf numFmtId="0" fontId="78" fillId="0" borderId="2" applyAlignment="1" pivotButton="0" quotePrefix="0" xfId="1">
      <alignment horizontal="center" vertical="center"/>
    </xf>
    <xf numFmtId="0" fontId="78" fillId="0" borderId="5" applyAlignment="1" pivotButton="0" quotePrefix="0" xfId="1">
      <alignment horizontal="left" vertical="center" wrapText="1"/>
    </xf>
    <xf numFmtId="0" fontId="78" fillId="0" borderId="4" applyAlignment="1" pivotButton="0" quotePrefix="0" xfId="1">
      <alignment horizontal="left" vertical="center" wrapText="1"/>
    </xf>
    <xf numFmtId="0" fontId="78" fillId="0" borderId="3" applyAlignment="1" pivotButton="0" quotePrefix="0" xfId="1">
      <alignment horizontal="left" vertical="center" wrapText="1"/>
    </xf>
    <xf numFmtId="0" fontId="2" fillId="0" borderId="2" applyAlignment="1" pivotButton="0" quotePrefix="1" xfId="1">
      <alignment horizontal="center" vertical="center"/>
    </xf>
    <xf numFmtId="164" fontId="77" fillId="0" borderId="2" applyAlignment="1" pivotButton="0" quotePrefix="0" xfId="1">
      <alignment horizontal="center" vertical="center"/>
    </xf>
    <xf numFmtId="0" fontId="3" fillId="0" borderId="0" applyAlignment="1" pivotButton="0" quotePrefix="0" xfId="1">
      <alignment horizontal="center"/>
    </xf>
    <xf numFmtId="0" fontId="78" fillId="0" borderId="5" applyAlignment="1" pivotButton="0" quotePrefix="0" xfId="1">
      <alignment horizontal="right" vertical="center" wrapText="1"/>
    </xf>
    <xf numFmtId="0" fontId="78" fillId="0" borderId="4" applyAlignment="1" pivotButton="0" quotePrefix="0" xfId="1">
      <alignment horizontal="right" vertical="center"/>
    </xf>
    <xf numFmtId="0" fontId="78" fillId="0" borderId="3" applyAlignment="1" pivotButton="0" quotePrefix="0" xfId="1">
      <alignment horizontal="right" vertical="center"/>
    </xf>
    <xf numFmtId="49" fontId="18" fillId="6" borderId="2" applyAlignment="1" pivotButton="0" quotePrefix="0" xfId="1">
      <alignment horizontal="center" vertical="center" wrapText="1"/>
    </xf>
    <xf numFmtId="0" fontId="0" fillId="0" borderId="1" pivotButton="0" quotePrefix="0" xfId="0"/>
    <xf numFmtId="0" fontId="0" fillId="0" borderId="3" pivotButton="0" quotePrefix="0" xfId="0"/>
    <xf numFmtId="0" fontId="18" fillId="0" borderId="5" applyAlignment="1" pivotButton="0" quotePrefix="0" xfId="1">
      <alignment horizontal="center" vertical="center" wrapText="1"/>
    </xf>
    <xf numFmtId="0" fontId="0" fillId="0" borderId="4" pivotButton="0" quotePrefix="0" xfId="0"/>
    <xf numFmtId="0" fontId="0" fillId="0" borderId="13" pivotButton="0" quotePrefix="0" xfId="0"/>
    <xf numFmtId="0" fontId="0" fillId="0" borderId="7" pivotButton="0" quotePrefix="0" xfId="0"/>
    <xf numFmtId="164" fontId="18" fillId="0" borderId="2" applyAlignment="1" pivotButton="0" quotePrefix="0" xfId="1">
      <alignment horizontal="center" vertical="center"/>
    </xf>
    <xf numFmtId="0" fontId="0" fillId="0" borderId="9" pivotButton="0" quotePrefix="0" xfId="0"/>
    <xf numFmtId="0" fontId="0" fillId="0" borderId="8" pivotButton="0" quotePrefix="0" xfId="0"/>
    <xf numFmtId="0" fontId="0" fillId="0" borderId="15" pivotButton="0" quotePrefix="0" xfId="0"/>
    <xf numFmtId="0" fontId="0" fillId="0" borderId="11" pivotButton="0" quotePrefix="0" xfId="0"/>
    <xf numFmtId="0" fontId="0" fillId="0" borderId="12" pivotButton="0" quotePrefix="0" xfId="0"/>
    <xf numFmtId="0" fontId="0" fillId="0" borderId="6" pivotButton="0" quotePrefix="0" xfId="0"/>
    <xf numFmtId="164" fontId="16" fillId="0" borderId="2" applyAlignment="1" pivotButton="0" quotePrefix="0" xfId="1">
      <alignment horizontal="center" vertical="center" wrapText="1"/>
    </xf>
    <xf numFmtId="164" fontId="22" fillId="0" borderId="2" applyAlignment="1" pivotButton="0" quotePrefix="0" xfId="1">
      <alignment horizontal="center" vertical="center" wrapText="1"/>
    </xf>
    <xf numFmtId="164" fontId="16" fillId="7" borderId="2" applyAlignment="1" pivotButton="0" quotePrefix="0" xfId="1">
      <alignment horizontal="center" vertical="center" wrapText="1"/>
    </xf>
    <xf numFmtId="164" fontId="22" fillId="7" borderId="2" applyAlignment="1" pivotButton="0" quotePrefix="0" xfId="1">
      <alignment horizontal="center" vertical="center" wrapText="1"/>
    </xf>
    <xf numFmtId="164" fontId="16" fillId="7" borderId="2" applyAlignment="1" pivotButton="0" quotePrefix="1" xfId="1">
      <alignment horizontal="center" vertical="center" wrapText="1"/>
    </xf>
    <xf numFmtId="164" fontId="3" fillId="0" borderId="2" applyAlignment="1" pivotButton="0" quotePrefix="0" xfId="1">
      <alignment horizontal="center" vertical="center" wrapText="1"/>
    </xf>
    <xf numFmtId="173" fontId="16" fillId="0" borderId="2" applyAlignment="1" pivotButton="0" quotePrefix="0" xfId="1">
      <alignment horizontal="center"/>
    </xf>
    <xf numFmtId="164" fontId="22" fillId="0" borderId="2" applyAlignment="1" pivotButton="0" quotePrefix="0" xfId="0">
      <alignment horizontal="center" vertical="center" wrapText="1"/>
    </xf>
    <xf numFmtId="164" fontId="16" fillId="7" borderId="2" applyAlignment="1" pivotButton="0" quotePrefix="0" xfId="0">
      <alignment horizontal="center" vertical="center" wrapText="1"/>
    </xf>
    <xf numFmtId="164" fontId="22" fillId="7" borderId="2" applyAlignment="1" pivotButton="0" quotePrefix="0" xfId="0">
      <alignment horizontal="center" vertical="center" wrapText="1"/>
    </xf>
    <xf numFmtId="0" fontId="45" fillId="0" borderId="13" applyAlignment="1" pivotButton="0" quotePrefix="0" xfId="1">
      <alignment horizontal="center" vertical="top"/>
    </xf>
    <xf numFmtId="164" fontId="45" fillId="0" borderId="2" applyAlignment="1" pivotButton="0" quotePrefix="0" xfId="1">
      <alignment horizontal="center" vertical="center"/>
    </xf>
    <xf numFmtId="169" fontId="45" fillId="0" borderId="2" applyAlignment="1" pivotButton="0" quotePrefix="0" xfId="1">
      <alignment horizontal="center" vertical="center"/>
    </xf>
    <xf numFmtId="2" fontId="45" fillId="0" borderId="2" applyAlignment="1" pivotButton="0" quotePrefix="0" xfId="1">
      <alignment horizontal="center" vertical="center"/>
    </xf>
    <xf numFmtId="0" fontId="45" fillId="0" borderId="2" applyAlignment="1" pivotButton="0" quotePrefix="0" xfId="1">
      <alignment horizontal="left" vertical="center" wrapText="1" indent="1"/>
    </xf>
    <xf numFmtId="164" fontId="87" fillId="0" borderId="2" applyAlignment="1" pivotButton="0" quotePrefix="0" xfId="1">
      <alignment horizontal="center" vertical="center"/>
    </xf>
    <xf numFmtId="0" fontId="45" fillId="0" borderId="14" applyAlignment="1" pivotButton="0" quotePrefix="0" xfId="1">
      <alignment horizontal="center" vertical="center" wrapText="1"/>
    </xf>
    <xf numFmtId="49" fontId="45" fillId="0" borderId="14" applyAlignment="1" pivotButton="0" quotePrefix="0" xfId="1">
      <alignment horizontal="center" vertical="center"/>
    </xf>
    <xf numFmtId="169" fontId="86" fillId="0" borderId="0" applyAlignment="1" pivotButton="0" quotePrefix="0" xfId="1">
      <alignment horizontal="left"/>
    </xf>
    <xf numFmtId="0" fontId="0" fillId="0" borderId="0" applyProtection="1" pivotButton="0" quotePrefix="0" xfId="0">
      <protection locked="0" hidden="0"/>
    </xf>
    <xf numFmtId="0" fontId="20" fillId="0" borderId="2" applyAlignment="1" pivotButton="0" quotePrefix="0" xfId="1">
      <alignment horizontal="center" vertical="center" textRotation="90"/>
    </xf>
    <xf numFmtId="164" fontId="19" fillId="0" borderId="14" applyAlignment="1" pivotButton="0" quotePrefix="0" xfId="1">
      <alignment horizontal="center" vertical="center"/>
    </xf>
    <xf numFmtId="164" fontId="19" fillId="0" borderId="5" applyAlignment="1" pivotButton="0" quotePrefix="0" xfId="1">
      <alignment horizontal="center" vertical="center"/>
    </xf>
    <xf numFmtId="164" fontId="19" fillId="0" borderId="2" applyAlignment="1" pivotButton="0" quotePrefix="0" xfId="1">
      <alignment horizontal="center" vertical="center"/>
    </xf>
    <xf numFmtId="164" fontId="18" fillId="0" borderId="5" applyAlignment="1" pivotButton="0" quotePrefix="0" xfId="1">
      <alignment horizontal="center" vertical="center"/>
    </xf>
    <xf numFmtId="164" fontId="18" fillId="6" borderId="5" applyAlignment="1" pivotButton="0" quotePrefix="0" xfId="1">
      <alignment horizontal="center" vertical="center"/>
    </xf>
    <xf numFmtId="164" fontId="18" fillId="6" borderId="2" applyAlignment="1" pivotButton="0" quotePrefix="0" xfId="1">
      <alignment horizontal="center" vertical="center"/>
    </xf>
    <xf numFmtId="164" fontId="16" fillId="0" borderId="0" applyAlignment="1" pivotButton="0" quotePrefix="0" xfId="1">
      <alignment horizontal="center"/>
    </xf>
    <xf numFmtId="49" fontId="20" fillId="0" borderId="2" applyAlignment="1" pivotButton="0" quotePrefix="0" xfId="50">
      <alignment horizontal="center" vertical="center" wrapText="1"/>
    </xf>
    <xf numFmtId="164" fontId="18" fillId="0" borderId="2" applyAlignment="1" pivotButton="0" quotePrefix="0" xfId="0">
      <alignment horizontal="center" vertical="center" wrapText="1"/>
    </xf>
    <xf numFmtId="164" fontId="18" fillId="0" borderId="3" applyAlignment="1" pivotButton="0" quotePrefix="0" xfId="50">
      <alignment horizontal="center" vertical="center" wrapText="1"/>
    </xf>
    <xf numFmtId="164" fontId="18" fillId="0" borderId="2" applyAlignment="1" pivotButton="0" quotePrefix="1" xfId="0">
      <alignment horizontal="center" vertical="center" wrapText="1"/>
    </xf>
    <xf numFmtId="0" fontId="22" fillId="0" borderId="2" applyAlignment="1" pivotButton="0" quotePrefix="0" xfId="50">
      <alignment horizontal="right" vertical="center" wrapText="1"/>
    </xf>
    <xf numFmtId="164" fontId="92" fillId="0" borderId="2" applyAlignment="1" pivotButton="0" quotePrefix="0" xfId="50">
      <alignment horizontal="center" vertical="center" wrapText="1"/>
    </xf>
    <xf numFmtId="164" fontId="2" fillId="6" borderId="2" applyAlignment="1" pivotButton="0" quotePrefix="0" xfId="0">
      <alignment horizontal="center" vertical="center" wrapText="1"/>
    </xf>
    <xf numFmtId="168" fontId="20" fillId="6" borderId="2" applyAlignment="1" pivotButton="0" quotePrefix="0" xfId="0">
      <alignment horizontal="center" vertical="center" wrapText="1"/>
    </xf>
    <xf numFmtId="168" fontId="20" fillId="6" borderId="0" applyAlignment="1" pivotButton="0" quotePrefix="0" xfId="0">
      <alignment horizontal="center" vertical="center" wrapText="1"/>
    </xf>
    <xf numFmtId="166" fontId="20" fillId="0" borderId="2" applyAlignment="1" pivotButton="0" quotePrefix="0" xfId="0">
      <alignment horizontal="center" vertical="center" wrapText="1"/>
    </xf>
    <xf numFmtId="0" fontId="20" fillId="0" borderId="3" applyAlignment="1" pivotButton="0" quotePrefix="0" xfId="38">
      <alignment horizontal="center" vertical="center" wrapText="1"/>
    </xf>
    <xf numFmtId="171" fontId="20" fillId="0" borderId="2" applyAlignment="1" pivotButton="0" quotePrefix="0" xfId="38">
      <alignment horizontal="center" vertical="center" wrapText="1"/>
    </xf>
    <xf numFmtId="0" fontId="20" fillId="0" borderId="5" applyAlignment="1" pivotButton="0" quotePrefix="0" xfId="38">
      <alignment horizontal="center" vertical="center" wrapText="1"/>
    </xf>
    <xf numFmtId="165" fontId="20" fillId="0" borderId="0" applyAlignment="1" pivotButton="0" quotePrefix="0" xfId="38">
      <alignment horizontal="center" vertical="center" wrapText="1"/>
    </xf>
    <xf numFmtId="166" fontId="20" fillId="0" borderId="2" applyAlignment="1" pivotButton="0" quotePrefix="0" xfId="4">
      <alignment horizontal="right" vertical="center"/>
    </xf>
    <xf numFmtId="49" fontId="20" fillId="0" borderId="17" applyAlignment="1" pivotButton="0" quotePrefix="0" xfId="5">
      <alignment horizontal="left" vertical="center" wrapText="1"/>
    </xf>
    <xf numFmtId="0" fontId="0" fillId="0" borderId="23" pivotButton="0" quotePrefix="0" xfId="0"/>
    <xf numFmtId="49" fontId="20" fillId="0" borderId="13" applyAlignment="1" pivotButton="0" quotePrefix="0" xfId="5">
      <alignment horizontal="left" vertical="center" wrapText="1"/>
    </xf>
    <xf numFmtId="49" fontId="20" fillId="0" borderId="2" applyAlignment="1" pivotButton="0" quotePrefix="0" xfId="5">
      <alignment horizontal="left" vertical="center" wrapText="1"/>
    </xf>
    <xf numFmtId="168" fontId="20" fillId="0" borderId="2" applyAlignment="1" pivotButton="0" quotePrefix="0" xfId="2">
      <alignment horizontal="center" vertical="center"/>
    </xf>
    <xf numFmtId="166" fontId="3" fillId="0" borderId="5" applyAlignment="1" pivotButton="0" quotePrefix="0" xfId="1">
      <alignment horizontal="center" vertical="center"/>
    </xf>
    <xf numFmtId="166" fontId="3" fillId="0" borderId="2" applyAlignment="1" pivotButton="0" quotePrefix="0" xfId="1">
      <alignment horizontal="center" vertical="center"/>
    </xf>
    <xf numFmtId="166" fontId="16" fillId="0" borderId="11" applyAlignment="1" pivotButton="0" quotePrefix="0" xfId="1">
      <alignment horizontal="center" vertical="center"/>
    </xf>
    <xf numFmtId="49" fontId="21" fillId="0" borderId="5" applyAlignment="1" pivotButton="0" quotePrefix="0" xfId="1">
      <alignment horizontal="center" vertical="top" wrapText="1"/>
    </xf>
    <xf numFmtId="49" fontId="119" fillId="0" borderId="5" applyAlignment="1" pivotButton="0" quotePrefix="0" xfId="1">
      <alignment horizontal="center" vertical="top" wrapText="1"/>
    </xf>
    <xf numFmtId="166" fontId="3" fillId="0" borderId="1" applyAlignment="1" pivotButton="0" quotePrefix="0" xfId="1">
      <alignment horizontal="center" vertical="center"/>
    </xf>
    <xf numFmtId="166" fontId="3" fillId="0" borderId="7" applyAlignment="1" pivotButton="0" quotePrefix="0" xfId="1">
      <alignment horizontal="center" vertical="center"/>
    </xf>
    <xf numFmtId="166" fontId="3" fillId="0" borderId="11" applyAlignment="1" pivotButton="0" quotePrefix="0" xfId="1">
      <alignment horizontal="center" vertical="center"/>
    </xf>
    <xf numFmtId="166" fontId="3" fillId="0" borderId="13" applyAlignment="1" pivotButton="0" quotePrefix="0" xfId="1">
      <alignment horizontal="center" vertical="center"/>
    </xf>
    <xf numFmtId="166" fontId="16" fillId="0" borderId="7" applyAlignment="1" pivotButton="0" quotePrefix="0" xfId="1">
      <alignment horizontal="center" vertical="center"/>
    </xf>
    <xf numFmtId="172" fontId="16" fillId="0" borderId="14" applyAlignment="1" pivotButton="0" quotePrefix="0" xfId="1">
      <alignment horizontal="center" vertical="center"/>
    </xf>
    <xf numFmtId="172" fontId="16" fillId="0" borderId="9" applyAlignment="1" pivotButton="0" quotePrefix="0" xfId="1">
      <alignment horizontal="center" vertical="center"/>
    </xf>
    <xf numFmtId="172" fontId="3" fillId="0" borderId="9" applyAlignment="1" pivotButton="0" quotePrefix="0" xfId="1">
      <alignment horizontal="center" vertical="center"/>
    </xf>
    <xf numFmtId="172" fontId="16" fillId="0" borderId="15" applyAlignment="1" pivotButton="0" quotePrefix="0" xfId="1">
      <alignment horizontal="center" vertical="center"/>
    </xf>
    <xf numFmtId="172" fontId="3" fillId="0" borderId="0" applyAlignment="1" pivotButton="0" quotePrefix="0" xfId="1">
      <alignment horizontal="center" vertical="center"/>
    </xf>
    <xf numFmtId="172" fontId="16" fillId="0" borderId="0" applyAlignment="1" pivotButton="0" quotePrefix="0" xfId="1">
      <alignment horizontal="center" vertical="center"/>
    </xf>
    <xf numFmtId="172" fontId="16" fillId="0" borderId="13" applyAlignment="1" pivotButton="0" quotePrefix="0" xfId="1">
      <alignment horizontal="center" vertical="center"/>
    </xf>
    <xf numFmtId="172" fontId="3" fillId="0" borderId="1" applyAlignment="1" pivotButton="0" quotePrefix="0" xfId="1">
      <alignment horizontal="center" vertical="center"/>
    </xf>
    <xf numFmtId="172" fontId="16" fillId="0" borderId="1" applyAlignment="1" pivotButton="0" quotePrefix="0" xfId="1">
      <alignment horizontal="center" vertical="center"/>
    </xf>
    <xf numFmtId="167" fontId="16" fillId="0" borderId="5" applyAlignment="1" pivotButton="0" quotePrefix="0" xfId="1">
      <alignment horizontal="center" vertical="center"/>
    </xf>
    <xf numFmtId="167" fontId="3" fillId="0" borderId="5" applyAlignment="1" pivotButton="0" quotePrefix="0" xfId="47">
      <alignment horizontal="center" vertical="center"/>
    </xf>
    <xf numFmtId="167" fontId="16" fillId="0" borderId="2" applyAlignment="1" pivotButton="0" quotePrefix="0" xfId="1">
      <alignment horizontal="center" vertical="center"/>
    </xf>
    <xf numFmtId="167" fontId="3" fillId="0" borderId="5" applyAlignment="1" pivotButton="0" quotePrefix="0" xfId="1">
      <alignment horizontal="center" vertical="center"/>
    </xf>
    <xf numFmtId="167" fontId="3" fillId="0" borderId="2" applyAlignment="1" pivotButton="0" quotePrefix="0" xfId="1">
      <alignment horizontal="center" vertical="center"/>
    </xf>
    <xf numFmtId="166" fontId="3" fillId="0" borderId="2" applyAlignment="1" pivotButton="0" quotePrefix="0" xfId="0">
      <alignment horizontal="center" vertical="center"/>
    </xf>
    <xf numFmtId="167" fontId="3" fillId="0" borderId="2" applyAlignment="1" pivotButton="0" quotePrefix="0" xfId="0">
      <alignment horizontal="center" vertical="center"/>
    </xf>
    <xf numFmtId="167" fontId="76" fillId="0" borderId="2" applyAlignment="1" pivotButton="0" quotePrefix="0" xfId="0">
      <alignment horizontal="center" vertical="center"/>
    </xf>
    <xf numFmtId="167" fontId="3" fillId="0" borderId="2" applyAlignment="1" pivotButton="0" quotePrefix="0" xfId="0">
      <alignment horizontal="center" vertical="center" wrapText="1"/>
    </xf>
    <xf numFmtId="168" fontId="3" fillId="0" borderId="0" applyAlignment="1" pivotButton="0" quotePrefix="0" xfId="0">
      <alignment horizontal="center" vertical="center"/>
    </xf>
    <xf numFmtId="0" fontId="17" fillId="0" borderId="2" applyAlignment="1" pivotButton="0" quotePrefix="0" xfId="1">
      <alignment horizontal="center" vertical="top" wrapText="1"/>
    </xf>
    <xf numFmtId="0" fontId="17" fillId="0" borderId="2" applyAlignment="1" pivotButton="0" quotePrefix="1" xfId="1">
      <alignment horizontal="center" vertical="top" wrapText="1"/>
    </xf>
    <xf numFmtId="49" fontId="16" fillId="0" borderId="17" applyAlignment="1" pivotButton="0" quotePrefix="0" xfId="5">
      <alignment horizontal="left" vertical="center" wrapText="1"/>
    </xf>
    <xf numFmtId="49" fontId="16" fillId="0" borderId="13" applyAlignment="1" pivotButton="0" quotePrefix="0" xfId="5">
      <alignment horizontal="left" vertical="center" wrapText="1"/>
    </xf>
    <xf numFmtId="170" fontId="20" fillId="0" borderId="2" applyAlignment="1" pivotButton="0" quotePrefix="0" xfId="6">
      <alignment horizontal="center" vertical="center"/>
    </xf>
    <xf numFmtId="0" fontId="20" fillId="0" borderId="17" applyAlignment="1" pivotButton="0" quotePrefix="0" xfId="6">
      <alignment horizontal="left" vertical="center" wrapText="1"/>
    </xf>
    <xf numFmtId="0" fontId="20" fillId="0" borderId="13" applyAlignment="1" pivotButton="0" quotePrefix="0" xfId="6">
      <alignment horizontal="left" vertical="center" wrapText="1"/>
    </xf>
    <xf numFmtId="0" fontId="20" fillId="0" borderId="2" applyAlignment="1" pivotButton="0" quotePrefix="0" xfId="6">
      <alignment horizontal="left" vertical="center" wrapText="1"/>
    </xf>
    <xf numFmtId="0" fontId="16" fillId="0" borderId="18" applyAlignment="1" pivotButton="0" quotePrefix="0" xfId="24">
      <alignment horizontal="center" vertical="center" wrapText="1"/>
    </xf>
    <xf numFmtId="0" fontId="0" fillId="0" borderId="20" pivotButton="0" quotePrefix="0" xfId="0"/>
    <xf numFmtId="0" fontId="16" fillId="0" borderId="2" applyAlignment="1" pivotButton="0" quotePrefix="0" xfId="24">
      <alignment horizontal="center" vertical="center" wrapText="1"/>
    </xf>
    <xf numFmtId="0" fontId="18" fillId="0" borderId="3" applyAlignment="1" pivotButton="0" quotePrefix="0" xfId="38">
      <alignment horizontal="center" vertical="center" wrapText="1"/>
    </xf>
    <xf numFmtId="164" fontId="18" fillId="0" borderId="2" applyAlignment="1" pivotButton="0" quotePrefix="0" xfId="38">
      <alignment horizontal="center" vertical="center" wrapText="1"/>
    </xf>
    <xf numFmtId="0" fontId="18" fillId="0" borderId="5" applyAlignment="1" pivotButton="0" quotePrefix="0" xfId="38">
      <alignment horizontal="center" vertical="center" wrapText="1"/>
    </xf>
    <xf numFmtId="0" fontId="18" fillId="0" borderId="2" applyAlignment="1" pivotButton="0" quotePrefix="0" xfId="38">
      <alignment horizontal="right" vertical="center" wrapText="1"/>
    </xf>
    <xf numFmtId="0" fontId="80" fillId="0" borderId="2" applyAlignment="1" pivotButton="0" quotePrefix="0" xfId="1">
      <alignment horizontal="center" vertical="center" wrapText="1"/>
    </xf>
    <xf numFmtId="0" fontId="80" fillId="0" borderId="2" applyAlignment="1" pivotButton="0" quotePrefix="0" xfId="1">
      <alignment horizontal="center" vertical="top"/>
    </xf>
    <xf numFmtId="0" fontId="2" fillId="0" borderId="2" applyAlignment="1" pivotButton="0" quotePrefix="0" xfId="1">
      <alignment horizontal="left" vertical="center" wrapText="1"/>
    </xf>
    <xf numFmtId="164" fontId="2" fillId="0" borderId="2" applyAlignment="1" pivotButton="0" quotePrefix="0" xfId="1">
      <alignment horizontal="center" vertical="center"/>
    </xf>
    <xf numFmtId="0" fontId="2" fillId="0" borderId="17" applyAlignment="1" pivotButton="0" quotePrefix="0" xfId="1">
      <alignment horizontal="left" vertical="center" wrapText="1"/>
    </xf>
    <xf numFmtId="0" fontId="0" fillId="0" borderId="24" pivotButton="0" quotePrefix="0" xfId="0"/>
    <xf numFmtId="164" fontId="2" fillId="0" borderId="17" applyAlignment="1" pivotButton="0" quotePrefix="0" xfId="1">
      <alignment horizontal="center" vertical="center"/>
    </xf>
    <xf numFmtId="49" fontId="2" fillId="0" borderId="29" applyAlignment="1" pivotButton="0" quotePrefix="0" xfId="1">
      <alignment horizontal="left" wrapText="1"/>
    </xf>
    <xf numFmtId="0" fontId="0" fillId="0" borderId="26" pivotButton="0" quotePrefix="0" xfId="0"/>
    <xf numFmtId="0" fontId="0" fillId="0" borderId="27" pivotButton="0" quotePrefix="0" xfId="0"/>
    <xf numFmtId="0" fontId="80" fillId="0" borderId="29" applyAlignment="1" pivotButton="0" quotePrefix="0" xfId="1">
      <alignment horizontal="center" vertical="center"/>
    </xf>
    <xf numFmtId="164" fontId="2" fillId="0" borderId="29" applyAlignment="1" pivotButton="0" quotePrefix="0" xfId="1">
      <alignment horizontal="center" vertical="center"/>
    </xf>
    <xf numFmtId="0" fontId="78" fillId="0" borderId="2" applyAlignment="1" pivotButton="0" quotePrefix="0" xfId="1">
      <alignment horizontal="center" vertical="center" wrapText="1"/>
    </xf>
    <xf numFmtId="0" fontId="78" fillId="0" borderId="13" applyAlignment="1" pivotButton="0" quotePrefix="0" xfId="1">
      <alignment horizontal="center"/>
    </xf>
    <xf numFmtId="0" fontId="78" fillId="0" borderId="13" applyAlignment="1" pivotButton="0" quotePrefix="0" xfId="1">
      <alignment vertical="top"/>
    </xf>
    <xf numFmtId="0" fontId="78" fillId="0" borderId="5" applyAlignment="1" pivotButton="0" quotePrefix="0" xfId="1">
      <alignment horizontal="right" vertical="center" textRotation="90" wrapText="1"/>
    </xf>
    <xf numFmtId="0" fontId="78" fillId="0" borderId="3" applyAlignment="1" pivotButton="0" quotePrefix="0" xfId="1">
      <alignment horizontal="right"/>
    </xf>
    <xf numFmtId="0" fontId="78" fillId="0" borderId="3" applyAlignment="1" pivotButton="0" quotePrefix="0" xfId="1">
      <alignment horizontal="left" vertical="center" textRotation="90"/>
    </xf>
    <xf numFmtId="0" fontId="78" fillId="0" borderId="2" applyAlignment="1" pivotButton="0" quotePrefix="0" xfId="1">
      <alignment horizontal="center" vertical="center" textRotation="90" wrapText="1"/>
    </xf>
    <xf numFmtId="0" fontId="78" fillId="0" borderId="15" applyAlignment="1" pivotButton="0" quotePrefix="0" xfId="1">
      <alignment horizontal="right" vertical="center" textRotation="90"/>
    </xf>
    <xf numFmtId="0" fontId="78" fillId="0" borderId="2" applyAlignment="1" pivotButton="0" quotePrefix="0" xfId="1">
      <alignment horizontal="left" vertical="center" wrapText="1"/>
    </xf>
    <xf numFmtId="0" fontId="78" fillId="0" borderId="13" applyAlignment="1" pivotButton="0" quotePrefix="0" xfId="1">
      <alignment horizontal="right" vertical="center"/>
    </xf>
    <xf numFmtId="164" fontId="77" fillId="0" borderId="2" applyAlignment="1" pivotButton="0" quotePrefix="0" xfId="1">
      <alignment horizontal="center" vertical="center"/>
    </xf>
    <xf numFmtId="49" fontId="78" fillId="0" borderId="2" applyAlignment="1" pivotButton="0" quotePrefix="0" xfId="1">
      <alignment horizontal="center" vertical="center"/>
    </xf>
    <xf numFmtId="0" fontId="78" fillId="0" borderId="2" applyAlignment="1" pivotButton="0" quotePrefix="0" xfId="1">
      <alignment horizontal="right" vertical="center" wrapText="1"/>
    </xf>
  </cellXfs>
  <cellStyles count="53">
    <cellStyle name="Обычный" xfId="0" builtinId="0"/>
    <cellStyle name="Обычный 2" xfId="1"/>
    <cellStyle name="Процентный" xfId="2" builtinId="5"/>
    <cellStyle name="Обычный_зарплата" xfId="3"/>
    <cellStyle name="Обычный_Приложение 8" xfId="4"/>
    <cellStyle name="Обычный_Прил   9д" xfId="5"/>
    <cellStyle name="Обычный_ВЕСЬ19920 цена 2005 уже соглас.31270 предл ФСТ" xfId="6"/>
    <cellStyle name="Обычный 3" xfId="7"/>
    <cellStyle name="_CPI foodimp" xfId="8"/>
    <cellStyle name="_macro 2012 var 1" xfId="9"/>
    <cellStyle name="_v-2013-2030- 2b17.01.11Нах-cpiнов. курс inn 1-2-Е1xls" xfId="10"/>
    <cellStyle name="_Модель - 2(23)" xfId="11"/>
    <cellStyle name="_Сб-macro 2020" xfId="12"/>
    <cellStyle name="Euro" xfId="13"/>
    <cellStyle name="Normal_macro 2012 var 1" xfId="14"/>
    <cellStyle name="styleColumnTitles" xfId="15"/>
    <cellStyle name="styleDateRange" xfId="16"/>
    <cellStyle name="styleHidden" xfId="17"/>
    <cellStyle name="styleNormal" xfId="18"/>
    <cellStyle name="styleSeriesAttributes" xfId="19"/>
    <cellStyle name="styleSeriesData" xfId="20"/>
    <cellStyle name="styleSeriesDataForecast" xfId="21"/>
    <cellStyle name="styleSeriesDataForecastNA" xfId="22"/>
    <cellStyle name="styleSeriesDataNA" xfId="23"/>
    <cellStyle name="Обычный 2 2" xfId="24"/>
    <cellStyle name="Обычный 2 2 2" xfId="25"/>
    <cellStyle name="Обычный 2 3" xfId="26"/>
    <cellStyle name="Обычный 2 4" xfId="27"/>
    <cellStyle name="Обычный 2 5" xfId="28"/>
    <cellStyle name="Обычный 2 5 2" xfId="29"/>
    <cellStyle name="Обычный 2 6" xfId="30"/>
    <cellStyle name="Обычный 2_ТЭП-ВНИИЭФ-12-13 -апрель 2013" xfId="31"/>
    <cellStyle name="Обычный 27" xfId="32"/>
    <cellStyle name="Обычный 4" xfId="33"/>
    <cellStyle name="Обычный 5" xfId="34"/>
    <cellStyle name="Обычный 5 2" xfId="35"/>
    <cellStyle name="Обычный 5 2 2" xfId="36"/>
    <cellStyle name="Обычный 5 3" xfId="37"/>
    <cellStyle name="Обычный 6" xfId="38"/>
    <cellStyle name="Обычный 6 2" xfId="39"/>
    <cellStyle name="Стиль 1" xfId="40"/>
    <cellStyle name="Обычный 10" xfId="41"/>
    <cellStyle name="Обычный 2 2 3" xfId="42"/>
    <cellStyle name="Обычный 7" xfId="43"/>
    <cellStyle name="Обычный 8" xfId="44"/>
    <cellStyle name="Обычный 9" xfId="45"/>
    <cellStyle name="Обычный 3 3" xfId="46"/>
    <cellStyle name="Обычный 2 2 4" xfId="47"/>
    <cellStyle name="Обычный 2 4 2" xfId="48"/>
    <cellStyle name="Процентный 2 2" xfId="49"/>
    <cellStyle name="Обычный 3 2" xfId="50"/>
    <cellStyle name="Обычный 11" xfId="51"/>
    <cellStyle name="Обычный_поставк Д" xfId="52"/>
  </cellStyles>
  <dxfs count="10">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externalLink" Target="/xl/externalLinks/externalLink1.xml" Id="rId31" /><Relationship Type="http://schemas.openxmlformats.org/officeDocument/2006/relationships/externalLink" Target="/xl/externalLinks/externalLink2.xml" Id="rId32" /><Relationship Type="http://schemas.openxmlformats.org/officeDocument/2006/relationships/externalLink" Target="/xl/externalLinks/externalLink3.xml" Id="rId33" /><Relationship Type="http://schemas.openxmlformats.org/officeDocument/2006/relationships/externalLink" Target="/xl/externalLinks/externalLink4.xml" Id="rId34" /><Relationship Type="http://schemas.openxmlformats.org/officeDocument/2006/relationships/externalLink" Target="/xl/externalLinks/externalLink5.xml" Id="rId35" /><Relationship Type="http://schemas.openxmlformats.org/officeDocument/2006/relationships/externalLink" Target="/xl/externalLinks/externalLink6.xml" Id="rId36" /><Relationship Type="http://schemas.openxmlformats.org/officeDocument/2006/relationships/externalLink" Target="/xl/externalLinks/externalLink7.xml" Id="rId37" /><Relationship Type="http://schemas.openxmlformats.org/officeDocument/2006/relationships/externalLink" Target="/xl/externalLinks/externalLink8.xml" Id="rId38" /><Relationship Type="http://schemas.openxmlformats.org/officeDocument/2006/relationships/externalLink" Target="/xl/externalLinks/externalLink9.xml" Id="rId39" /><Relationship Type="http://schemas.openxmlformats.org/officeDocument/2006/relationships/externalLink" Target="/xl/externalLinks/externalLink10.xml" Id="rId40" /><Relationship Type="http://schemas.openxmlformats.org/officeDocument/2006/relationships/externalLink" Target="/xl/externalLinks/externalLink11.xml" Id="rId41" /><Relationship Type="http://schemas.openxmlformats.org/officeDocument/2006/relationships/externalLink" Target="/xl/externalLinks/externalLink12.xml" Id="rId42" /><Relationship Type="http://schemas.openxmlformats.org/officeDocument/2006/relationships/externalLink" Target="/xl/externalLinks/externalLink13.xml" Id="rId43" /><Relationship Type="http://schemas.openxmlformats.org/officeDocument/2006/relationships/externalLink" Target="/xl/externalLinks/externalLink14.xml" Id="rId44" /><Relationship Type="http://schemas.openxmlformats.org/officeDocument/2006/relationships/externalLink" Target="/xl/externalLinks/externalLink15.xml" Id="rId45" /><Relationship Type="http://schemas.openxmlformats.org/officeDocument/2006/relationships/externalLink" Target="/xl/externalLinks/externalLink16.xml" Id="rId46" /><Relationship Type="http://schemas.openxmlformats.org/officeDocument/2006/relationships/externalLink" Target="/xl/externalLinks/externalLink17.xml" Id="rId47" /><Relationship Type="http://schemas.openxmlformats.org/officeDocument/2006/relationships/externalLink" Target="/xl/externalLinks/externalLink18.xml" Id="rId48" /><Relationship Type="http://schemas.openxmlformats.org/officeDocument/2006/relationships/externalLink" Target="/xl/externalLinks/externalLink19.xml" Id="rId49" /><Relationship Type="http://schemas.openxmlformats.org/officeDocument/2006/relationships/styles" Target="styles.xml" Id="rId50" /><Relationship Type="http://schemas.openxmlformats.org/officeDocument/2006/relationships/theme" Target="theme/theme1.xml" Id="rId51" /></Relationships>
</file>

<file path=xl/comments/comment1.xml><?xml version="1.0" encoding="utf-8"?>
<comments xmlns="http://schemas.openxmlformats.org/spreadsheetml/2006/main">
  <authors>
    <author>Автор</author>
  </authors>
  <commentList>
    <comment ref="D76" authorId="0" shapeId="0">
      <text>
        <t>Автор:
должна быть формула сумм позиций</t>
      </text>
    </comment>
  </commentList>
</comments>
</file>

<file path=xl/externalLinks/_rels/externalLink1.xml.rels><Relationships xmlns="http://schemas.openxmlformats.org/package/2006/relationships"><Relationship Type="http://schemas.openxmlformats.org/officeDocument/2006/relationships/externalLinkPath" Target="file:///\\iackvno.local\3005\&#1057;&#1086;&#1087;&#1088;&#1086;&#1074;&#1086;&#1078;&#1076;&#1077;&#1085;&#1080;&#1077;\2008\&#1057;&#1090;&#1088;&#1091;&#1082;&#1090;&#1091;&#1088;&#1072;%20&#1094;&#1077;&#1085;&#1099;%20(&#1087;&#1086;&#1089;&#1083;.&#1074;&#1077;&#1088;&#1089;&#1080;&#1103;).xls" TargetMode="External" Id="rId1" /></Relationships>
</file>

<file path=xl/externalLinks/_rels/externalLink2.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4%20&#1075;&#1086;&#1076;\&#1055;&#1083;&#1072;&#1085;%202014&#1075;%20&#1088;&#1077;&#1076;_1.xlsx" TargetMode="External" Id="rId1" /></Relationships>
</file>

<file path=xl/externalLinks/_rels/externalLink3.xml.rels><Relationships xmlns="http://schemas.openxmlformats.org/package/2006/relationships"><Relationship Type="http://schemas.openxmlformats.org/officeDocument/2006/relationships/externalLinkPath" Target="file:///\\Mtp\&#1089;&#1077;&#1088;&#1074;&#1077;&#1088;%20(d)\&#1057;&#1086;&#1087;&#1088;&#1086;&#1074;&#1086;&#1078;&#1076;&#1077;&#1085;&#1080;&#1077;\2008\&#1057;&#1090;&#1088;&#1091;&#1082;&#1090;&#1091;&#1088;&#1072;%20&#1094;&#1077;&#1085;&#1099;%20(&#1087;&#1086;&#1089;&#1083;.&#1074;&#1077;&#1088;&#1089;&#1080;&#1103;).xls" TargetMode="External" Id="rId1" /></Relationships>
</file>

<file path=xl/externalLinks/_rels/externalLink4.xml.rels><Relationships xmlns="http://schemas.openxmlformats.org/package/2006/relationships"><Relationship Type="http://schemas.openxmlformats.org/officeDocument/2006/relationships/externalLinkPath" Target="file:///\\Mtp\&#1089;&#1077;&#1088;&#1074;&#1077;&#1088;%20(d)\3005\&#1057;&#1086;&#1087;&#1088;&#1086;&#1074;&#1086;&#1078;&#1076;&#1077;&#1085;&#1080;&#1077;\2008\&#1057;&#1090;&#1088;&#1091;&#1082;&#1090;&#1091;&#1088;&#1072;%20&#1094;&#1077;&#1085;&#1099;%20(&#1087;&#1086;&#1089;&#1083;.&#1074;&#1077;&#1088;&#1089;&#1080;&#1103;).xls" TargetMode="External" Id="rId1" /></Relationships>
</file>

<file path=xl/externalLinks/_rels/externalLink5.xml.rels><Relationships xmlns="http://schemas.openxmlformats.org/package/2006/relationships"><Relationship Type="http://schemas.openxmlformats.org/officeDocument/2006/relationships/externalLinkPath" Target="file:///\\Mtp\&#1089;&#1077;&#1088;&#1074;&#1077;&#1088;%20(d)\5550\2019%20&#1075;&#1086;&#1076;\&#1056;&#1040;&#1057;&#1063;&#1045;&#1058;%20&#1043;&#1054;&#1057;&#1050;&#1054;&#1053;&#1058;&#1056;&#1040;&#1050;&#1058;&#1054;&#1042;\&#1053;&#1048;&#1056;%20&#1053;&#1054;&#1056;&#1052;&#1040;-2022\!!!007.%20&#1053;&#1048;&#1056;%20&#1053;&#1086;&#1088;&#1084;&#1072;-2022_&#1056;&#1050;&#1052;_&#1076;&#1083;&#1103;%20&#1043;&#1050;_17.10.19.xlsm" TargetMode="External" Id="rId1" /></Relationships>
</file>

<file path=xl/externalLinks/_rels/externalLink6.xml.rels><Relationships xmlns="http://schemas.openxmlformats.org/package/2006/relationships"><Relationship Type="http://schemas.openxmlformats.org/officeDocument/2006/relationships/externalLinkPath" Target="file:///G:\&#1060;&#1051;&#1045;&#1064;%20&#1054;&#1057;&#1053;\&#1060;&#1054;&#1056;&#1052;&#1040;%20&#1056;&#1072;&#1089;&#1095;&#1105;&#1090;%20&#1076;&#1083;&#1103;%20&#1056;&#1050;&#1052;%20-%20&#1085;&#1086;&#1074;&#1072;&#1103;%20&#1088;&#1077;&#1076;%205%20-%20&#1044;&#1042;&#1048;&#1053;&#1040;%20&#1050;&#1042;&#1058;&#1050;%20-%20&#1043;&#1080;&#1076;&#1088;&#1086;&#1076;&#1080;&#1085;&#1072;&#1084;&#1080;&#1082;&#1072;.xlsx" TargetMode="External" Id="rId1" /></Relationships>
</file>

<file path=xl/externalLinks/_rels/externalLink7.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5%20&#1075;&#1086;&#1076;\&#1055;&#1083;&#1072;&#1085;%202015&#1075;%20&#1088;&#1077;&#1076;_1.xlsx" TargetMode="External" Id="rId1" /></Relationships>
</file>

<file path=xl/externalLinks/_rels/externalLink8.xml.rels><Relationships xmlns="http://schemas.openxmlformats.org/package/2006/relationships"><Relationship Type="http://schemas.openxmlformats.org/officeDocument/2006/relationships/externalLinkPath" Target="file:///I:\Documents%20and%20Settings\guborevata\Application%20Data\Microsoft\Excel\&#1054;&#1055;&#1056;-%20&#1085;&#1086;&#1074;.&#1085;&#1086;&#1084;&#1077;&#1085;&#1082;&#1083;&#1072;&#1090;&#1091;&#1088;&#1072;.xls" TargetMode="External" Id="rId1" /></Relationships>
</file>

<file path=xl/externalLinks/_rels/externalLink9.xml.rels><Relationships xmlns="http://schemas.openxmlformats.org/package/2006/relationships"><Relationship Type="http://schemas.openxmlformats.org/officeDocument/2006/relationships/externalLinkPath" Target="file:///\\iackvno.local\3005\&#1057;&#1086;&#1087;&#1088;&#1086;&#1074;&#1086;&#1078;&#1076;&#1077;&#1085;&#1080;&#1077;\2008\31.03.08(Final)\&#1057;&#1090;&#1088;&#1091;&#1082;&#1090;&#1091;&#1088;&#1072;%20&#1094;&#1077;&#1085;&#1099;%20(&#1087;&#1086;&#1089;&#1083;.&#1074;&#1077;&#1088;&#1089;&#1080;&#1103;).xls" TargetMode="External" Id="rId1" /></Relationships>
</file>

<file path=xl/externalLinks/_rels/externalLink10.xml.rels><Relationships xmlns="http://schemas.openxmlformats.org/package/2006/relationships"><Relationship Type="http://schemas.openxmlformats.org/officeDocument/2006/relationships/externalLinkPath" Target="file:///E:\5550\2016%20&#1075;&#1086;&#1076;\&#1055;&#1083;&#1072;&#1085;%202016&#1075;%20&#1088;&#1077;&#1076;_1.xlsx" TargetMode="External" Id="rId1" /></Relationships>
</file>

<file path=xl/externalLinks/_rels/externalLink11.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2%20&#1075;&#1086;&#1076;\&#1055;&#1083;&#1072;&#1085;%202012&#1075;%20&#1088;&#1077;&#1076;_1.xlsx" TargetMode="External" Id="rId1" /></Relationships>
</file>

<file path=xl/externalLinks/_rels/externalLink12.xml.rels><Relationships xmlns="http://schemas.openxmlformats.org/package/2006/relationships"><Relationship Type="http://schemas.openxmlformats.org/officeDocument/2006/relationships/externalLinkPath" Target="file:///Y:\5550\2020%20&#1075;&#1086;&#1076;\&#1056;&#1040;&#1057;&#1063;&#1045;&#1058;%20&#1044;&#1054;&#1043;&#1054;&#1042;&#1054;&#1056;&#1054;&#1042;\72-5552-2016%20(47000&#1090;.&#1088;.)%20(&#1054;&#1040;&#1054;%20&#1050;&#1041;&#1061;&#1040;)%20(&#1089;%20&#1042;&#1055;)\&#1060;&#1054;&#1058;%20&#1062;&#1077;&#1085;&#1090;&#1088;&#1086;&#1074;%2002%20&#1080;%2005\&#1062;&#1045;&#1053;&#1058;&#1056;%205\&#1056;&#1072;&#1089;&#1095;&#1077;&#1090;%20&#1060;&#1054;&#1058;\&#1060;&#1054;&#1058;%20&#1048;&#1070;&#1053;&#1068;%202020.xlsx" TargetMode="External" Id="rId1" /></Relationships>
</file>

<file path=xl/externalLinks/_rels/externalLink13.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4%20&#1075;&#1086;&#1076;\&#1057;&#1074;&#1086;&#1076;%20&#1092;&#1072;&#1082;&#1090;%202014_&#1050;.xlsx" TargetMode="External" Id="rId1" /></Relationships>
</file>

<file path=xl/externalLinks/_rels/externalLink14.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3%20&#1075;&#1086;&#1076;\&#1057;&#1090;&#1086;&#1088;&#1086;&#1085;&#1085;&#1080;&#1077;%20&#1086;&#1088;&#1075;&#1072;&#1085;&#1080;&#1079;&#1072;&#1094;&#1080;&#1080;%202012-2015.xlsx" TargetMode="External" Id="rId1" /></Relationships>
</file>

<file path=xl/externalLinks/_rels/externalLink15.xml.rels><Relationships xmlns="http://schemas.openxmlformats.org/package/2006/relationships"><Relationship Type="http://schemas.openxmlformats.org/officeDocument/2006/relationships/externalLinkPath" Target="file:///J:\5550\2014%20&#1075;&#1086;&#1076;\&#1050;&#1072;&#1076;&#1088;&#1099;%202014%20&#1075;&#1086;&#1076;\&#1057;&#1055;&#1048;&#1057;&#1054;&#1050;%20&#1062;&#1055;&#1088;5.XLS" TargetMode="External" Id="rId1" /></Relationships>
</file>

<file path=xl/externalLinks/_rels/externalLink16.xml.rels><Relationships xmlns="http://schemas.openxmlformats.org/package/2006/relationships"><Relationship Type="http://schemas.openxmlformats.org/officeDocument/2006/relationships/externalLinkPath" Target="file:///L:\&#1052;&#1086;&#1080;%20&#1088;&#1072;&#1089;&#1095;&#1077;&#1090;&#1099;\98-5556-2013%20(&#1087;&#1077;&#1088;&#1077;&#1089;&#1095;&#1077;&#1090;%20&#1089;&#1088;&#1086;&#1082;&#1086;&#1074;,%20&#1087;&#1088;&#1077;&#1076;&#1087;&#1088;&#1086;&#1077;&#1082;&#1090;).xlsm" TargetMode="External" Id="rId1" /></Relationships>
</file>

<file path=xl/externalLinks/_rels/externalLink17.xml.rels><Relationships xmlns="http://schemas.openxmlformats.org/package/2006/relationships"><Relationship Type="http://schemas.openxmlformats.org/officeDocument/2006/relationships/externalLinkPath" Target="file:///\\Mtp\&#1089;&#1077;&#1088;&#1074;&#1077;&#1088;%20(d)\5550\2018%20&#1075;&#1086;&#1076;\&#1056;&#1040;&#1057;&#1063;&#1045;&#1058;%20&#1044;&#1054;&#1043;&#1054;&#1042;&#1054;&#1056;&#1054;&#1042;\&#1086;&#1090;&#1076;&#1077;&#1083;%205552\67-5552-2018%20&#1055;&#1056;&#1054;&#1043;&#1056;&#1045;&#1057;&#1057;\___-5552-2018%20&#1050;&#1041;&#1052;\&#8470;%2015-5552-2015%20(&#1040;&#1088;&#1089;&#1077;&#1085;&#1072;&#1083;)%20(&#1089;%20&#1042;&#1055;)\&#1057;&#1090;&#1088;&#1091;&#1082;&#1090;&#1091;&#1088;&#1072;%20&#1050;&#1047;,%20&#1051;&#1056;,%20&#1055;&#1047;,%20&#1051;&#1057;%20(&#1089;%20&#1042;&#1055;)%20(&#1089;%20&#1085;&#1086;&#1074;&#1099;&#1084;&#1080;%20&#1092;&#1086;&#1088;&#1084;&#1072;&#1084;&#1080;).xls" TargetMode="External" Id="rId1" /></Relationships>
</file>

<file path=xl/externalLinks/_rels/externalLink18.xml.rels><Relationships xmlns="http://schemas.openxmlformats.org/package/2006/relationships"><Relationship Type="http://schemas.openxmlformats.org/officeDocument/2006/relationships/externalLinkPath" Target="file:///\\Mtp\&#1089;&#1077;&#1088;&#1074;&#1077;&#1088;%20(d)\Users\l327\Documents\&#1057;&#1045;&#1042;&#1045;&#1056;&#1053;&#1040;&#1071;%20&#1047;&#1040;&#1056;&#1071;\&#1055;&#1088;&#1086;&#1090;&#1086;&#1082;&#1086;&#1083;%20&#1076;&#1083;&#1103;%20&#1042;&#1055;%20&#1087;&#1086;%20&#1053;&#1058;&#1059;\&#1053;&#1058;&#1059;%202017-2018\&#1055;&#1088;&#1086;&#1090;&#1086;&#1082;&#1086;&#1083;%20&#1089;&#1086;&#1075;&#1083;&#1072;&#1089;&#1086;&#1074;&#1072;&#1085;&#1080;&#1103;%20&#1094;&#1077;&#1085;%20&#1089;%20&#1042;&#1055;_2018%20(&#1090;&#1086;&#1083;&#1100;&#1082;&#1086;_&#1053;&#1058;&#1059;_311_334).xlsx" TargetMode="External" Id="rId1" /></Relationships>
</file>

<file path=xl/externalLinks/_rels/externalLink19.xml.rels><Relationships xmlns="http://schemas.openxmlformats.org/package/2006/relationships"><Relationship Type="http://schemas.openxmlformats.org/officeDocument/2006/relationships/externalLinkPath" Target="file:///\\Divtsov\d\WORKS\&#1058;&#1069;&#1055;\&#1069;&#1082;&#1086;&#1085;&#1086;&#1084;&#1080;&#1082;&#1072;\16%20&#1059;&#1087;&#1088;&#1072;&#1074;&#1083;&#1077;&#1085;&#1080;&#1077;\&#1057;&#1086;&#1087;&#1077;&#1088;&#1085;&#1080;&#1082;\&#1069;&#1090;&#1072;&#1087;3\&#1044;&#1086;&#1087;.&#1089;&#1086;&#1075;&#1083;\&#1054;&#1050;&#1056;-&#1057;&#1086;&#1087;&#1077;&#1088;&#1085;&#1080;&#1082;-&#1101;&#1090;3.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row r="8">
          <cell r="C8">
            <v>0.26200000000000001</v>
          </cell>
        </row>
        <row r="9">
          <cell r="C9">
            <v>2</v>
          </cell>
        </row>
        <row r="12">
          <cell r="C12">
            <v>15.5</v>
          </cell>
        </row>
        <row r="13">
          <cell r="C13">
            <v>0</v>
          </cell>
        </row>
        <row r="26">
          <cell r="C26">
            <v>502.1</v>
          </cell>
        </row>
        <row r="27">
          <cell r="C27">
            <v>142.19999999999999</v>
          </cell>
        </row>
        <row r="28">
          <cell r="C28">
            <v>3833.2</v>
          </cell>
        </row>
        <row r="29">
          <cell r="C29">
            <v>6429.7</v>
          </cell>
        </row>
        <row r="30">
          <cell r="C30">
            <v>150.69999999999999</v>
          </cell>
        </row>
        <row r="32">
          <cell r="C32">
            <v>13680.4</v>
          </cell>
        </row>
        <row r="33">
          <cell r="C33">
            <v>319.59999999999997</v>
          </cell>
        </row>
        <row r="34">
          <cell r="C34">
            <v>14000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Списки"/>
      <sheetName val=" База_2014 г"/>
      <sheetName val="БДР"/>
      <sheetName val="Аналитика объёмов"/>
      <sheetName val="ФОТ_ЗАВЕРШ."/>
      <sheetName val="ФОТ_ЗАВЕРШ.13"/>
      <sheetName val="Распределение загрузки "/>
      <sheetName val="Загрузка для Объёмов"/>
      <sheetName val="ЗАВЕРШ._2014 ГОЛ."/>
      <sheetName val="ЗАВЕРШЕНИЕ_2014"/>
      <sheetName val="Накладные"/>
      <sheetName val="Поступления_Заказчики_2014"/>
      <sheetName val="Поступления_Заказчики_2010 2013"/>
      <sheetName val="Материалы пл.-ф."/>
      <sheetName val="Спецобор-е пл.-ф."/>
      <sheetName val="КТПК пл.-ф."/>
      <sheetName val="Спец-ние"/>
      <sheetName val="Лист1"/>
      <sheetName val="БДДС на 2013г"/>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Портфель_2015-2020"/>
      <sheetName val="План 2014г ред_1"/>
      <sheetName val=" незакрытые  ян-июнь"/>
      <sheetName val="ЗАВЕРШЕНИЕ_2013"/>
      <sheetName val="Поступления_Заказчики_2013"/>
      <sheetName val="Поступления_Заказчики_2010 2012"/>
      <sheetName val="Мат-лы, спец-ние (реестр)2013"/>
      <sheetName val="Спец-ние пл.-ф."/>
      <sheetName val="Лист3"/>
    </sheetNames>
    <sheetDataSet>
      <sheetData sheetId="0">
        <row r="3">
          <cell r="B3" t="str">
            <v>Матер</v>
          </cell>
          <cell r="D3" t="str">
            <v>РК</v>
          </cell>
        </row>
        <row r="4">
          <cell r="D4" t="str">
            <v>РК стр</v>
          </cell>
        </row>
        <row r="5">
          <cell r="D5" t="str">
            <v>МО</v>
          </cell>
        </row>
        <row r="6">
          <cell r="D6" t="str">
            <v>МО стр</v>
          </cell>
        </row>
        <row r="7">
          <cell r="D7" t="str">
            <v>ГосЗак</v>
          </cell>
        </row>
        <row r="8">
          <cell r="D8" t="str">
            <v>ГосЗак стр</v>
          </cell>
        </row>
        <row r="9">
          <cell r="D9" t="str">
            <v>ВЭД</v>
          </cell>
        </row>
        <row r="10">
          <cell r="D10" t="str">
            <v>Проч</v>
          </cell>
        </row>
        <row r="11">
          <cell r="D11" t="str">
            <v>Гранты</v>
          </cell>
        </row>
        <row r="12">
          <cell r="D12" t="str">
            <v>ЦНИИМаш</v>
          </cell>
        </row>
        <row r="13">
          <cell r="D13">
            <v>0</v>
          </cell>
        </row>
        <row r="14">
          <cell r="D14">
            <v>0</v>
          </cell>
        </row>
        <row r="15">
          <cell r="D15">
            <v>0</v>
          </cell>
        </row>
        <row r="16">
          <cell r="D16">
            <v>0</v>
          </cell>
        </row>
        <row r="17">
          <cell r="D17">
            <v>0</v>
          </cell>
        </row>
        <row r="18">
          <cell r="D18">
            <v>0</v>
          </cell>
        </row>
        <row r="19">
          <cell r="D19">
            <v>0</v>
          </cell>
        </row>
        <row r="20">
          <cell r="D20">
            <v>0</v>
          </cell>
        </row>
      </sheetData>
      <sheetData sheetId="1">
        <row r="5">
          <cell r="H5" t="str">
            <v>№ Договора/ Контракта/Тема</v>
          </cell>
        </row>
        <row r="6">
          <cell r="H6" t="str">
            <v xml:space="preserve">1-1201-2014 эт.  01  (Сентинел-1А) </v>
          </cell>
        </row>
        <row r="7">
          <cell r="H7" t="str">
            <v xml:space="preserve">9-1201-2014 эт.  01  (Метеор-М) </v>
          </cell>
        </row>
        <row r="8">
          <cell r="H8" t="str">
            <v xml:space="preserve">9-5551-2004 эт.  21  (ЛИАНА) </v>
          </cell>
        </row>
        <row r="9">
          <cell r="H9" t="str">
            <v xml:space="preserve">9-5551-2004 эт.  23  (ЛИАНА) </v>
          </cell>
        </row>
        <row r="10">
          <cell r="H10" t="str">
            <v xml:space="preserve">9-5551-2004 эт.  25.1  (ЛИАНА) </v>
          </cell>
        </row>
        <row r="11">
          <cell r="H11" t="str">
            <v xml:space="preserve">9-5551-2004 эт.  25.2  (ЛИАНА) </v>
          </cell>
        </row>
        <row r="12">
          <cell r="H12" t="str">
            <v xml:space="preserve">14-5557-2013 эт.  01  (СЧ ОКР ПРОБОЙ НЭМ-1) </v>
          </cell>
        </row>
        <row r="13">
          <cell r="H13" t="str">
            <v>МКС ( Надежность-Наука)-16-1313-2013 эт.  11</v>
          </cell>
        </row>
        <row r="14">
          <cell r="H14" t="str">
            <v>МКС ( Надежность-Наука)-16-1313-2013 эт.  12</v>
          </cell>
        </row>
        <row r="15">
          <cell r="H15" t="str">
            <v>МКС ( Надежность-Наука)-16-1313-2013 эт.  14</v>
          </cell>
        </row>
        <row r="16">
          <cell r="H16" t="str">
            <v>МКС ( Надежность-Наука)-16-1313-2013 эт.  15</v>
          </cell>
        </row>
        <row r="17">
          <cell r="H17" t="str">
            <v>МКС ( Надежность-Наука)-16-1313-2013 эт.  17</v>
          </cell>
        </row>
        <row r="18">
          <cell r="H18" t="str">
            <v>МКС ( Надежность-Наука)-16-1313-2013 эт.  18</v>
          </cell>
        </row>
        <row r="19">
          <cell r="H19" t="str">
            <v>МКС ( Надежность-Наука)-16-1313-2013 эт.  23</v>
          </cell>
        </row>
        <row r="20">
          <cell r="H20" t="str">
            <v>МКС ( Надежность-Наука)-16-1313-2013 эт.  24</v>
          </cell>
        </row>
        <row r="21">
          <cell r="H21" t="str">
            <v>МКС ( Надежность-Наука)-16-1313-2013 эт.  26</v>
          </cell>
        </row>
        <row r="22">
          <cell r="H22" t="str">
            <v>25-4152-2014 эт.  01</v>
          </cell>
        </row>
        <row r="23">
          <cell r="H23" t="str">
            <v xml:space="preserve">27-5550-2014 эт.  01  (Протон-М) </v>
          </cell>
        </row>
        <row r="24">
          <cell r="H24" t="str">
            <v xml:space="preserve">29-1201-2013 эт.  01  (Экспресс-АТ1/Экспресс-АТ2) </v>
          </cell>
        </row>
        <row r="25">
          <cell r="H25" t="str">
            <v xml:space="preserve">31-1021-2014 эт.  01  ("Гонец-М-Экспертиза") </v>
          </cell>
        </row>
        <row r="26">
          <cell r="H26" t="str">
            <v xml:space="preserve">31-5558-2013 эт.  02  (КВТК) </v>
          </cell>
        </row>
        <row r="27">
          <cell r="H27" t="str">
            <v xml:space="preserve">31-5558-2013 эт.  03  (КВТК) </v>
          </cell>
        </row>
        <row r="28">
          <cell r="H28" t="str">
            <v xml:space="preserve">35-5558-2014 эт.  01  (ПРОТОН-М) </v>
          </cell>
        </row>
        <row r="29">
          <cell r="H29" t="str">
            <v xml:space="preserve">36-5558-2014 эт.  01  (ПРОТОН-М) </v>
          </cell>
        </row>
        <row r="30">
          <cell r="H30" t="str">
            <v xml:space="preserve">41-1201-2014 эт.  01  (Фотон-М) </v>
          </cell>
        </row>
        <row r="31">
          <cell r="H31" t="str">
            <v xml:space="preserve">43-5556-2013 эт.  01  (Сармат) </v>
          </cell>
        </row>
        <row r="32">
          <cell r="H32" t="str">
            <v xml:space="preserve">43-5556-2013 эт.  02  (Сармат) </v>
          </cell>
        </row>
        <row r="33">
          <cell r="H33" t="str">
            <v xml:space="preserve">45-5558-2012 эт.  02  (АНГАРА) </v>
          </cell>
        </row>
        <row r="34">
          <cell r="H34" t="str">
            <v xml:space="preserve">45-5558-2012 эт.  03  (АНГАРА) </v>
          </cell>
        </row>
        <row r="35">
          <cell r="H35" t="str">
            <v xml:space="preserve">46-5558-2012 эт.  02  (АНГАРА) </v>
          </cell>
        </row>
        <row r="36">
          <cell r="H36" t="str">
            <v xml:space="preserve">46-5558-2012 эт.  03  (АНГАРА) </v>
          </cell>
        </row>
        <row r="37">
          <cell r="H37" t="str">
            <v>51-4151-2013 эт.  05</v>
          </cell>
        </row>
        <row r="38">
          <cell r="H38" t="str">
            <v xml:space="preserve">53-5558-2014 эт.  01  (ГПВРД) </v>
          </cell>
        </row>
        <row r="39">
          <cell r="H39" t="str">
            <v xml:space="preserve">53-5558-2014 эт.  02  (ГПВРД) </v>
          </cell>
        </row>
        <row r="40">
          <cell r="H40" t="str">
            <v xml:space="preserve">53-5558-2014 эт.  03  (ГПВРД) </v>
          </cell>
        </row>
        <row r="41">
          <cell r="H41" t="str">
            <v xml:space="preserve">57-1322-2013 эт.  01  (Луна Глоб НТС) </v>
          </cell>
        </row>
        <row r="42">
          <cell r="H42" t="str">
            <v xml:space="preserve">59-5558-2014 эт.  01  (ФГБ) </v>
          </cell>
        </row>
        <row r="43">
          <cell r="H43" t="str">
            <v xml:space="preserve">62-5551-2014 эт.  01  (Испытание образцов) </v>
          </cell>
        </row>
        <row r="44">
          <cell r="H44" t="str">
            <v xml:space="preserve">65-2201-2009 эт.  02  (КАНОПУС-СТ) </v>
          </cell>
        </row>
        <row r="45">
          <cell r="H45" t="str">
            <v>БАЗА-М-69-2000-2012 эт.  03</v>
          </cell>
        </row>
        <row r="46">
          <cell r="H46" t="str">
            <v xml:space="preserve">73-5551-2013 эт.  01  (EgiptSat) </v>
          </cell>
        </row>
        <row r="47">
          <cell r="H47" t="str">
            <v>75-5552-2014 эт.  01</v>
          </cell>
        </row>
        <row r="48">
          <cell r="H48" t="str">
            <v xml:space="preserve">80-1201-2014 эт.  01  (Экспресс-АМ7) </v>
          </cell>
        </row>
        <row r="49">
          <cell r="H49" t="str">
            <v>81-1201-2014 эт.  01</v>
          </cell>
        </row>
        <row r="50">
          <cell r="H50" t="str">
            <v xml:space="preserve">84-1031-2013 эт.  01  (Обзор) </v>
          </cell>
        </row>
        <row r="51">
          <cell r="H51" t="str">
            <v>Надёжность КА и СВ-85-4442-2012 эт.  03</v>
          </cell>
        </row>
        <row r="52">
          <cell r="H52" t="str">
            <v xml:space="preserve">87-2206-2008 эт.  14  (АНГАРА) </v>
          </cell>
        </row>
        <row r="53">
          <cell r="H53" t="str">
            <v xml:space="preserve">87-2206-2008 эт.  16  (АНГАРА) </v>
          </cell>
        </row>
        <row r="54">
          <cell r="H54" t="str">
            <v xml:space="preserve">87-2206-2008 эт.  17  (АНГАРА) </v>
          </cell>
        </row>
        <row r="55">
          <cell r="H55" t="str">
            <v xml:space="preserve">87-2206-2008 эт.  18  (АНГАРА) </v>
          </cell>
        </row>
        <row r="56">
          <cell r="H56" t="str">
            <v xml:space="preserve">88-5552-2012 эт.  02  (14Ф139) </v>
          </cell>
        </row>
        <row r="57">
          <cell r="H57" t="str">
            <v>89-5550-2014 эт.  01</v>
          </cell>
        </row>
        <row r="58">
          <cell r="H58" t="str">
            <v>АС и МО-91-2107-2012 эт.  03</v>
          </cell>
        </row>
        <row r="59">
          <cell r="H59" t="str">
            <v>АС и МО-91-2107-2012 эт.  02.2</v>
          </cell>
        </row>
        <row r="60">
          <cell r="H60" t="str">
            <v xml:space="preserve">94-4152-2014 эт.  01  (Фрегат-МТ) </v>
          </cell>
        </row>
        <row r="61">
          <cell r="H61" t="str">
            <v>Ударение-96-4014-2014 эт.  01</v>
          </cell>
        </row>
        <row r="62">
          <cell r="H62" t="str">
            <v xml:space="preserve">98-5556-2013 эт.  01  (Резонанс) </v>
          </cell>
        </row>
        <row r="63">
          <cell r="H63" t="str">
            <v xml:space="preserve">98-5556-2013 эт.  02  (Резонанс) </v>
          </cell>
        </row>
        <row r="64">
          <cell r="H64" t="str">
            <v xml:space="preserve">104-4231-2012 эт.  01  (Ангара) </v>
          </cell>
        </row>
        <row r="65">
          <cell r="H65" t="str">
            <v xml:space="preserve">105-5558-2012 эт.  01  (743) </v>
          </cell>
        </row>
        <row r="66">
          <cell r="H66" t="str">
            <v>Эксперимент-110-2000-2013 эт.  23</v>
          </cell>
        </row>
        <row r="67">
          <cell r="H67" t="str">
            <v>Эксперимент-110-2000-2013 эт.  24</v>
          </cell>
        </row>
        <row r="68">
          <cell r="H68" t="str">
            <v>Эксперимент-110-2000-2013 эт.  25</v>
          </cell>
        </row>
        <row r="69">
          <cell r="H69" t="str">
            <v>Эксперимент-110-2000-2013 эт.  27</v>
          </cell>
        </row>
        <row r="70">
          <cell r="H70" t="str">
            <v>Эксперимент-110-2000-2013 эт.  28</v>
          </cell>
        </row>
        <row r="71">
          <cell r="H71" t="str">
            <v>Эксперимент-110-2000-2013 эт.  30</v>
          </cell>
        </row>
        <row r="72">
          <cell r="H72" t="str">
            <v xml:space="preserve">112-1321-2011 эт.  02  (АПВП) </v>
          </cell>
        </row>
        <row r="73">
          <cell r="H73" t="str">
            <v>Заключение-113-3000-2012 эт.  04</v>
          </cell>
        </row>
        <row r="74">
          <cell r="H74" t="str">
            <v xml:space="preserve">120-5558-2014 эт.  01  (РН-"Союз-Восток") </v>
          </cell>
        </row>
        <row r="75">
          <cell r="H75" t="str">
            <v xml:space="preserve">120-5558-2014 эт.  02  (РН-"Союз-Восток") </v>
          </cell>
        </row>
        <row r="76">
          <cell r="H76" t="str">
            <v xml:space="preserve">121-5558-2014 эт.  01  (РН-"Союз-Восток") </v>
          </cell>
        </row>
        <row r="77">
          <cell r="H77" t="str">
            <v xml:space="preserve">122-1201-2013 эт.  01  (Экспресс-АМ8) </v>
          </cell>
        </row>
        <row r="78">
          <cell r="H78" t="str">
            <v xml:space="preserve">122-5558-2014 эт.  01  (РН-"Союз-Восток") </v>
          </cell>
        </row>
        <row r="79">
          <cell r="H79" t="str">
            <v xml:space="preserve">122-5558-2014 эт.  02  (РН-"Союз-Восток") </v>
          </cell>
        </row>
        <row r="80">
          <cell r="H80" t="str">
            <v xml:space="preserve">123-5558-2014 эт.  01  (РН-"Союз-Восток") </v>
          </cell>
        </row>
        <row r="81">
          <cell r="H81" t="str">
            <v xml:space="preserve">130-5558-2014 эт.  01  (Ангара 1.2) </v>
          </cell>
        </row>
        <row r="82">
          <cell r="H82" t="str">
            <v xml:space="preserve">130-5557-2012 эт.  02  (Пробой-Трансформ) </v>
          </cell>
        </row>
        <row r="83">
          <cell r="H83" t="str">
            <v xml:space="preserve">130-5558-2014 эт.  02  (Ангара 1.2) </v>
          </cell>
        </row>
        <row r="84">
          <cell r="H84" t="str">
            <v xml:space="preserve">130-5558-2014 эт.  03  (Ангара 1.2) </v>
          </cell>
        </row>
        <row r="85">
          <cell r="H85" t="str">
            <v>БаЗА-М (Совершенствование-2)-132-2000-2014 эт.  01</v>
          </cell>
        </row>
        <row r="86">
          <cell r="H86" t="str">
            <v xml:space="preserve">135-5551-2014 эт.  01  (Баргузин РВ) </v>
          </cell>
        </row>
        <row r="87">
          <cell r="H87" t="str">
            <v xml:space="preserve">141-1201-2012 эт.  01  (МКС МА-УМ) </v>
          </cell>
        </row>
        <row r="88">
          <cell r="H88" t="str">
            <v xml:space="preserve">192-1201-2012 эт.  1  (14Ф142) </v>
          </cell>
        </row>
        <row r="89">
          <cell r="H89" t="str">
            <v>199-5558-2010 эт.  04</v>
          </cell>
        </row>
        <row r="90">
          <cell r="H90" t="str">
            <v>Сопровождение ОПК-211-4012-2011 эт.  03</v>
          </cell>
        </row>
        <row r="91">
          <cell r="H91" t="str">
            <v>ОТРАБОТКА-К-217-2100-2011 эт.  07</v>
          </cell>
        </row>
        <row r="92">
          <cell r="H92" t="str">
            <v>ОТРАБОТКА-К-217-2100-2011 эт.  08</v>
          </cell>
        </row>
        <row r="93">
          <cell r="H93" t="str">
            <v>КТКиСБ-235-5556-2011 эт.  04</v>
          </cell>
        </row>
        <row r="94">
          <cell r="H94" t="str">
            <v>КТКиСБ-235-5556-2011 эт.  05</v>
          </cell>
        </row>
        <row r="95">
          <cell r="H95" t="str">
            <v>КТКиСБ-235-5557-2011 эт.  06</v>
          </cell>
        </row>
        <row r="96">
          <cell r="H96" t="str">
            <v>ПРОЧНОСТЬ ТРТ -248-5554-2011 эт.  06</v>
          </cell>
        </row>
        <row r="97">
          <cell r="H97" t="str">
            <v>ПРОЧНОСТЬ ТРТ -248-5554-2011 эт.  07</v>
          </cell>
        </row>
        <row r="98">
          <cell r="H98" t="str">
            <v>ПРОЧНОСТЬ ТРТ -248-5554-2011 эт.  08</v>
          </cell>
        </row>
        <row r="99">
          <cell r="H99" t="str">
            <v>ПРОЧНОСТЬ ТРТ -248-5554-2011 эт.  09</v>
          </cell>
        </row>
        <row r="100">
          <cell r="H100" t="str">
            <v>ПО ЖРД-250-5554-2011 эт.  06</v>
          </cell>
        </row>
        <row r="101">
          <cell r="H101" t="str">
            <v>ПО ЖРД-250-5554-2011 эт.  07</v>
          </cell>
        </row>
        <row r="102">
          <cell r="H102" t="str">
            <v>ПО ЖРД-250-5554-2011 эт.  08</v>
          </cell>
        </row>
        <row r="103">
          <cell r="H103" t="str">
            <v>ПО ЖРД-250-5554-2011 эт.  09</v>
          </cell>
        </row>
        <row r="104">
          <cell r="H104" t="str">
            <v>НТС-ИП-ОПК-257-4012-2011 эт.  03</v>
          </cell>
        </row>
        <row r="105">
          <cell r="H105" t="str">
            <v xml:space="preserve">268-1201-2013 эт.  01  (АИСТ) </v>
          </cell>
        </row>
        <row r="106">
          <cell r="H106" t="str">
            <v>275-5551-2013 эт.  01</v>
          </cell>
        </row>
        <row r="107">
          <cell r="H107" t="str">
            <v xml:space="preserve">277-5551-2013 эт.  01  (СЧ ОКР 14Ф148) </v>
          </cell>
        </row>
        <row r="108">
          <cell r="H108" t="str">
            <v xml:space="preserve">280-1201-2013 эт.  01  (Галилео FOC) </v>
          </cell>
        </row>
        <row r="109">
          <cell r="H109" t="str">
            <v>285-5550-2013 эт.  01</v>
          </cell>
        </row>
        <row r="110">
          <cell r="H110" t="str">
            <v>286-5550-2013 эт.  01</v>
          </cell>
        </row>
        <row r="111">
          <cell r="H111" t="str">
            <v xml:space="preserve">289-5551-2013 эт.  02  (АМг6М) </v>
          </cell>
        </row>
        <row r="112">
          <cell r="H112" t="str">
            <v xml:space="preserve">298-5551-2013 эт.  01  (ЛИАНА) </v>
          </cell>
        </row>
        <row r="113">
          <cell r="H113" t="str">
            <v xml:space="preserve">310-5557-2013 эт.  01  (САРМАТ) </v>
          </cell>
        </row>
        <row r="114">
          <cell r="H114" t="str">
            <v xml:space="preserve">310-5557-2013 эт.  02  (САРМАТ) </v>
          </cell>
        </row>
        <row r="115">
          <cell r="H115" t="str">
            <v xml:space="preserve">310-5557-2013 эт.  03  (САРМАТ) </v>
          </cell>
        </row>
        <row r="116">
          <cell r="H116" t="str">
            <v xml:space="preserve">314-1201-2013 эт.  01  (Экспресс-АМ4R) </v>
          </cell>
        </row>
        <row r="117">
          <cell r="H117" t="str">
            <v xml:space="preserve">319-1201-2013 эт.  01  (Turksat-4A) </v>
          </cell>
        </row>
        <row r="118">
          <cell r="H118" t="str">
            <v>321-5552-2013 эт.  01</v>
          </cell>
        </row>
        <row r="119">
          <cell r="H119" t="str">
            <v xml:space="preserve">323-4152-2013 эт.  01  (КА Экспресс-АМ8) </v>
          </cell>
        </row>
        <row r="120">
          <cell r="H120" t="str">
            <v xml:space="preserve">АСиМО-Ц-2100-2011 эт.  03  (ФЦП Развитие ОПК) </v>
          </cell>
        </row>
        <row r="121">
          <cell r="H121" t="str">
            <v xml:space="preserve">АСиМО-Ц-2100-2011 эт.  2.2  (ФЦП Развитие ОПК) </v>
          </cell>
        </row>
        <row r="122">
          <cell r="H122" t="str">
            <v>КТКиСБ-Ц-5556-2013 эт.  04</v>
          </cell>
        </row>
        <row r="123">
          <cell r="H123" t="str">
            <v>Отработка-КЦ-2100-2013 эт.  03</v>
          </cell>
        </row>
        <row r="124">
          <cell r="H124" t="str">
            <v>Отработка-КЦ-2100-2013 эт.  04</v>
          </cell>
        </row>
        <row r="125">
          <cell r="H125" t="str">
            <v>ПОЖРД-Ц-5551-2013 эт.  03</v>
          </cell>
        </row>
        <row r="126">
          <cell r="H126" t="str">
            <v>ПРОЧНОСТЬ ТРТ-Ц-5554-2013 эт.  03</v>
          </cell>
        </row>
        <row r="127">
          <cell r="H127" t="str">
            <v>ПРОЧНОСТЬ ТРТ-Ц-5554-2013 эт.  04</v>
          </cell>
        </row>
        <row r="128">
          <cell r="H128" t="str">
            <v>156-5550-2014 эт.  01</v>
          </cell>
        </row>
        <row r="129">
          <cell r="H129" t="str">
            <v xml:space="preserve">138-5551-2014 эт.  01  (МКС Эксплуатация) </v>
          </cell>
        </row>
        <row r="130">
          <cell r="H130" t="str">
            <v>148-5551-2014 эт.  01</v>
          </cell>
        </row>
        <row r="131">
          <cell r="H131" t="str">
            <v>100-5552-2014 эт.  01</v>
          </cell>
        </row>
        <row r="132">
          <cell r="H132" t="str">
            <v>101-5552-2014 эт.  01</v>
          </cell>
        </row>
        <row r="133">
          <cell r="H133" t="str">
            <v xml:space="preserve">181-5558-2014 эт.  02  (РН-"Союз-Восток") </v>
          </cell>
        </row>
        <row r="134">
          <cell r="H134" t="str">
            <v xml:space="preserve">181-5558-2014 эт.  03  (РН-"Союз-Восток") </v>
          </cell>
        </row>
        <row r="135">
          <cell r="H135" t="str">
            <v xml:space="preserve">181-5558-2014 эт.  01  (РН-"Союз-Восток") </v>
          </cell>
        </row>
        <row r="136">
          <cell r="H136" t="str">
            <v>* РАСЧ №1-5558-2014</v>
          </cell>
        </row>
        <row r="137">
          <cell r="H137" t="str">
            <v>* РАСЧ №2-5558-2014</v>
          </cell>
        </row>
        <row r="138">
          <cell r="H138" t="str">
            <v>* РАСЧ №3-5558-2014</v>
          </cell>
        </row>
        <row r="139">
          <cell r="H139" t="str">
            <v>* РАСЧ №4-5558-2014</v>
          </cell>
        </row>
        <row r="140">
          <cell r="H140" t="str">
            <v>Гиперзвук РКТ-175-2100-2014 эт.  08</v>
          </cell>
        </row>
        <row r="141">
          <cell r="H141" t="str">
            <v xml:space="preserve">118-4151-2014 эт.  01  (Союз-СТ ОЗВ №2) </v>
          </cell>
        </row>
        <row r="142">
          <cell r="H142" t="str">
            <v xml:space="preserve">146-4152-2014 эт.  01  (Фрегат-МТ) </v>
          </cell>
        </row>
        <row r="143">
          <cell r="H143" t="str">
            <v>Магистраль (Задел-АКА)-153-1035-2014 эт.  01</v>
          </cell>
        </row>
        <row r="144">
          <cell r="H144" t="str">
            <v>Магистраль (Задел-АКА)-153-1035-2014 эт.  02</v>
          </cell>
        </row>
        <row r="145">
          <cell r="H145" t="str">
            <v xml:space="preserve">199-5551-2014 эт.  01  (Канопус-СТ) </v>
          </cell>
        </row>
        <row r="146">
          <cell r="H146" t="str">
            <v xml:space="preserve">63-1324-2013 эт.  01  ("Спектр-М-С2") </v>
          </cell>
        </row>
        <row r="147">
          <cell r="H147" t="str">
            <v xml:space="preserve">9-5551-2004 эт.  26.1  (ЛИАНА) </v>
          </cell>
        </row>
        <row r="148">
          <cell r="H148" t="str">
            <v xml:space="preserve">9-5551-2004 эт.  26.2  (ЛИАНА) </v>
          </cell>
        </row>
        <row r="149">
          <cell r="H149" t="str">
            <v xml:space="preserve">9-5551-2004 эт.  26.3  (ЛИАНА) </v>
          </cell>
        </row>
        <row r="150">
          <cell r="H150" t="str">
            <v xml:space="preserve">159-1201-2014 эт.  01  (Астра-2Ж) </v>
          </cell>
        </row>
        <row r="151">
          <cell r="H151" t="str">
            <v xml:space="preserve">187-1201-2014 эт.  01  (РККс ТГП-Экспертиза-ЦНИИмаш) </v>
          </cell>
        </row>
        <row r="152">
          <cell r="H152" t="str">
            <v>УФИК-246-1034-2011 эт.  04</v>
          </cell>
        </row>
        <row r="153">
          <cell r="H153" t="str">
            <v xml:space="preserve">200-5551-2014 эт.  01  (РД 8Д611) </v>
          </cell>
        </row>
        <row r="154">
          <cell r="H154" t="str">
            <v>205-5553-2014 эт.  01</v>
          </cell>
        </row>
        <row r="155">
          <cell r="H155" t="str">
            <v>Магистраль (Облик-ПК)-165-1312-2014 эт.  01</v>
          </cell>
        </row>
        <row r="156">
          <cell r="H156" t="str">
            <v>39-4142-2014 эт.  01</v>
          </cell>
        </row>
        <row r="157">
          <cell r="H157" t="str">
            <v>166-4151-2014 эт.  01</v>
          </cell>
        </row>
        <row r="158">
          <cell r="H158" t="str">
            <v>192-4143-2014 эт.  01</v>
          </cell>
        </row>
        <row r="159">
          <cell r="H159" t="str">
            <v>107-4143-2014 эт.  01</v>
          </cell>
        </row>
        <row r="160">
          <cell r="H160" t="str">
            <v>* РАСЧ №5-5558-2014</v>
          </cell>
        </row>
        <row r="161">
          <cell r="H161" t="str">
            <v>114-1313-2014 эт.  01</v>
          </cell>
        </row>
        <row r="162">
          <cell r="H162" t="str">
            <v>201-4151-2014 эт.  01</v>
          </cell>
        </row>
        <row r="163">
          <cell r="H163" t="str">
            <v>113-1201-2014 эт.  01</v>
          </cell>
        </row>
        <row r="164">
          <cell r="H164" t="str">
            <v>186-1201-2014 эт.  01</v>
          </cell>
        </row>
        <row r="165">
          <cell r="H165" t="str">
            <v>19-2312-2010 эт.  04</v>
          </cell>
        </row>
        <row r="166">
          <cell r="H166" t="str">
            <v>104-4141-2014 эт.  01</v>
          </cell>
        </row>
        <row r="167">
          <cell r="H167" t="str">
            <v>26-4141-2014 эт.  02</v>
          </cell>
        </row>
        <row r="168">
          <cell r="H168" t="str">
            <v>209-1205-2014 эт.  02</v>
          </cell>
        </row>
        <row r="169">
          <cell r="H169" t="str">
            <v>209-1205-2014 эт.  03</v>
          </cell>
        </row>
        <row r="170">
          <cell r="H170" t="str">
            <v>178-4151-2014 эт.  01</v>
          </cell>
        </row>
        <row r="171">
          <cell r="H171" t="str">
            <v>45-4151-2014 эт.  01</v>
          </cell>
        </row>
        <row r="172">
          <cell r="H172" t="str">
            <v>* РАСЧ №6-4151-2014</v>
          </cell>
        </row>
        <row r="173">
          <cell r="H173" t="str">
            <v>* РАСЧ №7-5553-2014</v>
          </cell>
        </row>
        <row r="174">
          <cell r="H174">
            <v>0</v>
          </cell>
        </row>
        <row r="175">
          <cell r="H175">
            <v>0</v>
          </cell>
        </row>
        <row r="176">
          <cell r="H176">
            <v>0</v>
          </cell>
        </row>
        <row r="177">
          <cell r="H177">
            <v>0</v>
          </cell>
        </row>
        <row r="178">
          <cell r="H178">
            <v>0</v>
          </cell>
        </row>
        <row r="179">
          <cell r="H179">
            <v>0</v>
          </cell>
        </row>
        <row r="180">
          <cell r="H180">
            <v>0</v>
          </cell>
        </row>
        <row r="181">
          <cell r="H181">
            <v>0</v>
          </cell>
        </row>
        <row r="182">
          <cell r="H182">
            <v>0</v>
          </cell>
        </row>
        <row r="183">
          <cell r="H183">
            <v>0</v>
          </cell>
        </row>
        <row r="184">
          <cell r="H184">
            <v>0</v>
          </cell>
        </row>
        <row r="185">
          <cell r="H185">
            <v>0</v>
          </cell>
        </row>
        <row r="186">
          <cell r="H186">
            <v>0</v>
          </cell>
        </row>
        <row r="187">
          <cell r="H187">
            <v>0</v>
          </cell>
        </row>
        <row r="188">
          <cell r="H188">
            <v>0</v>
          </cell>
        </row>
        <row r="189">
          <cell r="H189">
            <v>0</v>
          </cell>
        </row>
        <row r="190">
          <cell r="H190">
            <v>0</v>
          </cell>
        </row>
        <row r="191">
          <cell r="H191">
            <v>0</v>
          </cell>
        </row>
        <row r="192">
          <cell r="H192">
            <v>0</v>
          </cell>
        </row>
        <row r="193">
          <cell r="H193">
            <v>0</v>
          </cell>
        </row>
        <row r="194">
          <cell r="H194">
            <v>0</v>
          </cell>
        </row>
        <row r="195">
          <cell r="H195">
            <v>0</v>
          </cell>
        </row>
        <row r="196">
          <cell r="H196">
            <v>0</v>
          </cell>
        </row>
        <row r="197">
          <cell r="H197">
            <v>0</v>
          </cell>
        </row>
        <row r="198">
          <cell r="H198">
            <v>0</v>
          </cell>
        </row>
        <row r="199">
          <cell r="H199">
            <v>0</v>
          </cell>
        </row>
        <row r="200">
          <cell r="H200">
            <v>0</v>
          </cell>
        </row>
        <row r="201">
          <cell r="H201">
            <v>0</v>
          </cell>
        </row>
        <row r="202">
          <cell r="H202">
            <v>0</v>
          </cell>
        </row>
        <row r="203">
          <cell r="H203">
            <v>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0</v>
          </cell>
        </row>
        <row r="213">
          <cell r="H213">
            <v>0</v>
          </cell>
        </row>
        <row r="214">
          <cell r="H214">
            <v>0</v>
          </cell>
        </row>
        <row r="215">
          <cell r="H215">
            <v>0</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0</v>
          </cell>
        </row>
        <row r="233">
          <cell r="H233">
            <v>0</v>
          </cell>
        </row>
        <row r="234">
          <cell r="H234">
            <v>0</v>
          </cell>
        </row>
        <row r="235">
          <cell r="H235">
            <v>0</v>
          </cell>
        </row>
        <row r="236">
          <cell r="H236">
            <v>0</v>
          </cell>
        </row>
        <row r="237">
          <cell r="H237">
            <v>0</v>
          </cell>
        </row>
        <row r="238">
          <cell r="H238">
            <v>0</v>
          </cell>
        </row>
        <row r="239">
          <cell r="H239">
            <v>0</v>
          </cell>
        </row>
        <row r="240">
          <cell r="H240">
            <v>0</v>
          </cell>
        </row>
        <row r="241">
          <cell r="H241">
            <v>0</v>
          </cell>
        </row>
        <row r="242">
          <cell r="H242">
            <v>0</v>
          </cell>
        </row>
        <row r="243">
          <cell r="H243">
            <v>0</v>
          </cell>
        </row>
        <row r="244">
          <cell r="H244">
            <v>0</v>
          </cell>
        </row>
        <row r="245">
          <cell r="H245">
            <v>0</v>
          </cell>
        </row>
        <row r="246">
          <cell r="H246">
            <v>0</v>
          </cell>
        </row>
        <row r="247">
          <cell r="H247">
            <v>0</v>
          </cell>
        </row>
        <row r="248">
          <cell r="H248">
            <v>0</v>
          </cell>
        </row>
        <row r="249">
          <cell r="H249" t="str">
            <v xml:space="preserve">31-5558-2013 эт.  01  (КВТК) </v>
          </cell>
        </row>
        <row r="250">
          <cell r="H250" t="str">
            <v xml:space="preserve">176-5554-2012 эт.  01  (РОКОТ) </v>
          </cell>
        </row>
        <row r="251">
          <cell r="H251" t="str">
            <v>38-5552-2012 эт.  1</v>
          </cell>
        </row>
        <row r="252">
          <cell r="H252" t="str">
            <v xml:space="preserve">81-5550-2013 эт.  01  ("Экспресс-АМ6") </v>
          </cell>
        </row>
        <row r="253">
          <cell r="H253" t="str">
            <v xml:space="preserve">87-2206-2008 эт.  13  (АНГАРА) </v>
          </cell>
        </row>
        <row r="254">
          <cell r="H254" t="str">
            <v xml:space="preserve">131-2206-2008 эт.  06  (АНГАРА) </v>
          </cell>
        </row>
        <row r="255">
          <cell r="H255" t="str">
            <v xml:space="preserve">91-2207-2008 эт.  06  (АНГАРА) </v>
          </cell>
        </row>
        <row r="256">
          <cell r="H256" t="str">
            <v xml:space="preserve">54-5554-2012 эт.  01  (Двигатель-2015) </v>
          </cell>
        </row>
        <row r="257">
          <cell r="H257" t="str">
            <v xml:space="preserve">58-5558-2012 эт.  01  (МЛМ) </v>
          </cell>
        </row>
        <row r="258">
          <cell r="H258" t="str">
            <v xml:space="preserve">63-5551-2012 эт.  01  (А77 КМЛ) </v>
          </cell>
        </row>
        <row r="259">
          <cell r="H259" t="str">
            <v xml:space="preserve">64-5551-2012 эт.  01  (А77 КМЛ) </v>
          </cell>
        </row>
        <row r="260">
          <cell r="H260" t="str">
            <v xml:space="preserve">87-2206-2008 эт.  10  (АНГАРА) </v>
          </cell>
        </row>
        <row r="261">
          <cell r="H261" t="str">
            <v xml:space="preserve">87-2206-2008 эт.  11  (АНГАРА) </v>
          </cell>
        </row>
        <row r="262">
          <cell r="H262" t="str">
            <v xml:space="preserve">87-2206-2008 эт.  12  (АНГАРА) </v>
          </cell>
        </row>
        <row r="263">
          <cell r="H263" t="str">
            <v xml:space="preserve">26-5551-2012 эт.  06  (МКС МЛМ) </v>
          </cell>
        </row>
        <row r="264">
          <cell r="H264" t="str">
            <v xml:space="preserve">91-2207-2008 эт.  07  (АНГАРА) </v>
          </cell>
        </row>
        <row r="265">
          <cell r="H265" t="str">
            <v xml:space="preserve">91-2207-2008 эт.  08  (АНГАРА) </v>
          </cell>
        </row>
        <row r="266">
          <cell r="H266" t="str">
            <v xml:space="preserve">95-1033-2011 эт.  02  (Прибор ГС-Ц) </v>
          </cell>
        </row>
        <row r="267">
          <cell r="H267" t="str">
            <v xml:space="preserve">95-1033-2011 эт.  03  (Прибор ГС-Ц) </v>
          </cell>
        </row>
        <row r="268">
          <cell r="H268" t="str">
            <v xml:space="preserve">102-5552-2010 эт.  04  (МКС-МЛМ) </v>
          </cell>
        </row>
        <row r="269">
          <cell r="H269" t="str">
            <v xml:space="preserve">102-5552-2010 эт.  05  (МКС-МЛМ) </v>
          </cell>
        </row>
        <row r="270">
          <cell r="H270" t="str">
            <v xml:space="preserve">106-5552-2011 эт.  02  (ВОЛГА) </v>
          </cell>
        </row>
        <row r="271">
          <cell r="H271" t="str">
            <v xml:space="preserve">109-4231-2012 эт.  1  (82МЯМ402) </v>
          </cell>
        </row>
        <row r="272">
          <cell r="H272" t="str">
            <v xml:space="preserve">118-2312-2011 эт.  2  (КА 14Ф136) </v>
          </cell>
        </row>
        <row r="273">
          <cell r="H273" t="str">
            <v xml:space="preserve">119-1201-2012 эт.  01  (КА 14Ф137 №12Л) </v>
          </cell>
        </row>
        <row r="274">
          <cell r="H274" t="str">
            <v xml:space="preserve">120-1201-2012 эт.  01  (КА 762В) </v>
          </cell>
        </row>
        <row r="275">
          <cell r="H275" t="str">
            <v xml:space="preserve">124-5551-2012 эт.  01  (Прогресс М-УМ) </v>
          </cell>
        </row>
        <row r="276">
          <cell r="H276" t="str">
            <v xml:space="preserve">125-1031-2011 эт.  02  (Экспертиза-МП) </v>
          </cell>
        </row>
        <row r="277">
          <cell r="H277" t="str">
            <v xml:space="preserve">127-5552-2011 эт.  01  (РУСЬ) </v>
          </cell>
        </row>
        <row r="278">
          <cell r="H278" t="str">
            <v xml:space="preserve">130-5557-2012 эт.  1  (Пробой-Трансформ) </v>
          </cell>
        </row>
        <row r="279">
          <cell r="H279" t="str">
            <v xml:space="preserve">130-5558-2011 эт.  01  (Нормы прочности РБАС) </v>
          </cell>
        </row>
        <row r="280">
          <cell r="H280" t="str">
            <v>131-5558-2011 эт.  01</v>
          </cell>
        </row>
        <row r="281">
          <cell r="H281" t="str">
            <v xml:space="preserve">131-2206-2008 эт.  05  (АНГАРА) </v>
          </cell>
        </row>
        <row r="282">
          <cell r="H282" t="str">
            <v xml:space="preserve">142-1201-2012 эт.  1  (КА "EchoStar 16") </v>
          </cell>
        </row>
        <row r="283">
          <cell r="H283" t="str">
            <v xml:space="preserve">154-5558-2012 эт.  01  (ППТС) </v>
          </cell>
        </row>
        <row r="284">
          <cell r="H284" t="str">
            <v xml:space="preserve">158-2312-2011 эт.  2  ( МКМ (МЛМ)) </v>
          </cell>
        </row>
        <row r="285">
          <cell r="H285" t="str">
            <v xml:space="preserve">181-5551-2012 эт.  01  (Изд.187КС) </v>
          </cell>
        </row>
        <row r="286">
          <cell r="H286" t="str">
            <v>199-5558-2010 эт.  03</v>
          </cell>
        </row>
        <row r="287">
          <cell r="H287" t="str">
            <v xml:space="preserve">243-4211-2011 эт.  02  (МКС (Надежность ПКК)) </v>
          </cell>
        </row>
        <row r="288">
          <cell r="H288" t="str">
            <v xml:space="preserve">87-2206-2008 эт.  15  (АНГАРА) </v>
          </cell>
        </row>
        <row r="289">
          <cell r="H289" t="str">
            <v xml:space="preserve">177-5557-2012 эт.  01  (762 В) </v>
          </cell>
        </row>
        <row r="290">
          <cell r="H290" t="str">
            <v>44-5552-2011 эт.  02</v>
          </cell>
        </row>
        <row r="291">
          <cell r="H291" t="str">
            <v xml:space="preserve">26-5551-2012 эт.  07  (МКС МЛМ) </v>
          </cell>
        </row>
        <row r="292">
          <cell r="H292" t="str">
            <v xml:space="preserve">47-5553-2012 эт.  03  (ПРОТОН-М) </v>
          </cell>
        </row>
        <row r="293">
          <cell r="H293" t="str">
            <v xml:space="preserve">289-5551-2013 эт.  01  (АМг6М) </v>
          </cell>
        </row>
        <row r="294">
          <cell r="H294" t="str">
            <v xml:space="preserve">299-1201-2013 эт.  01  (Inmarsat-5F1) </v>
          </cell>
        </row>
        <row r="295">
          <cell r="H295">
            <v>0</v>
          </cell>
        </row>
        <row r="296">
          <cell r="H296">
            <v>0</v>
          </cell>
        </row>
        <row r="297">
          <cell r="H29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3">
          <cell r="H13" t="str">
            <v xml:space="preserve">Разработка метода определения прочности связующего и его связи с наполнителем в зарядах СТРТна основе лабораторных испытаний образцов </v>
          </cell>
        </row>
      </sheetData>
      <sheetData sheetId="33">
        <row r="7">
          <cell r="C7" t="str">
            <v>Окончание работ по 1 дог.</v>
          </cell>
        </row>
      </sheetData>
      <sheetData sheetId="34">
        <row r="7">
          <cell r="D7">
            <v>41313</v>
          </cell>
        </row>
      </sheetData>
      <sheetData sheetId="35" refreshError="1"/>
      <sheetData sheetId="36">
        <row r="6">
          <cell r="C6" t="str">
            <v>199-5558-2010 эт.  04</v>
          </cell>
        </row>
      </sheetData>
      <sheetData sheetId="37" refreshError="1"/>
      <sheetData sheetId="38"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row r="13">
          <cell r="C13">
            <v>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КТПК"/>
      <sheetName val="Списки"/>
      <sheetName val="ЛР все отделы, все этапы"/>
      <sheetName val="для ЛР"/>
      <sheetName val="ПЗ"/>
      <sheetName val="Ввод_данных"/>
      <sheetName val="БГ от КИ"/>
      <sheetName val="БГ по годам"/>
      <sheetName val="БГ по этапам"/>
      <sheetName val="ф2.1 этапы"/>
      <sheetName val="ф6.1 ФОТосн"/>
      <sheetName val="Решение"/>
      <sheetName val="ТЭО"/>
      <sheetName val="ПЗ э"/>
      <sheetName val="Ф 1"/>
      <sheetName val="Ф 2_общ"/>
      <sheetName val="Ф 2_общ (год)"/>
      <sheetName val="Ф 2_01"/>
      <sheetName val="ф 2Д_01"/>
      <sheetName val="ф 2Д_02"/>
      <sheetName val="ф 2Д_03"/>
      <sheetName val="ф 2Д_04"/>
      <sheetName val="Ф 2_02"/>
      <sheetName val="Ф 2_03"/>
      <sheetName val="Ф 2_04"/>
      <sheetName val="Ф 4_01"/>
      <sheetName val="Ф 4_02"/>
      <sheetName val="Ф 4_03"/>
      <sheetName val="Ф 4_04"/>
      <sheetName val="Ф 7_01 (new)"/>
      <sheetName val="Ф 7_02 (new)"/>
      <sheetName val="Ф 7_03 (new)"/>
      <sheetName val="Ф 7_04 (new)"/>
      <sheetName val="Ф 7_01"/>
      <sheetName val="Ф 7_02"/>
      <sheetName val="Ф 7_03"/>
      <sheetName val="Ф 7_04"/>
      <sheetName val="Ф 9_01"/>
      <sheetName val="Ф 9_01_не исп."/>
      <sheetName val="Ф 9_02"/>
      <sheetName val="Ф 9_03"/>
      <sheetName val="Ф 9_04"/>
      <sheetName val="Ф 18_01"/>
      <sheetName val="Ф 18_02"/>
      <sheetName val="Ф 18_03"/>
      <sheetName val="Ф 18_04"/>
      <sheetName val="Ф 20_01"/>
      <sheetName val="Ф 20_02"/>
      <sheetName val="Ф 20_03"/>
      <sheetName val="Ф 20_04"/>
      <sheetName val="Ф 5_01"/>
      <sheetName val="Ф 5_02"/>
      <sheetName val="Ф 5_03"/>
      <sheetName val="Ф 5_04"/>
      <sheetName val="Ф 6_01"/>
      <sheetName val="Ф 6_02"/>
      <sheetName val="Ф 6_03"/>
      <sheetName val="Ф 6_04"/>
      <sheetName val="Ф 8_01"/>
      <sheetName val="Ф 8_02"/>
      <sheetName val="Ф 8_03"/>
      <sheetName val="Ф 8_04"/>
      <sheetName val="Ф 13_01"/>
      <sheetName val="Ф 13_02"/>
      <sheetName val="Ф 13_03"/>
      <sheetName val="Ф 13_04"/>
      <sheetName val="Ф 14_01"/>
      <sheetName val="Ф 14_02"/>
      <sheetName val="Ф 14_03"/>
      <sheetName val="Ф 14_04"/>
      <sheetName val="Ф 15_01"/>
      <sheetName val="Ф 15_02"/>
      <sheetName val="Ф 15_03"/>
      <sheetName val="Ф 15_04"/>
      <sheetName val="Ф 16_01"/>
      <sheetName val="Ф 16_02"/>
      <sheetName val="Ф 16_03"/>
      <sheetName val="Ф 16_04"/>
      <sheetName val="Ф 17_01"/>
      <sheetName val="Ф 17_02"/>
      <sheetName val="Ф 17_03"/>
      <sheetName val="Ф 17_04"/>
      <sheetName val="Ф 19_01"/>
      <sheetName val="Ф 19_02"/>
      <sheetName val="Ф 19_03"/>
      <sheetName val="Ф 19_04"/>
      <sheetName val="ЛР к паспорту"/>
      <sheetName val="КЗ"/>
      <sheetName val="ЛР (действ. с 01.02.16г.)"/>
      <sheetName val="ЛР"/>
      <sheetName val="ф4 Матер"/>
      <sheetName val="ф4.1 Сырье-Вспом"/>
      <sheetName val="ф5 Компл+Соиспол"/>
      <sheetName val="ф5.1 Полуфаб"/>
      <sheetName val="ф5.2 Комплект"/>
      <sheetName val="ф5.3 Соиспол"/>
      <sheetName val="ф9 СпецОбор+Прочие"/>
      <sheetName val="ф9.1 СпецОбор"/>
      <sheetName val="ф9.1.1 СпецоборСобств"/>
      <sheetName val="ф9.2 Команд"/>
      <sheetName val="ф9.3 Прочие"/>
    </sheetNames>
    <sheetDataSet>
      <sheetData sheetId="0"/>
      <sheetData sheetId="1">
        <row r="3">
          <cell r="B3" t="str">
            <v>НИР</v>
          </cell>
          <cell r="D3" t="str">
            <v>Роскосмос</v>
          </cell>
          <cell r="I3" t="str">
            <v>ФГУП ЦНИИмаш</v>
          </cell>
        </row>
        <row r="4">
          <cell r="B4" t="str">
            <v>ОКР</v>
          </cell>
          <cell r="D4" t="str">
            <v xml:space="preserve">Роскосмос структура </v>
          </cell>
          <cell r="I4" t="str">
            <v>ФГУП ЦНИИмаш</v>
          </cell>
        </row>
        <row r="5">
          <cell r="B5" t="str">
            <v>Услуги</v>
          </cell>
          <cell r="D5" t="str">
            <v>Спецпроекты</v>
          </cell>
          <cell r="I5" t="str">
            <v>ФГУП "ГКНПЦ им. М.В.Хруничева"</v>
          </cell>
        </row>
        <row r="6">
          <cell r="B6" t="str">
            <v>Прочая</v>
          </cell>
          <cell r="D6" t="str">
            <v>Спецпроекты структура</v>
          </cell>
          <cell r="I6" t="str">
            <v>ПО Полет - филиал ФГУП  ГКНПЦ им. М.В.Хруничева</v>
          </cell>
        </row>
        <row r="7">
          <cell r="B7" t="str">
            <v>СЧ ОКР</v>
          </cell>
          <cell r="D7" t="str">
            <v>Госзаказчики</v>
          </cell>
          <cell r="I7" t="str">
            <v>ОАО ИСС им. ак. М.Ф.Решетнева</v>
          </cell>
        </row>
        <row r="8">
          <cell r="B8" t="str">
            <v>СЧ НИР</v>
          </cell>
          <cell r="D8" t="str">
            <v>Госзаказчики структура</v>
          </cell>
          <cell r="I8" t="str">
            <v>ФГУП ГНП РКЦ ЦСКБ-Прогресс</v>
          </cell>
        </row>
        <row r="9">
          <cell r="D9" t="str">
            <v>ВЭД</v>
          </cell>
          <cell r="I9" t="str">
            <v>ФГУП КБ Арсенал им. М.В.Фрунзе</v>
          </cell>
        </row>
        <row r="10">
          <cell r="B10" t="str">
            <v>Госзаказ</v>
          </cell>
          <cell r="D10" t="str">
            <v>Прочие контрагенты</v>
          </cell>
          <cell r="I10" t="str">
            <v>ОАО РКК Энергия</v>
          </cell>
        </row>
        <row r="11">
          <cell r="B11" t="str">
            <v>Прямой</v>
          </cell>
          <cell r="D11" t="str">
            <v>Гранты</v>
          </cell>
          <cell r="I11" t="str">
            <v>ОАО Корпорация МИТ</v>
          </cell>
        </row>
        <row r="12">
          <cell r="G12" t="str">
            <v>Этап 01</v>
          </cell>
          <cell r="I12" t="str">
            <v>ОАО КБХА</v>
          </cell>
        </row>
        <row r="13">
          <cell r="G13" t="str">
            <v>Этап 01</v>
          </cell>
          <cell r="I13" t="str">
            <v>ГНЦ ФГУП Центр Келдыша</v>
          </cell>
        </row>
        <row r="14">
          <cell r="G14" t="str">
            <v>Этап 02</v>
          </cell>
          <cell r="I14" t="str">
            <v>ОАО "НИИ ТП"</v>
          </cell>
        </row>
        <row r="15">
          <cell r="G15" t="str">
            <v>Этап 02</v>
          </cell>
          <cell r="I15" t="str">
            <v>ОАО "Композит"</v>
          </cell>
        </row>
        <row r="16">
          <cell r="G16" t="str">
            <v>Этап 03</v>
          </cell>
          <cell r="I16" t="str">
            <v>ФГУП "ЦНИИ "Комета""</v>
          </cell>
        </row>
        <row r="17">
          <cell r="C17">
            <v>2016</v>
          </cell>
          <cell r="G17" t="str">
            <v>Этап 03</v>
          </cell>
          <cell r="I17" t="str">
            <v>ФГУП "НПО им.С.А.Лавочкина"</v>
          </cell>
        </row>
        <row r="18">
          <cell r="C18">
            <v>2017</v>
          </cell>
          <cell r="G18" t="str">
            <v>Этап 04</v>
          </cell>
          <cell r="I18" t="str">
            <v>ОАО "ГРЦ Макеева"</v>
          </cell>
        </row>
        <row r="19">
          <cell r="C19">
            <v>2018</v>
          </cell>
          <cell r="G19" t="str">
            <v>Этап 04</v>
          </cell>
          <cell r="I19" t="str">
            <v>ЗАО "МКК "Космотрас""</v>
          </cell>
        </row>
        <row r="20">
          <cell r="C20">
            <v>2019</v>
          </cell>
          <cell r="G20">
            <v>0</v>
          </cell>
          <cell r="I20" t="str">
            <v>ФГУП ЦЭНКИ</v>
          </cell>
        </row>
        <row r="21">
          <cell r="C21">
            <v>2020</v>
          </cell>
          <cell r="G21">
            <v>0</v>
          </cell>
          <cell r="I21" t="str">
            <v>ОАО "Пензтяжпромарматура"</v>
          </cell>
        </row>
        <row r="22">
          <cell r="C22">
            <v>2021</v>
          </cell>
          <cell r="I22" t="str">
            <v>Федеральное космическое агенство</v>
          </cell>
        </row>
        <row r="23">
          <cell r="C23">
            <v>2022</v>
          </cell>
          <cell r="I23" t="str">
            <v>Роскосмос</v>
          </cell>
        </row>
        <row r="24">
          <cell r="C24">
            <v>2023</v>
          </cell>
          <cell r="I24">
            <v>5551</v>
          </cell>
        </row>
        <row r="25">
          <cell r="C25">
            <v>2024</v>
          </cell>
          <cell r="I25">
            <v>5552</v>
          </cell>
        </row>
        <row r="26">
          <cell r="C26">
            <v>2025</v>
          </cell>
          <cell r="I26">
            <v>5553</v>
          </cell>
        </row>
        <row r="27">
          <cell r="C27">
            <v>2026</v>
          </cell>
          <cell r="I27">
            <v>5555</v>
          </cell>
        </row>
        <row r="28">
          <cell r="C28">
            <v>2027</v>
          </cell>
          <cell r="I28">
            <v>5556</v>
          </cell>
        </row>
        <row r="29">
          <cell r="I29">
            <v>5557</v>
          </cell>
        </row>
        <row r="30">
          <cell r="I30">
            <v>5558</v>
          </cell>
        </row>
        <row r="31">
          <cell r="B31" t="str">
            <v>отд. 5550</v>
          </cell>
          <cell r="I31">
            <v>5550</v>
          </cell>
        </row>
        <row r="32">
          <cell r="B32" t="str">
            <v>отд. 5551</v>
          </cell>
          <cell r="I32" t="str">
            <v>Союз КТИ</v>
          </cell>
        </row>
        <row r="33">
          <cell r="B33" t="str">
            <v>отд. 5552</v>
          </cell>
        </row>
        <row r="34">
          <cell r="B34" t="str">
            <v>отд. 5553</v>
          </cell>
        </row>
        <row r="35">
          <cell r="B35" t="str">
            <v>отд. 5555</v>
          </cell>
        </row>
        <row r="36">
          <cell r="B36" t="str">
            <v>отд. 5556</v>
          </cell>
        </row>
        <row r="37">
          <cell r="B37" t="str">
            <v>отд. 5557</v>
          </cell>
        </row>
        <row r="38">
          <cell r="B38" t="str">
            <v>отд. 5558</v>
          </cell>
        </row>
        <row r="39">
          <cell r="B39" t="str">
            <v>1 Центр</v>
          </cell>
        </row>
        <row r="40">
          <cell r="B40" t="str">
            <v>2 Центр</v>
          </cell>
        </row>
        <row r="41">
          <cell r="B41" t="str">
            <v>3 Центр</v>
          </cell>
        </row>
        <row r="42">
          <cell r="B42" t="str">
            <v>4 Центр</v>
          </cell>
        </row>
        <row r="43">
          <cell r="B43" t="str">
            <v>8 Центр</v>
          </cell>
        </row>
        <row r="44">
          <cell r="B44" t="str">
            <v>отд. 2000</v>
          </cell>
        </row>
        <row r="45">
          <cell r="B45" t="str">
            <v>401 отделение</v>
          </cell>
        </row>
        <row r="46">
          <cell r="B46" t="str">
            <v>5эЦПр</v>
          </cell>
        </row>
      </sheetData>
      <sheetData sheetId="2"/>
      <sheetData sheetId="3"/>
      <sheetData sheetId="4"/>
      <sheetData sheetId="5">
        <row r="18">
          <cell r="B18">
            <v>43749</v>
          </cell>
        </row>
      </sheetData>
      <sheetData sheetId="6"/>
      <sheetData sheetId="7"/>
      <sheetData sheetId="8"/>
      <sheetData sheetId="9"/>
      <sheetData sheetId="10">
        <row r="14">
          <cell r="F14">
            <v>54145.75</v>
          </cell>
        </row>
      </sheetData>
      <sheetData sheetId="11"/>
      <sheetData sheetId="12"/>
      <sheetData sheetId="13"/>
      <sheetData sheetId="14">
        <row r="22">
          <cell r="B22" t="str">
            <v>этап 01</v>
          </cell>
        </row>
      </sheetData>
      <sheetData sheetId="15">
        <row r="62">
          <cell r="H62" t="str">
            <v>И.С. Комаров</v>
          </cell>
        </row>
      </sheetData>
      <sheetData sheetId="16"/>
      <sheetData sheetId="17">
        <row r="5">
          <cell r="C5" t="str">
            <v>этап 01 темы СЧ НИР Норма-2022 "Прикладные исследования и разработка ключевых элементов и методов экспериментальной отработки ракетно-космической техники в период 2019– 2022 годов".</v>
          </cell>
        </row>
      </sheetData>
      <sheetData sheetId="18">
        <row r="30">
          <cell r="H30">
            <v>34941987.149999999</v>
          </cell>
        </row>
      </sheetData>
      <sheetData sheetId="19"/>
      <sheetData sheetId="20"/>
      <sheetData sheetId="21"/>
      <sheetData sheetId="22"/>
      <sheetData sheetId="23"/>
      <sheetData sheetId="24"/>
      <sheetData sheetId="25">
        <row r="15">
          <cell r="Q15">
            <v>336000</v>
          </cell>
        </row>
      </sheetData>
      <sheetData sheetId="26"/>
      <sheetData sheetId="27"/>
      <sheetData sheetId="28"/>
      <sheetData sheetId="29">
        <row r="12">
          <cell r="E12" t="str">
            <v>с даты заключения контракта - 28.02.2020</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Сделать"/>
      <sheetName val="СПИСКИ"/>
      <sheetName val="НОРМАТИВЫ"/>
      <sheetName val="Ввод данных"/>
      <sheetName val="НИОКР"/>
      <sheetName val="СПРАВОЧНО"/>
      <sheetName val="Пояс.зап. "/>
      <sheetName val="ф1_Протокол "/>
      <sheetName val="ф2_1э"/>
      <sheetName val="ф2д_1э"/>
      <sheetName val="ф2_2э "/>
      <sheetName val="ф2д_2э "/>
      <sheetName val="ф2_3э "/>
      <sheetName val="ф2д_3э "/>
      <sheetName val="ф4_1э"/>
      <sheetName val="ф4д _1э"/>
      <sheetName val="ф4_2э"/>
      <sheetName val="ф4д _2э"/>
      <sheetName val="ф4_3э"/>
      <sheetName val="ф4д _3э"/>
      <sheetName val="ф9_1э"/>
      <sheetName val="ф9д_1э"/>
      <sheetName val="ф9_2э"/>
      <sheetName val="ф9д_2э"/>
      <sheetName val="ф9_3э"/>
      <sheetName val="ф9д_3э"/>
      <sheetName val="ф20_1э"/>
      <sheetName val="20ф_эт2"/>
      <sheetName val="ф20_2э"/>
      <sheetName val="ф20_3э "/>
      <sheetName val="В Базу"/>
      <sheetName val="Лист1"/>
    </sheetNames>
    <sheetDataSet>
      <sheetData sheetId="0" refreshError="1"/>
      <sheetData sheetId="1" refreshError="1">
        <row r="2">
          <cell r="W2" t="str">
            <v>2002</v>
          </cell>
        </row>
        <row r="3">
          <cell r="B3" t="str">
            <v>НИР</v>
          </cell>
          <cell r="D3" t="str">
            <v>ФБ</v>
          </cell>
          <cell r="F3" t="str">
            <v>РК</v>
          </cell>
          <cell r="H3" t="str">
            <v xml:space="preserve">без НДС </v>
          </cell>
          <cell r="J3" t="str">
            <v>Бюджет</v>
          </cell>
          <cell r="L3" t="str">
            <v>от ФОТ</v>
          </cell>
          <cell r="N3" t="str">
            <v>тыс.руб.</v>
          </cell>
          <cell r="P3" t="str">
            <v>выполняемых работ</v>
          </cell>
          <cell r="Q3" t="str">
            <v xml:space="preserve">постановление Правительства Российской федерации от 02.12.2017г. №1465; </v>
          </cell>
          <cell r="U3" t="str">
            <v>Знайда Т.А.</v>
          </cell>
          <cell r="W3" t="str">
            <v>20021</v>
          </cell>
        </row>
        <row r="4">
          <cell r="B4" t="str">
            <v>ОКР</v>
          </cell>
          <cell r="D4" t="str">
            <v>РБ</v>
          </cell>
          <cell r="F4" t="str">
            <v>РК стр</v>
          </cell>
          <cell r="H4" t="str">
            <v>НДС  со ставкой - 20%</v>
          </cell>
          <cell r="J4" t="str">
            <v>НМЦК</v>
          </cell>
          <cell r="L4" t="str">
            <v>от С/с соб*</v>
          </cell>
          <cell r="N4" t="str">
            <v>руб.</v>
          </cell>
          <cell r="P4" t="str">
            <v>выполненных работ</v>
          </cell>
          <cell r="Q4" t="str">
            <v>приказ ФАС России от 26.08.2019г. №1138/19;</v>
          </cell>
          <cell r="U4" t="str">
            <v>Зубкова О.В.</v>
          </cell>
          <cell r="W4" t="str">
            <v>20022</v>
          </cell>
        </row>
        <row r="5">
          <cell r="B5" t="str">
            <v>Услуги</v>
          </cell>
          <cell r="D5" t="str">
            <v>МБ</v>
          </cell>
          <cell r="F5" t="str">
            <v>Спецпр</v>
          </cell>
          <cell r="H5" t="str">
            <v>НДС со ставкой  - 0%</v>
          </cell>
          <cell r="J5" t="str">
            <v xml:space="preserve">КС </v>
          </cell>
          <cell r="L5" t="str">
            <v>от С/с соб**</v>
          </cell>
          <cell r="N5" t="str">
            <v>%</v>
          </cell>
          <cell r="P5" t="str">
            <v>научно-технической услуги</v>
          </cell>
          <cell r="Q5" t="str">
            <v>приказ Минпромторга России от 08.02.2019 №334.</v>
          </cell>
          <cell r="U5" t="str">
            <v>Коблова И.В.</v>
          </cell>
          <cell r="W5" t="str">
            <v>20023</v>
          </cell>
        </row>
        <row r="6">
          <cell r="B6" t="str">
            <v>Прочая</v>
          </cell>
          <cell r="D6" t="str">
            <v>ВЭД</v>
          </cell>
          <cell r="F6" t="str">
            <v>Спецпр стр</v>
          </cell>
          <cell r="H6" t="str">
            <v>НДС со ставкой  - 8%</v>
          </cell>
          <cell r="J6" t="str">
            <v>перевод в ФЦ</v>
          </cell>
          <cell r="L6" t="str">
            <v>от ОЗП</v>
          </cell>
          <cell r="N6" t="str">
            <v>чел-час</v>
          </cell>
          <cell r="Q6" t="str">
            <v>приказ Минэкономразвития России от 01.04.2020 №190</v>
          </cell>
          <cell r="U6" t="str">
            <v>Лаврикетис О.С.</v>
          </cell>
          <cell r="W6" t="str">
            <v>20024</v>
          </cell>
        </row>
        <row r="7">
          <cell r="B7" t="str">
            <v>СЧ ОКР</v>
          </cell>
          <cell r="D7" t="str">
            <v>Ком</v>
          </cell>
          <cell r="F7" t="str">
            <v>ГосЗак</v>
          </cell>
          <cell r="J7" t="str">
            <v>Договор</v>
          </cell>
          <cell r="N7" t="str">
            <v>чел-мес</v>
          </cell>
          <cell r="U7" t="str">
            <v>Малыгина О.Н.</v>
          </cell>
          <cell r="W7" t="str">
            <v>20025</v>
          </cell>
        </row>
        <row r="8">
          <cell r="B8" t="str">
            <v>СЧ НИР</v>
          </cell>
          <cell r="D8" t="str">
            <v>Амор</v>
          </cell>
          <cell r="F8" t="str">
            <v>ГосЗак стр</v>
          </cell>
          <cell r="J8" t="str">
            <v>Портфель</v>
          </cell>
          <cell r="U8" t="str">
            <v>Татарова Д.А.</v>
          </cell>
          <cell r="W8" t="str">
            <v>20026</v>
          </cell>
        </row>
        <row r="9">
          <cell r="B9" t="str">
            <v>НТУ</v>
          </cell>
          <cell r="D9" t="str">
            <v>Соб ср</v>
          </cell>
          <cell r="F9" t="str">
            <v>ВЭД</v>
          </cell>
          <cell r="W9" t="str">
            <v>20027</v>
          </cell>
        </row>
        <row r="10">
          <cell r="F10" t="str">
            <v xml:space="preserve">Прочие </v>
          </cell>
        </row>
        <row r="11">
          <cell r="F11" t="str">
            <v>Гранты</v>
          </cell>
          <cell r="H11" t="str">
            <v>фиксированная</v>
          </cell>
          <cell r="I11" t="str">
            <v>предусмотрена</v>
          </cell>
          <cell r="L11" t="str">
            <v>ГОЗ</v>
          </cell>
          <cell r="N11" t="str">
            <v>ГК</v>
          </cell>
          <cell r="P11" t="str">
            <v>"Временных нормативов трудоёмкости на подготовку и проведение экспериментов на испытательных стендах Центра прочности ФГУП ЦНИИмаш", "Временных нормативов трудоёмкости на работы по аэрогазодинамике и теплообмену" и письма ГК "Роскосмос" от 24.02.2021 исх.№67-4699</v>
          </cell>
          <cell r="W11" t="str">
            <v>2001</v>
          </cell>
        </row>
        <row r="12">
          <cell r="F12" t="str">
            <v>ЦНИИмаш</v>
          </cell>
          <cell r="H12" t="str">
            <v>ориентировочная</v>
          </cell>
          <cell r="I12" t="str">
            <v>не предусмотрена</v>
          </cell>
          <cell r="L12" t="str">
            <v>не ГОЗ</v>
          </cell>
          <cell r="N12" t="str">
            <v>ПР</v>
          </cell>
          <cell r="P12" t="str">
            <v>аналогичных работ</v>
          </cell>
          <cell r="W12" t="str">
            <v>2001</v>
          </cell>
        </row>
        <row r="13">
          <cell r="H13" t="str">
            <v>возмещающая издержки</v>
          </cell>
          <cell r="N13" t="str">
            <v>Проч</v>
          </cell>
          <cell r="P13" t="str">
            <v>"Временных нормативов трудоёмкости на работы по аэрогазодинамике и теплообмену" и "Сборника типовых нормативов на разработку конструкторской документации"</v>
          </cell>
          <cell r="W13" t="str">
            <v>02010</v>
          </cell>
        </row>
        <row r="14">
          <cell r="H14" t="str">
            <v>прогнозная</v>
          </cell>
          <cell r="L14" t="str">
            <v>от Цены</v>
          </cell>
          <cell r="P14" t="str">
            <v>"Временные нормативы трудоёмкости на работы в области качества и надёжности"</v>
          </cell>
          <cell r="W14" t="str">
            <v>20011</v>
          </cell>
        </row>
        <row r="15">
          <cell r="L15" t="str">
            <v>от Трудоёмкости</v>
          </cell>
          <cell r="P15" t="str">
            <v>"Временных нормативов трудоёмкости на работы по аэрогазодинамике и теплообмену"</v>
          </cell>
          <cell r="W15" t="str">
            <v>20012</v>
          </cell>
        </row>
        <row r="16">
          <cell r="W16" t="str">
            <v>02013</v>
          </cell>
        </row>
        <row r="17">
          <cell r="W17" t="str">
            <v>20014</v>
          </cell>
        </row>
        <row r="18">
          <cell r="B18" t="str">
            <v>ФКП</v>
          </cell>
          <cell r="H18">
            <v>2016</v>
          </cell>
          <cell r="W18" t="str">
            <v>20015</v>
          </cell>
        </row>
        <row r="19">
          <cell r="B19" t="str">
            <v>ФКП СП</v>
          </cell>
          <cell r="H19">
            <v>2017</v>
          </cell>
          <cell r="W19" t="str">
            <v>20016</v>
          </cell>
        </row>
        <row r="20">
          <cell r="B20" t="str">
            <v>ФЦП "Развитие ОПК"</v>
          </cell>
          <cell r="H20">
            <v>2018</v>
          </cell>
          <cell r="W20" t="str">
            <v>20017</v>
          </cell>
        </row>
        <row r="21">
          <cell r="B21" t="str">
            <v>Программа спецпроектов</v>
          </cell>
          <cell r="H21">
            <v>2019</v>
          </cell>
          <cell r="W21" t="str">
            <v>1 Центр</v>
          </cell>
        </row>
        <row r="22">
          <cell r="B22" t="str">
            <v>Прочие вне программы</v>
          </cell>
          <cell r="H22">
            <v>2020</v>
          </cell>
          <cell r="W22" t="str">
            <v>3 Центр</v>
          </cell>
        </row>
        <row r="23">
          <cell r="B23" t="str">
            <v>Прочие программы по РКТ</v>
          </cell>
          <cell r="H23">
            <v>2021</v>
          </cell>
          <cell r="W23" t="str">
            <v>4 Центр</v>
          </cell>
        </row>
        <row r="24">
          <cell r="B24" t="str">
            <v>ВЭД</v>
          </cell>
          <cell r="H24">
            <v>2022</v>
          </cell>
        </row>
        <row r="25">
          <cell r="B25" t="str">
            <v>Прочие договора</v>
          </cell>
          <cell r="H25">
            <v>2023</v>
          </cell>
        </row>
        <row r="26">
          <cell r="B26" t="str">
            <v>НИОКР внебюджет (обязательство)</v>
          </cell>
          <cell r="H26">
            <v>2024</v>
          </cell>
          <cell r="J26" t="str">
            <v>Протокол цены</v>
          </cell>
          <cell r="L26" t="str">
            <v>Определение цены государственного контракта</v>
          </cell>
        </row>
        <row r="27">
          <cell r="B27" t="str">
            <v>ФА инвестпрограмма</v>
          </cell>
          <cell r="H27">
            <v>2025</v>
          </cell>
          <cell r="J27" t="str">
            <v xml:space="preserve">Протокол прогнозной цены </v>
          </cell>
          <cell r="L27" t="str">
            <v>Определение цены контракта</v>
          </cell>
        </row>
        <row r="28">
          <cell r="B28" t="str">
            <v>Поддержание стендовой базы</v>
          </cell>
          <cell r="H28">
            <v>2026</v>
          </cell>
          <cell r="J28" t="str">
            <v>Протокол фиксированной цены</v>
          </cell>
          <cell r="L28" t="str">
            <v>Определение цены договора</v>
          </cell>
        </row>
        <row r="29">
          <cell r="B29" t="str">
            <v>Прочие вне программ (вспомог.произв)</v>
          </cell>
          <cell r="H29">
            <v>2027</v>
          </cell>
          <cell r="J29" t="str">
            <v>Протокол ориентировочной цены</v>
          </cell>
          <cell r="L29" t="str">
            <v>Перевод из ориентировочной цены в фиксированную цену</v>
          </cell>
        </row>
        <row r="30">
          <cell r="B30" t="str">
            <v>Прочие вне программ (обслуж.произв)</v>
          </cell>
          <cell r="H30">
            <v>2028</v>
          </cell>
          <cell r="J30" t="str">
            <v>Согласование прогнозной цены</v>
          </cell>
          <cell r="L30" t="str">
            <v xml:space="preserve">Определение прогнозной цены единицы продукции </v>
          </cell>
        </row>
        <row r="31">
          <cell r="B31" t="str">
            <v>ПТП</v>
          </cell>
          <cell r="H31">
            <v>2029</v>
          </cell>
        </row>
        <row r="32">
          <cell r="B32" t="str">
            <v>СТП</v>
          </cell>
        </row>
        <row r="34">
          <cell r="B34" t="str">
            <v>Кураторы</v>
          </cell>
        </row>
        <row r="35">
          <cell r="B35" t="str">
            <v>Архиреева Е.</v>
          </cell>
          <cell r="H35">
            <v>1</v>
          </cell>
          <cell r="I35" t="str">
            <v>Др. Н-Тех прод-я</v>
          </cell>
          <cell r="L35" t="str">
            <v>ГК РОСКОСМОС</v>
          </cell>
        </row>
        <row r="36">
          <cell r="B36" t="str">
            <v>Корнев Д.В.</v>
          </cell>
          <cell r="H36" t="str">
            <v>1.1</v>
          </cell>
          <cell r="I36" t="str">
            <v>Автомат КА</v>
          </cell>
          <cell r="L36" t="str">
            <v>ВП МО 1382</v>
          </cell>
        </row>
        <row r="37">
          <cell r="B37" t="str">
            <v>Шиврин М.В.</v>
          </cell>
          <cell r="H37" t="str">
            <v>1.2</v>
          </cell>
          <cell r="I37" t="str">
            <v>Наземные комплексы (системы)</v>
          </cell>
          <cell r="L37" t="str">
            <v xml:space="preserve">АО "ЦНИИмаш" </v>
          </cell>
        </row>
        <row r="38">
          <cell r="B38" t="str">
            <v>Сонин А.С.</v>
          </cell>
          <cell r="H38" t="str">
            <v>1.3</v>
          </cell>
          <cell r="I38" t="str">
            <v>Космич корабли</v>
          </cell>
          <cell r="L38" t="str">
            <v xml:space="preserve">АО "ГКНПЦ им.М.В.ХРУНИЧЕВА" </v>
          </cell>
        </row>
        <row r="39">
          <cell r="B39" t="str">
            <v>Кондрашкин И.В.</v>
          </cell>
          <cell r="H39">
            <v>2</v>
          </cell>
          <cell r="I39" t="str">
            <v>РН</v>
          </cell>
          <cell r="L39" t="str">
            <v>ГКНПЦ ИМ.М.В.ХРУНИЧЕВА ФГУП - ПО ПОЛЕТ ФИЛИАЛ</v>
          </cell>
        </row>
        <row r="40">
          <cell r="B40" t="str">
            <v>Апетьян В.Э.</v>
          </cell>
          <cell r="H40" t="str">
            <v>2.1</v>
          </cell>
          <cell r="I40" t="str">
            <v>Проч основ профили РКП</v>
          </cell>
          <cell r="L40" t="str">
            <v>АО "ИСС"</v>
          </cell>
        </row>
        <row r="41">
          <cell r="B41" t="str">
            <v>Ежов А.Г.</v>
          </cell>
          <cell r="H41" t="str">
            <v>2.2</v>
          </cell>
          <cell r="I41" t="str">
            <v>Управление КА</v>
          </cell>
          <cell r="L41" t="str">
            <v>АРСЕНАЛ КБ ИМ.М.В.ФРУНЗЕ АО</v>
          </cell>
        </row>
        <row r="42">
          <cell r="B42" t="str">
            <v>Тихонов В.А.</v>
          </cell>
          <cell r="H42" t="str">
            <v>2.3</v>
          </cell>
          <cell r="I42" t="str">
            <v>Бортовое оборуд</v>
          </cell>
          <cell r="L42" t="str">
            <v>ПАО "РКК "ЭНЕРГИЯ"</v>
          </cell>
        </row>
        <row r="43">
          <cell r="B43" t="str">
            <v>Тимошина А.В.</v>
          </cell>
          <cell r="H43" t="str">
            <v>2.4</v>
          </cell>
          <cell r="I43" t="str">
            <v>Услуги по запуску КА</v>
          </cell>
          <cell r="L43" t="str">
            <v xml:space="preserve"> АО КОРПОРАЦИЯ "МИТ" </v>
          </cell>
        </row>
        <row r="44">
          <cell r="B44" t="str">
            <v>Трефилов С.И.</v>
          </cell>
          <cell r="H44">
            <v>3</v>
          </cell>
          <cell r="I44" t="str">
            <v>БРТ</v>
          </cell>
          <cell r="L44" t="str">
            <v>КБХА АО</v>
          </cell>
        </row>
        <row r="45">
          <cell r="B45" t="str">
            <v>Хайлов А.Н.</v>
          </cell>
          <cell r="H45" t="str">
            <v>3.1</v>
          </cell>
          <cell r="I45" t="str">
            <v>Проч основ услуги РКП</v>
          </cell>
          <cell r="L45" t="str">
            <v>ЦЕНТР КЕЛДЫША ГНЦ ФГУП</v>
          </cell>
        </row>
        <row r="46">
          <cell r="B46" t="str">
            <v>Королев М.С.</v>
          </cell>
          <cell r="H46" t="str">
            <v>3.2</v>
          </cell>
          <cell r="L46" t="str">
            <v>НИИ ТП АО</v>
          </cell>
        </row>
        <row r="47">
          <cell r="B47" t="str">
            <v>Лоцманов А.В.</v>
          </cell>
          <cell r="H47" t="str">
            <v>3.3</v>
          </cell>
          <cell r="L47" t="str">
            <v>КОМПОЗИТ АО</v>
          </cell>
        </row>
        <row r="48">
          <cell r="B48" t="str">
            <v>Королев М.С.</v>
          </cell>
          <cell r="H48">
            <v>4</v>
          </cell>
          <cell r="L48" t="str">
            <v>КОМЕТА КОРПОРАЦИЯ АО</v>
          </cell>
        </row>
        <row r="49">
          <cell r="B49" t="str">
            <v>Александров С.С.</v>
          </cell>
          <cell r="H49" t="str">
            <v>4.1</v>
          </cell>
          <cell r="L49" t="str">
            <v>АО "НПО" ЛАВОЧКИНА"</v>
          </cell>
        </row>
        <row r="50">
          <cell r="B50" t="str">
            <v>Папин С.Н.</v>
          </cell>
          <cell r="H50" t="str">
            <v>4.2</v>
          </cell>
          <cell r="I50" t="str">
            <v>Развитие орбит групп КА</v>
          </cell>
          <cell r="L50" t="str">
            <v>ГРЦ МАКЕЕВА АО</v>
          </cell>
        </row>
        <row r="51">
          <cell r="B51" t="str">
            <v>Митин А.Ю</v>
          </cell>
          <cell r="H51" t="str">
            <v>4.3</v>
          </cell>
          <cell r="I51" t="str">
            <v>Созд-е сис-мы средств вывед и назем инфраструктуры</v>
          </cell>
          <cell r="L51" t="str">
            <v>МКК КОСМОТРАС ООО</v>
          </cell>
        </row>
        <row r="52">
          <cell r="B52" t="str">
            <v>Юранёв О.А.</v>
          </cell>
          <cell r="H52">
            <v>5</v>
          </cell>
          <cell r="I52" t="str">
            <v>Сохр вед-х позиций в Пилот Полёт</v>
          </cell>
          <cell r="L52" t="str">
            <v>ЦЭНКИ ФГУП</v>
          </cell>
        </row>
        <row r="53">
          <cell r="B53" t="str">
            <v>Бабин А.В.</v>
          </cell>
          <cell r="H53" t="str">
            <v>5.1</v>
          </cell>
          <cell r="I53" t="str">
            <v>Формир новой науч-произ сист-мы</v>
          </cell>
          <cell r="L53" t="str">
            <v>АО "НПК "КБМ"</v>
          </cell>
        </row>
        <row r="54">
          <cell r="B54" t="str">
            <v>Мишин С.Я.</v>
          </cell>
          <cell r="H54" t="str">
            <v>5.2</v>
          </cell>
          <cell r="I54" t="str">
            <v>Меропр по др ФЦП (кроме ГК)</v>
          </cell>
          <cell r="L54" t="str">
            <v>ГКНПЦ ИМ. М.В. ХРУНИЧЕВА АО - КБХИММАШ ИМ. А.М. ИСАЕВА ФИЛИАЛ</v>
          </cell>
        </row>
        <row r="55">
          <cell r="B55" t="str">
            <v>Соломонов Е. В.</v>
          </cell>
          <cell r="H55" t="str">
            <v>5.3</v>
          </cell>
          <cell r="I55" t="str">
            <v>Обеспечение иновац развития</v>
          </cell>
          <cell r="L55" t="str">
            <v>ВПК НПО МАШИНОСТРОЕНИЯ АО</v>
          </cell>
        </row>
        <row r="56">
          <cell r="B56" t="str">
            <v>Тащилова Г.Е.</v>
          </cell>
          <cell r="H56">
            <v>6</v>
          </cell>
          <cell r="I56" t="str">
            <v>Повыш кач-ва и надёжн-ти РКТ и БРТ</v>
          </cell>
          <cell r="L56" t="str">
            <v>ЭНЕРГОМАШ НПО АО КАМСКИЙ ФИЛИАЛ</v>
          </cell>
        </row>
        <row r="57">
          <cell r="B57" t="str">
            <v>Товарнова  Н.А.</v>
          </cell>
          <cell r="H57" t="str">
            <v>6.1</v>
          </cell>
          <cell r="I57" t="str">
            <v>Обеспеч произ-ва БРТ</v>
          </cell>
          <cell r="L57" t="str">
            <v>АО "НИИ Парашютостроения"</v>
          </cell>
        </row>
        <row r="58">
          <cell r="B58" t="str">
            <v>Маркина О.А.</v>
          </cell>
          <cell r="H58" t="str">
            <v>6.2</v>
          </cell>
          <cell r="I58" t="str">
            <v>Участие в междун косм программах</v>
          </cell>
          <cell r="L58" t="str">
            <v>ИСКРА ЭНЕРГОМАШ</v>
          </cell>
        </row>
        <row r="59">
          <cell r="B59" t="str">
            <v>Терентьев М.А.</v>
          </cell>
          <cell r="H59" t="str">
            <v>6.3</v>
          </cell>
          <cell r="I59" t="str">
            <v>Развитие НКИ в обеспечение ДЗЗ и спутнитниковой связи</v>
          </cell>
          <cell r="L59" t="str">
            <v>АО "РКЦ "ПРОГРЕСС"</v>
          </cell>
        </row>
        <row r="60">
          <cell r="B60" t="str">
            <v>Юмагулов Э.Р.</v>
          </cell>
          <cell r="H60">
            <v>7</v>
          </cell>
          <cell r="I60" t="str">
            <v>Коммерциал и диверсификация</v>
          </cell>
          <cell r="L60" t="str">
            <v>ИСКРА МКБ ИМЕНИ И.И. КАРТУКОВА АО</v>
          </cell>
        </row>
        <row r="61">
          <cell r="B61" t="str">
            <v>Анисимов А.В.</v>
          </cell>
          <cell r="H61" t="str">
            <v>7.1</v>
          </cell>
          <cell r="L61" t="str">
            <v>Протон-ПМ ПАО</v>
          </cell>
        </row>
        <row r="62">
          <cell r="B62" t="str">
            <v>Бондаренко А.Ю.</v>
          </cell>
          <cell r="H62" t="str">
            <v>7.2</v>
          </cell>
          <cell r="L62" t="str">
            <v>ВНИИЭМ КОРПОРАЦИЯ  АО им. А.Г.Иосифьяна</v>
          </cell>
        </row>
        <row r="63">
          <cell r="B63" t="str">
            <v>Шувалова Т.В.</v>
          </cell>
          <cell r="H63" t="str">
            <v>7.3</v>
          </cell>
          <cell r="L63" t="str">
            <v xml:space="preserve">АО ГЛАВКОСМОС </v>
          </cell>
        </row>
        <row r="64">
          <cell r="B64" t="str">
            <v>Авершьев С.П.</v>
          </cell>
          <cell r="H64">
            <v>8</v>
          </cell>
          <cell r="I64" t="str">
            <v>ПДН</v>
          </cell>
          <cell r="L64" t="str">
            <v>ОРБИТА ЗАО</v>
          </cell>
        </row>
        <row r="65">
          <cell r="B65" t="str">
            <v>Сафонов А.В.</v>
          </cell>
          <cell r="H65" t="str">
            <v>8.1</v>
          </cell>
          <cell r="I65" t="str">
            <v>ПВН</v>
          </cell>
          <cell r="L65" t="str">
            <v>ГКНПЦ ИМ.М.В.ХРУНИЧЕВА КБ "САЛЮТ" АО</v>
          </cell>
        </row>
        <row r="66">
          <cell r="B66" t="str">
            <v>Лихачёва Е.С.</v>
          </cell>
          <cell r="H66" t="str">
            <v>8.2</v>
          </cell>
          <cell r="L66" t="str">
            <v>АО "НПО "ЭНЕРГОМАШ"</v>
          </cell>
        </row>
        <row r="67">
          <cell r="B67" t="str">
            <v>Горохов В.Б.</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Списки"/>
      <sheetName val=" База_2015 г"/>
      <sheetName val="ФОТ_ЗАВЕРШ.15"/>
      <sheetName val="ФОТ_ЗАВЕРШ.14"/>
      <sheetName val="Распределение загрузки_15 "/>
      <sheetName val="Распределение загрузки 14"/>
      <sheetName val="ЗАВЕРШЕНИЕ_2015"/>
      <sheetName val="Накладные"/>
      <sheetName val="Лист1"/>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НТП на 2015г"/>
      <sheetName val="План 2015г ред_1"/>
    </sheetNames>
    <sheetDataSet>
      <sheetData sheetId="0">
        <row r="3">
          <cell r="A3" t="str">
            <v>ФКП</v>
          </cell>
          <cell r="J3" t="str">
            <v>ОКР</v>
          </cell>
        </row>
        <row r="4">
          <cell r="J4" t="str">
            <v>СЧ ОКР</v>
          </cell>
        </row>
        <row r="5">
          <cell r="J5" t="str">
            <v>НИР</v>
          </cell>
        </row>
        <row r="6">
          <cell r="J6" t="str">
            <v>СЧ НИР</v>
          </cell>
        </row>
        <row r="7">
          <cell r="J7" t="str">
            <v>Услуга</v>
          </cell>
        </row>
      </sheetData>
      <sheetData sheetId="1">
        <row r="6">
          <cell r="C6">
            <v>9</v>
          </cell>
          <cell r="G6" t="str">
            <v xml:space="preserve">9-5551-2004 эт.  21  (ЛИАНА) </v>
          </cell>
        </row>
        <row r="7">
          <cell r="G7" t="str">
            <v xml:space="preserve">9-5551-2004 эт.  23  (ЛИАНА) </v>
          </cell>
        </row>
        <row r="8">
          <cell r="G8" t="str">
            <v xml:space="preserve">9-5551-2004 эт.  26.1  (ЛИАНА) </v>
          </cell>
        </row>
        <row r="9">
          <cell r="G9" t="str">
            <v xml:space="preserve">9-5551-2004 эт.  26.2  (ЛИАНА) </v>
          </cell>
        </row>
        <row r="10">
          <cell r="G10" t="str">
            <v xml:space="preserve">9-5551-2004 эт.  26.3  (ЛИАНА) </v>
          </cell>
        </row>
        <row r="11">
          <cell r="G11" t="str">
            <v xml:space="preserve">16-1313-2013 эт.  23  (МКС (НАДЁЖНОСТЬ-НАУКА)) </v>
          </cell>
        </row>
        <row r="12">
          <cell r="G12" t="str">
            <v xml:space="preserve">16-1313-2013 эт.  24  (МКС (НАДЁЖНОСТЬ-НАУКА)) </v>
          </cell>
        </row>
        <row r="13">
          <cell r="G13" t="str">
            <v xml:space="preserve">16-1313-2013 эт.  26  (МКС (НАДЁЖНОСТЬ-НАУКА)) </v>
          </cell>
        </row>
        <row r="14">
          <cell r="G14" t="str">
            <v xml:space="preserve">26-4141-2014 эт.  02  (14К035) </v>
          </cell>
        </row>
        <row r="15">
          <cell r="G15" t="str">
            <v xml:space="preserve">31-5558-2013 эт.  03  (КВТК) </v>
          </cell>
        </row>
        <row r="16">
          <cell r="G16" t="str">
            <v xml:space="preserve">35-5558-2014 эт.  01  (ПРОТОН-М) </v>
          </cell>
        </row>
        <row r="17">
          <cell r="G17" t="str">
            <v xml:space="preserve">36-5558-2014 эт.  01  (ПРОТОН-М) </v>
          </cell>
        </row>
        <row r="18">
          <cell r="G18">
            <v>0</v>
          </cell>
        </row>
        <row r="19">
          <cell r="G19" t="str">
            <v xml:space="preserve">46-5558-2012 эт.  03  (АНГАРА) </v>
          </cell>
        </row>
        <row r="20">
          <cell r="G20" t="str">
            <v xml:space="preserve">53-5558-2014 эт.  03  (ГПВРД) </v>
          </cell>
        </row>
        <row r="21">
          <cell r="G21" t="str">
            <v xml:space="preserve">69-2000-2012 эт.  04  (БАЗА-М) </v>
          </cell>
        </row>
        <row r="22">
          <cell r="G22" t="str">
            <v xml:space="preserve">87-2206-2008 эт.  16  (АНГАРА) </v>
          </cell>
        </row>
        <row r="23">
          <cell r="G23" t="str">
            <v xml:space="preserve">87-2206-2008 эт.  18  (АНГАРА) </v>
          </cell>
        </row>
        <row r="24">
          <cell r="G24" t="str">
            <v xml:space="preserve">98-5556-2013 эт.  02  (РЕЗОНАНС) </v>
          </cell>
        </row>
        <row r="25">
          <cell r="G25" t="str">
            <v>100-5552-2014 эт.  01</v>
          </cell>
        </row>
        <row r="26">
          <cell r="G26" t="str">
            <v xml:space="preserve">101-5552-2014 эт.  01  (Вибрационные испытания) </v>
          </cell>
        </row>
        <row r="27">
          <cell r="G27" t="str">
            <v xml:space="preserve">104-4141-2014 эт.  01  (14К031) </v>
          </cell>
        </row>
        <row r="28">
          <cell r="G28" t="str">
            <v xml:space="preserve">110-2000-2012 эт.  35  (ЭКСПЕРИМЕНТ) </v>
          </cell>
        </row>
        <row r="29">
          <cell r="G29" t="str">
            <v xml:space="preserve">110-2000-2012 эт.  37  (ЭКСПЕРИМЕНТ) </v>
          </cell>
        </row>
        <row r="30">
          <cell r="G30" t="str">
            <v xml:space="preserve">110-2000-2012 эт.  38  (ЭКСПЕРИМЕНТ) </v>
          </cell>
        </row>
        <row r="31">
          <cell r="G31" t="str">
            <v xml:space="preserve">110-2000-2012 эт.  39  (ЭКСПЕРИМЕНТ) </v>
          </cell>
        </row>
        <row r="32">
          <cell r="G32" t="str">
            <v xml:space="preserve">110-2000-2012 эт.  41  (ЭКСПЕРИМЕНТ) </v>
          </cell>
        </row>
        <row r="33">
          <cell r="G33" t="str">
            <v xml:space="preserve">120-5558-2014 эт.  02  (РН СОЮЗ-ВОСТОК) </v>
          </cell>
        </row>
        <row r="34">
          <cell r="G34" t="str">
            <v xml:space="preserve">122-5558-2014 эт.  02  (РН СОЮЗ-ВОСТОК) </v>
          </cell>
        </row>
        <row r="35">
          <cell r="G35" t="str">
            <v xml:space="preserve">130-5558-2014 эт.  02  (АНГАРА 1.2) </v>
          </cell>
        </row>
        <row r="36">
          <cell r="G36" t="str">
            <v xml:space="preserve">130-5558-2014 эт.  03  (АНГАРА 1.2) </v>
          </cell>
        </row>
        <row r="37">
          <cell r="G37" t="str">
            <v xml:space="preserve">132-2000-2014 эт.  02  (БАЗА-М СОВЕРШЕНСТВОВАНИЕ-2) </v>
          </cell>
        </row>
        <row r="38">
          <cell r="G38" t="str">
            <v xml:space="preserve">138-5551-2014 эт.  01  (МКС ЭКСПЛУАТАЦИЯ) </v>
          </cell>
        </row>
        <row r="39">
          <cell r="G39" t="str">
            <v xml:space="preserve">153-1035-2014 эт.  02  (МАГИСТРАЛЬ (ЗАДЕЛ-АКА)) </v>
          </cell>
        </row>
        <row r="40">
          <cell r="G40" t="str">
            <v xml:space="preserve">158-1201-2014 эт.  01  (СОЮЗ-ВОСТОК) </v>
          </cell>
        </row>
        <row r="41">
          <cell r="G41" t="str">
            <v xml:space="preserve">175-2100-2014 эт.  08  (ГИПЕРЗВУК РКТ) </v>
          </cell>
        </row>
        <row r="42">
          <cell r="G42" t="str">
            <v xml:space="preserve">175-2100-2014 эт.  19  (ГИПЕРЗВУК РКТ) </v>
          </cell>
        </row>
        <row r="43">
          <cell r="G43" t="str">
            <v xml:space="preserve">181-5558-2014 эт.  02  (РН-Союз-Восток) </v>
          </cell>
        </row>
        <row r="44">
          <cell r="G44" t="str">
            <v xml:space="preserve">181-5558-2014 эт.  03  (РН-Союз-Восток) </v>
          </cell>
        </row>
        <row r="45">
          <cell r="G45" t="str">
            <v xml:space="preserve">192-1201-2012 эт.  1  (14Ф142) </v>
          </cell>
        </row>
        <row r="46">
          <cell r="G46" t="str">
            <v xml:space="preserve">192-4143-2014 эт.  02  (РЕЗОНАНС. СОПРОВОЖДЕНИЕ-Ц) </v>
          </cell>
        </row>
        <row r="47">
          <cell r="G47" t="str">
            <v xml:space="preserve">199-5551-2014 эт.  01  (КАНОПУС-СТ) </v>
          </cell>
        </row>
        <row r="48">
          <cell r="G48">
            <v>0</v>
          </cell>
        </row>
        <row r="49">
          <cell r="G49" t="str">
            <v xml:space="preserve">202-1201-2014 эт.  01  (ЛКИ №2) </v>
          </cell>
        </row>
        <row r="50">
          <cell r="G50" t="str">
            <v>205-5553-2014 эт.  01</v>
          </cell>
        </row>
        <row r="51">
          <cell r="G51" t="str">
            <v xml:space="preserve">212-4152-2014 эт.  01  (ФРЕГАТ-МТ 133-01) </v>
          </cell>
        </row>
        <row r="52">
          <cell r="G52" t="str">
            <v xml:space="preserve">217-2100-2011 эт.  09  (ОТРАБОТКА-К) </v>
          </cell>
        </row>
        <row r="53">
          <cell r="G53" t="str">
            <v xml:space="preserve">217-2100-2011 эт.  10  (ОТРАБОТКА-К) </v>
          </cell>
        </row>
        <row r="54">
          <cell r="G54" t="str">
            <v xml:space="preserve">227-5558-2014 эт.  01  (АНГАРА-1.2) </v>
          </cell>
        </row>
        <row r="55">
          <cell r="G55" t="str">
            <v xml:space="preserve">227-5558-2014 эт.  02  (АНГАРА-1.2) </v>
          </cell>
        </row>
        <row r="56">
          <cell r="G56" t="str">
            <v xml:space="preserve">227-5558-2014 эт.  03  (АНГАРА-1.2) </v>
          </cell>
        </row>
        <row r="57">
          <cell r="G57" t="str">
            <v xml:space="preserve">227-5558-2014 эт.  04  (АНГАРА-1.2) </v>
          </cell>
        </row>
        <row r="58">
          <cell r="G58" t="str">
            <v xml:space="preserve">227-5558-2014 эт.  05  (АНГАРА-1.2) </v>
          </cell>
        </row>
        <row r="59">
          <cell r="G59" t="str">
            <v xml:space="preserve">235-4151-2014 эт.  01  (СОЮЗ-СТ КА ОЗВ №3) </v>
          </cell>
        </row>
        <row r="60">
          <cell r="G60" t="str">
            <v xml:space="preserve">235-5556-2011 эт.  05  (КТКиСБ) </v>
          </cell>
        </row>
        <row r="61">
          <cell r="G61" t="str">
            <v>236-5553-2014 эт.  01</v>
          </cell>
        </row>
        <row r="62">
          <cell r="G62" t="str">
            <v xml:space="preserve">248-5554-2011 эт.  08  (ПРОЧНОСТЬ ТРТ ) </v>
          </cell>
        </row>
        <row r="63">
          <cell r="G63" t="str">
            <v xml:space="preserve">248-5554-2011 эт.  09  (ПРОЧНОСТЬ ТРТ ) </v>
          </cell>
        </row>
        <row r="64">
          <cell r="G64" t="str">
            <v xml:space="preserve">250-5554-2011 эт.  08  (ПО ЖРД) </v>
          </cell>
        </row>
        <row r="65">
          <cell r="G65" t="str">
            <v xml:space="preserve">250-5554-2011 эт.  09  (ПО ЖРД) </v>
          </cell>
        </row>
        <row r="66">
          <cell r="G66" t="str">
            <v xml:space="preserve">310-5557-2013 эт.  02  (САРМАТ) </v>
          </cell>
        </row>
        <row r="67">
          <cell r="G67" t="str">
            <v xml:space="preserve">310-5557-2013 эт.  03  (САРМАТ) </v>
          </cell>
        </row>
        <row r="68">
          <cell r="G68">
            <v>0</v>
          </cell>
        </row>
        <row r="69">
          <cell r="G69" t="str">
            <v xml:space="preserve">323-4152-2013 эт.  01  (КА ЭКСПРЕСС-АМ8) </v>
          </cell>
        </row>
        <row r="70">
          <cell r="G70" t="str">
            <v xml:space="preserve">234-1324-2014 эт.  01  (ГАММА-400 (ТП)-Э) </v>
          </cell>
        </row>
        <row r="71">
          <cell r="G71">
            <v>0</v>
          </cell>
        </row>
        <row r="72">
          <cell r="G72" t="str">
            <v>КТКиСБ-Ц-5556-2013 эт.  04</v>
          </cell>
        </row>
        <row r="73">
          <cell r="G73" t="str">
            <v>Отработка-КЦ-2100-2013 эт.  03</v>
          </cell>
        </row>
        <row r="74">
          <cell r="G74" t="str">
            <v>Отработка-КЦ-2100-2013 эт.  04</v>
          </cell>
        </row>
        <row r="75">
          <cell r="G75" t="str">
            <v>ПОЖРД-Ц-5551-2013 эт.  03</v>
          </cell>
        </row>
        <row r="76">
          <cell r="G76" t="str">
            <v>КТКиСБ-Ц-5556-2013 эт.  05</v>
          </cell>
        </row>
        <row r="77">
          <cell r="G77" t="str">
            <v>ПРОЧНОСТЬ ТРТ-Ц-5554-2013 эт.  04</v>
          </cell>
        </row>
        <row r="78">
          <cell r="G78" t="str">
            <v xml:space="preserve">3-5551-2015 эт.  01  (РБ 11С861-03) </v>
          </cell>
        </row>
        <row r="79">
          <cell r="G79" t="str">
            <v xml:space="preserve">3-5551-2015 эт.  02  (РБ 11С861-03) </v>
          </cell>
        </row>
        <row r="80">
          <cell r="G80" t="str">
            <v xml:space="preserve">3-5551-2015 эт.  03  (РБ 11С861-03) </v>
          </cell>
        </row>
        <row r="81">
          <cell r="G81" t="str">
            <v>Отработка-КЦ-2100-2013 эт.  05</v>
          </cell>
        </row>
        <row r="82">
          <cell r="G82" t="str">
            <v xml:space="preserve">26-4141-2014 эт.  01  (14К035) </v>
          </cell>
        </row>
        <row r="83">
          <cell r="G83" t="str">
            <v xml:space="preserve">165-1312-2014 эт.  02  (Магистраль-(Облик ПК)) </v>
          </cell>
        </row>
        <row r="84">
          <cell r="G84" t="str">
            <v>41-5552-2015 эт.  01</v>
          </cell>
        </row>
        <row r="85">
          <cell r="G85" t="str">
            <v>41-5552-2015 эт.  02</v>
          </cell>
        </row>
        <row r="86">
          <cell r="G86" t="str">
            <v>41-5552-2015 эт.  03</v>
          </cell>
        </row>
        <row r="87">
          <cell r="G87" t="str">
            <v>41-5552-2015 эт.  04</v>
          </cell>
        </row>
        <row r="88">
          <cell r="G88" t="str">
            <v xml:space="preserve">21-5558-2015 эт.  01  (МКС (Эксплуатация-1)) </v>
          </cell>
        </row>
        <row r="89">
          <cell r="G89">
            <v>0</v>
          </cell>
        </row>
        <row r="90">
          <cell r="G90" t="str">
            <v xml:space="preserve">85-4222-2012 эт.  04  (Надежность КА и СВ) </v>
          </cell>
        </row>
        <row r="91">
          <cell r="G91" t="str">
            <v>15-5552-2015 эт.  01</v>
          </cell>
        </row>
        <row r="92">
          <cell r="G92" t="str">
            <v>15-5552-2015 эт.  02</v>
          </cell>
        </row>
        <row r="93">
          <cell r="G93">
            <v>0</v>
          </cell>
        </row>
        <row r="94">
          <cell r="G94">
            <v>0</v>
          </cell>
        </row>
        <row r="95">
          <cell r="G95" t="str">
            <v xml:space="preserve">153-1035-2014 эт.  03  (Магистраль-(Задел-АКА)) </v>
          </cell>
        </row>
        <row r="96">
          <cell r="G96" t="str">
            <v xml:space="preserve">153-1035-2014 эт.  04  (Магистраль-(Задел-АКА)) </v>
          </cell>
        </row>
        <row r="97">
          <cell r="G97" t="str">
            <v>45-5551-2015 эт.  01</v>
          </cell>
        </row>
        <row r="98">
          <cell r="G98" t="str">
            <v xml:space="preserve">166-4151-2014 эт.  02  ( СОЮЗ-СТ) </v>
          </cell>
        </row>
        <row r="99">
          <cell r="G99" t="str">
            <v xml:space="preserve">96-4014-2014 эт.  02  (УДАРЕНИЕ) </v>
          </cell>
        </row>
        <row r="100">
          <cell r="G100" t="str">
            <v xml:space="preserve">43-5557-2015 эт.  01  (ГПВ) </v>
          </cell>
        </row>
        <row r="101">
          <cell r="G101" t="str">
            <v xml:space="preserve">43-5557-2015 эт.  02  (ГПВ) </v>
          </cell>
        </row>
        <row r="102">
          <cell r="G102" t="str">
            <v xml:space="preserve">233-1201-2014 эт.  01  ("Inmarsat") </v>
          </cell>
        </row>
        <row r="103">
          <cell r="G103" t="str">
            <v xml:space="preserve">16-1313-2013 эт.  27  (МКС (НАДЁЖНОСТЬ-НАУКА)) </v>
          </cell>
        </row>
        <row r="104">
          <cell r="G104" t="str">
            <v>Отработка-КЦ-2100-2013 эт.  04.1</v>
          </cell>
        </row>
        <row r="105">
          <cell r="G105" t="str">
            <v xml:space="preserve">6-4152-2015 эт.  01  (ФРЕГАТ-М) </v>
          </cell>
        </row>
        <row r="106">
          <cell r="G106" t="str">
            <v xml:space="preserve">10-7012-2015 эт.  01  (14К046-ЦНИИмаш экспертиза) </v>
          </cell>
        </row>
        <row r="107">
          <cell r="G107" t="str">
            <v xml:space="preserve">178-4151-2014 эт.  01  (СОЮЗ-ВОСТОК) </v>
          </cell>
        </row>
        <row r="108">
          <cell r="G108" t="str">
            <v>Отработка-КЦ-2100-2013 эт.  05.1</v>
          </cell>
        </row>
        <row r="109">
          <cell r="G109" t="str">
            <v xml:space="preserve">73-5551-2015 эт.  01  (СОЮЗ-ВОСТОК (ПУСК)) </v>
          </cell>
        </row>
        <row r="110">
          <cell r="G110" t="str">
            <v xml:space="preserve">42-2001-2015 эт.  01  (ЭХО-ЦНИИМАШ) </v>
          </cell>
        </row>
        <row r="111">
          <cell r="G111" t="str">
            <v>236-5553-2014 эт.  02</v>
          </cell>
        </row>
        <row r="112">
          <cell r="G112">
            <v>0</v>
          </cell>
        </row>
        <row r="113">
          <cell r="G113" t="str">
            <v xml:space="preserve">118-2312-2011 эт.  03  (ОКР 14Ф136) </v>
          </cell>
        </row>
        <row r="114">
          <cell r="G114" t="str">
            <v xml:space="preserve">79-5556-2015 эт.  01  ( Испытания сборки 1 изделия В372РБ01) </v>
          </cell>
        </row>
        <row r="115">
          <cell r="G115" t="str">
            <v>211-1021-2014 эт.  01</v>
          </cell>
        </row>
        <row r="116">
          <cell r="G116" t="str">
            <v xml:space="preserve">79-5556-2015 эт.  02  ( Испытания сборки 1 изделия В372РБ01) </v>
          </cell>
        </row>
        <row r="117">
          <cell r="G117" t="str">
            <v xml:space="preserve">176-4151-2014 эт.  02  (КРН 14К35) </v>
          </cell>
        </row>
        <row r="118">
          <cell r="G118" t="str">
            <v xml:space="preserve">32-1201-2015 эт.  01  (14Ф149) </v>
          </cell>
        </row>
        <row r="119">
          <cell r="G119" t="str">
            <v xml:space="preserve">16-1313-2013 эт.  20  (МКС (НАДЁЖНОСТЬ-НАУКА)) </v>
          </cell>
        </row>
        <row r="120">
          <cell r="G120" t="str">
            <v xml:space="preserve">16-1313-2013 эт.  21  (МКС (НАДЁЖНОСТЬ-НАУКА)) </v>
          </cell>
        </row>
        <row r="121">
          <cell r="G121" t="str">
            <v xml:space="preserve">20-1201-2015 эт.  01  ("MexSаt-1") </v>
          </cell>
        </row>
        <row r="122">
          <cell r="G122" t="str">
            <v xml:space="preserve">48-1201-2015 эт.  01  ("Turrsat-4B") </v>
          </cell>
        </row>
        <row r="123">
          <cell r="G123" t="str">
            <v xml:space="preserve">113-3000-2012 эт.  05  (Заключение) </v>
          </cell>
        </row>
        <row r="124">
          <cell r="G124" t="str">
            <v>55-1202-2015 эт.  01</v>
          </cell>
        </row>
        <row r="125">
          <cell r="G125" t="str">
            <v xml:space="preserve">209-1205-2014 эт.  04  ("Энергетика-ЦНИИмаш") </v>
          </cell>
        </row>
        <row r="126">
          <cell r="G126" t="str">
            <v xml:space="preserve">209-1205-2014 эт.  05  ("Энергетика-ЦНИИмаш") </v>
          </cell>
        </row>
        <row r="127">
          <cell r="G127" t="str">
            <v xml:space="preserve">91-5551-2015 эт.  01  (РБ КВТК) </v>
          </cell>
        </row>
        <row r="128">
          <cell r="G128" t="str">
            <v xml:space="preserve">91-5551-2015 эт.  02  (РБ КВТК) </v>
          </cell>
        </row>
        <row r="129">
          <cell r="G129" t="str">
            <v xml:space="preserve">111-5551-2015 эт.  01  (ФАКЕЛ-РАЗВИТИЕ) </v>
          </cell>
        </row>
        <row r="130">
          <cell r="G130" t="str">
            <v xml:space="preserve">91-5551-2015 эт.  03  (РБ КВТК) </v>
          </cell>
        </row>
        <row r="131">
          <cell r="G131">
            <v>0</v>
          </cell>
        </row>
        <row r="132">
          <cell r="G132" t="str">
            <v>236-5553-2015 эт.  03</v>
          </cell>
        </row>
        <row r="133">
          <cell r="G133" t="str">
            <v xml:space="preserve">82-7012-2015 эт.  01  (Репей-НТС) </v>
          </cell>
        </row>
        <row r="134">
          <cell r="G134" t="str">
            <v xml:space="preserve">36-7012-2015 эт.  01  (Акварель-экспертиза) </v>
          </cell>
        </row>
        <row r="135">
          <cell r="G135" t="str">
            <v xml:space="preserve">78-4131-2015 эт.  01  (ОК 82М) </v>
          </cell>
        </row>
        <row r="136">
          <cell r="G136" t="str">
            <v xml:space="preserve">78-4131-2015 эт.  02  (ОК 82М) </v>
          </cell>
        </row>
        <row r="137">
          <cell r="G137" t="str">
            <v xml:space="preserve">78-4131-2015 эт.  03  (ОК 82М) </v>
          </cell>
        </row>
        <row r="138">
          <cell r="G138" t="str">
            <v xml:space="preserve">112-5551-2015 эт.  01  (ФАКЕЛ-РАЗВИТИЕ-КБХА) </v>
          </cell>
        </row>
        <row r="139">
          <cell r="G139" t="str">
            <v xml:space="preserve">89-7012-2015 эт.  01  (СЧ ОКР "Енисей-А1-Сисема-Экспетиза") </v>
          </cell>
        </row>
        <row r="140">
          <cell r="G140" t="str">
            <v xml:space="preserve">75-1201-2015 эт.  01  ("Союз-Восток"(Пуск)) </v>
          </cell>
        </row>
        <row r="141">
          <cell r="G141" t="str">
            <v xml:space="preserve">45-5558-2012 эт.  03.1  (АНГАРА) </v>
          </cell>
        </row>
        <row r="142">
          <cell r="G142" t="str">
            <v xml:space="preserve">45-5558-2012 эт.  03.2  (АНГАРА) </v>
          </cell>
        </row>
        <row r="143">
          <cell r="G143" t="str">
            <v xml:space="preserve">101-4132-2015 эт.  01  (СЧ ОКР ФРЕГАТ-МТ) </v>
          </cell>
        </row>
        <row r="144">
          <cell r="G144" t="str">
            <v xml:space="preserve">130-5551-2015 эт.  01  (САРМАТ) </v>
          </cell>
        </row>
        <row r="145">
          <cell r="G145" t="str">
            <v xml:space="preserve">130-5551-2015 эт.  02  (САРМАТ) </v>
          </cell>
        </row>
        <row r="146">
          <cell r="G146" t="str">
            <v xml:space="preserve">130-5551-2015 эт.  03  (САРМАТ) </v>
          </cell>
        </row>
        <row r="147">
          <cell r="G147" t="str">
            <v xml:space="preserve">44-4131-2015 эт.  01  (Союз-Восток(пуск)) </v>
          </cell>
        </row>
        <row r="148">
          <cell r="G148" t="str">
            <v xml:space="preserve">90-4131-2015 эт.  01  (Союз-СТ) </v>
          </cell>
        </row>
        <row r="149">
          <cell r="G149" t="str">
            <v xml:space="preserve">142-5557-2015 эт.  01  (ЗАРЯДЬЕ-ГРЦ) </v>
          </cell>
        </row>
        <row r="150">
          <cell r="G150" t="str">
            <v>* РАСЧ №10-5557-2015</v>
          </cell>
        </row>
        <row r="151">
          <cell r="G151" t="str">
            <v>28-5551-2015 эт.  01</v>
          </cell>
        </row>
        <row r="152">
          <cell r="G152" t="str">
            <v>55-1202-2015 эт.  03</v>
          </cell>
        </row>
        <row r="153">
          <cell r="G153" t="str">
            <v xml:space="preserve">133-4132-2015 эт.  01  (Фрегат-МТ) </v>
          </cell>
        </row>
        <row r="154">
          <cell r="G154" t="str">
            <v xml:space="preserve">148-5551-2015 эт.  01  (11ф145) </v>
          </cell>
        </row>
        <row r="155">
          <cell r="G155">
            <v>0</v>
          </cell>
        </row>
        <row r="156">
          <cell r="G156" t="str">
            <v>* РАСЧ №12-5557-2015</v>
          </cell>
        </row>
        <row r="157">
          <cell r="G157" t="str">
            <v>* РАСЧ №13-5557-2015</v>
          </cell>
        </row>
        <row r="158">
          <cell r="G158" t="str">
            <v>* РАСЧ №14-5557-2015</v>
          </cell>
        </row>
        <row r="159">
          <cell r="G159" t="str">
            <v xml:space="preserve">132-1407-2015 эт.  01  ("Кондор-ФКА") </v>
          </cell>
        </row>
        <row r="160">
          <cell r="G160" t="str">
            <v xml:space="preserve">96-4014-2014 эт.  03  (УДАРЕНИЕ) </v>
          </cell>
        </row>
        <row r="161">
          <cell r="G161" t="str">
            <v xml:space="preserve">53-1201-2015 эт.  01  (Экспесс-АМУ1) </v>
          </cell>
        </row>
        <row r="162">
          <cell r="G162" t="str">
            <v xml:space="preserve">7-1105-2015 эт.  01  (Сармат КБХА) </v>
          </cell>
        </row>
        <row r="163">
          <cell r="G163" t="str">
            <v xml:space="preserve">7-1105-2015 эт.  02  (Сармат КБХА) </v>
          </cell>
        </row>
        <row r="164">
          <cell r="G164" t="str">
            <v xml:space="preserve">49-1322-2015 эт.  01  (Лаплас-П-Э) </v>
          </cell>
        </row>
        <row r="165">
          <cell r="G165" t="str">
            <v xml:space="preserve">171-7011-2014 эт.  01  ("ППТС"(Перспектива-П,ЭП)) </v>
          </cell>
        </row>
        <row r="166">
          <cell r="G166" t="str">
            <v xml:space="preserve">110-2000-2012 эт.  44  (ЭКСПЕРИМЕНТ) </v>
          </cell>
        </row>
        <row r="167">
          <cell r="G167" t="str">
            <v xml:space="preserve">156-5552-2015 эт.  01  (14С48.0000Х61-0) </v>
          </cell>
        </row>
        <row r="168">
          <cell r="G168" t="str">
            <v xml:space="preserve">156-5552-2015 эт.  02  (14С48.0000Х61-0) </v>
          </cell>
        </row>
        <row r="169">
          <cell r="G169" t="str">
            <v xml:space="preserve">156-5552-2015 эт.  03  (14С48.0000Х61-0) </v>
          </cell>
        </row>
        <row r="170">
          <cell r="G170" t="str">
            <v>* РАСЧ №15-5557-2016</v>
          </cell>
        </row>
        <row r="171">
          <cell r="G171" t="str">
            <v>* РАСЧ №16-5557-2016</v>
          </cell>
        </row>
        <row r="173">
          <cell r="G173" t="str">
            <v>* РАСЧ №18-5552-2015</v>
          </cell>
        </row>
        <row r="174">
          <cell r="G174" t="str">
            <v>* РАСЧ №19-5552-2015</v>
          </cell>
        </row>
        <row r="175">
          <cell r="G175" t="str">
            <v>* РАСЧ №20-5552-2015</v>
          </cell>
        </row>
        <row r="176">
          <cell r="G176" t="str">
            <v>* РАСЧ №21-5552-2015</v>
          </cell>
        </row>
        <row r="177">
          <cell r="G177" t="str">
            <v>* РАСЧ №22-5552-2015</v>
          </cell>
        </row>
        <row r="178">
          <cell r="G178" t="str">
            <v>153-5551-2015 эт.  01</v>
          </cell>
        </row>
        <row r="179">
          <cell r="G179" t="str">
            <v xml:space="preserve">144-4131-2015 эт.  01  (Союз-СТ КА Галилео) </v>
          </cell>
        </row>
        <row r="180">
          <cell r="G180" t="str">
            <v xml:space="preserve">123-1324-2015 эт.  01  (КА"Ломоносов"-КНА) </v>
          </cell>
        </row>
        <row r="181">
          <cell r="G181" t="str">
            <v xml:space="preserve">110-1201-2015 эт.  01  (СЧ ОКР" DLA-2") </v>
          </cell>
        </row>
        <row r="182">
          <cell r="G182" t="str">
            <v>* РАСЧ №23-5551-2016</v>
          </cell>
        </row>
        <row r="183">
          <cell r="G183" t="str">
            <v>* РАСЧ №24-5551-2016</v>
          </cell>
        </row>
        <row r="184">
          <cell r="G184" t="str">
            <v>* РАСЧ №25-5551-2016</v>
          </cell>
        </row>
        <row r="185">
          <cell r="G185" t="str">
            <v>* РАСЧ №26-5556-2016</v>
          </cell>
        </row>
        <row r="186">
          <cell r="G186" t="str">
            <v>* РАСЧ №27-5556-2016</v>
          </cell>
        </row>
        <row r="187">
          <cell r="G187" t="str">
            <v xml:space="preserve">46-4123-2015 эт.  01  (СЧ ОКР Арктика-М.Сопровождение) </v>
          </cell>
        </row>
        <row r="188">
          <cell r="G188" t="str">
            <v xml:space="preserve">58-1201-2015 эт.  01  (СЧ ОКР "Экзомарс-2016") </v>
          </cell>
        </row>
        <row r="189">
          <cell r="G189" t="str">
            <v xml:space="preserve">29-5553-2016 эт.  01  (Климатические испытания) </v>
          </cell>
        </row>
        <row r="190">
          <cell r="G190" t="str">
            <v>* РАСЧ №28-5552-2016</v>
          </cell>
        </row>
        <row r="191">
          <cell r="G191" t="str">
            <v>* РАСЧ №29-5552-2016</v>
          </cell>
        </row>
        <row r="192">
          <cell r="G192" t="str">
            <v>* РАСЧ №30-5552-2016</v>
          </cell>
        </row>
        <row r="193">
          <cell r="G193">
            <v>0</v>
          </cell>
        </row>
        <row r="194">
          <cell r="G194">
            <v>0</v>
          </cell>
        </row>
        <row r="195">
          <cell r="G195" t="str">
            <v>* РАСЧ №33-5556-2016</v>
          </cell>
        </row>
        <row r="196">
          <cell r="G196" t="str">
            <v>* РАСЧ №34-5556-2016</v>
          </cell>
        </row>
        <row r="197">
          <cell r="G197" t="str">
            <v>* РАСЧ №35-5556-2016</v>
          </cell>
        </row>
        <row r="198">
          <cell r="G198" t="str">
            <v xml:space="preserve">26-5550-2016 эт.  01  (СЧ НИР НОРМА-2018) </v>
          </cell>
        </row>
        <row r="199">
          <cell r="G199" t="str">
            <v xml:space="preserve">1п-5550-2016 эт.  02  (СЧ ОКР МКС-Наука(Риск-Ресурс)) </v>
          </cell>
        </row>
        <row r="200">
          <cell r="G200" t="str">
            <v xml:space="preserve">1п-5550-2016 эт.  03  (СЧ ОКР МКС-Наука(Риск-Ресурс)) </v>
          </cell>
        </row>
        <row r="201">
          <cell r="G201" t="str">
            <v xml:space="preserve">18-2100-2016 эт.  01  ("База-Совершенствование-2018") </v>
          </cell>
        </row>
        <row r="202">
          <cell r="G202" t="str">
            <v>39-5557-2016 эт.  01</v>
          </cell>
        </row>
        <row r="203">
          <cell r="G203" t="str">
            <v>* РАСЧ №36-5551-2016</v>
          </cell>
        </row>
        <row r="204">
          <cell r="G204" t="str">
            <v>* РАСЧ №37-5551-2016</v>
          </cell>
        </row>
        <row r="205">
          <cell r="G205" t="str">
            <v>* РАСЧ №38-5551-2016</v>
          </cell>
        </row>
        <row r="206">
          <cell r="G206" t="str">
            <v>* РАСЧ №39-5551-2016</v>
          </cell>
        </row>
        <row r="207">
          <cell r="G207" t="str">
            <v>* РАСЧ №40-5551-2016</v>
          </cell>
        </row>
        <row r="208">
          <cell r="G208" t="str">
            <v>* РАСЧ №41-5551-2016</v>
          </cell>
        </row>
        <row r="209">
          <cell r="G209" t="str">
            <v>ГП 2Ц-6/60-5551-2016 эт.  01</v>
          </cell>
        </row>
        <row r="210">
          <cell r="G210" t="str">
            <v>ГП 2Ц-6/61-5551-2016 эт.  01</v>
          </cell>
        </row>
        <row r="211">
          <cell r="G211" t="str">
            <v>ГП 2Ц-6/62-5551-2016 эт.  01</v>
          </cell>
        </row>
        <row r="212">
          <cell r="G212" t="str">
            <v>* РАСЧ №42-5557-2016</v>
          </cell>
        </row>
        <row r="213">
          <cell r="G213" t="str">
            <v xml:space="preserve">146-3011-2015 эт.  06  (Заключение) </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0</v>
          </cell>
        </row>
        <row r="226">
          <cell r="G226">
            <v>0</v>
          </cell>
        </row>
        <row r="227">
          <cell r="G227">
            <v>0</v>
          </cell>
        </row>
        <row r="228">
          <cell r="G228">
            <v>0</v>
          </cell>
        </row>
        <row r="229">
          <cell r="G229">
            <v>0</v>
          </cell>
        </row>
        <row r="230">
          <cell r="G230">
            <v>0</v>
          </cell>
        </row>
        <row r="231">
          <cell r="G231">
            <v>0</v>
          </cell>
        </row>
        <row r="232">
          <cell r="G232">
            <v>0</v>
          </cell>
        </row>
        <row r="233">
          <cell r="G233">
            <v>0</v>
          </cell>
        </row>
        <row r="234">
          <cell r="G234">
            <v>0</v>
          </cell>
        </row>
        <row r="235">
          <cell r="G235">
            <v>0</v>
          </cell>
        </row>
        <row r="236">
          <cell r="G236">
            <v>0</v>
          </cell>
        </row>
        <row r="237">
          <cell r="G237">
            <v>0</v>
          </cell>
        </row>
        <row r="238">
          <cell r="G238">
            <v>0</v>
          </cell>
        </row>
        <row r="239">
          <cell r="G239">
            <v>0</v>
          </cell>
        </row>
        <row r="240">
          <cell r="G240">
            <v>0</v>
          </cell>
        </row>
        <row r="241">
          <cell r="G241">
            <v>0</v>
          </cell>
        </row>
        <row r="242">
          <cell r="G242">
            <v>0</v>
          </cell>
        </row>
        <row r="243">
          <cell r="G243">
            <v>0</v>
          </cell>
        </row>
        <row r="244">
          <cell r="G244">
            <v>0</v>
          </cell>
        </row>
        <row r="245">
          <cell r="G245">
            <v>0</v>
          </cell>
        </row>
        <row r="246">
          <cell r="G246">
            <v>0</v>
          </cell>
        </row>
        <row r="247">
          <cell r="G247">
            <v>0</v>
          </cell>
        </row>
      </sheetData>
      <sheetData sheetId="2">
        <row r="6">
          <cell r="C6" t="str">
            <v>Окончание работ по 4 дог.</v>
          </cell>
        </row>
      </sheetData>
      <sheetData sheetId="3">
        <row r="6">
          <cell r="O6">
            <v>283.29798999999997</v>
          </cell>
        </row>
      </sheetData>
      <sheetData sheetId="4">
        <row r="4">
          <cell r="N4" t="str">
            <v>V работ ("закл"+"по решению")</v>
          </cell>
        </row>
      </sheetData>
      <sheetData sheetId="5">
        <row r="7">
          <cell r="D7" t="str">
            <v xml:space="preserve">16-1313-2013 этап 11 CЧ ОКР МКС (Надежность-Наука) </v>
          </cell>
        </row>
      </sheetData>
      <sheetData sheetId="6">
        <row r="8">
          <cell r="K8" t="str">
            <v>100-5552-2014_01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Лист2"/>
      <sheetName val="Лист3"/>
      <sheetName val="25"/>
      <sheetName val="26"/>
      <sheetName val="Лист4"/>
      <sheetName val="Лист5"/>
      <sheetName val="накладные к приказу"/>
      <sheetName val="ЦСП 2011"/>
      <sheetName val="ЦСП 2011-8.02.11 кор"/>
    </sheetNames>
    <sheetDataSet>
      <sheetData sheetId="0"/>
      <sheetData sheetId="1"/>
      <sheetData sheetId="2"/>
      <sheetData sheetId="3"/>
      <sheetData sheetId="4"/>
      <sheetData sheetId="5">
        <row r="1">
          <cell r="A1" t="str">
            <v>Брак в производстве</v>
          </cell>
          <cell r="B1" t="str">
            <v xml:space="preserve">Прочие </v>
          </cell>
          <cell r="C1" t="str">
            <v>Оплата труда</v>
          </cell>
        </row>
        <row r="2">
          <cell r="A2" t="str">
            <v>Вложения во внеоборотные активы</v>
          </cell>
          <cell r="B2" t="str">
            <v>Материальные</v>
          </cell>
          <cell r="C2" t="str">
            <v>Амортизация</v>
          </cell>
        </row>
        <row r="3">
          <cell r="A3" t="str">
            <v>Издержки обращения</v>
          </cell>
          <cell r="B3" t="str">
            <v>Оплата труда</v>
          </cell>
          <cell r="C3" t="str">
            <v>Аренда федерального и муниципального имущества</v>
          </cell>
        </row>
        <row r="4">
          <cell r="A4" t="str">
            <v>Коммерческие расходы</v>
          </cell>
          <cell r="B4" t="str">
            <v>Амортизация</v>
          </cell>
          <cell r="C4" t="str">
            <v>Добровольное личное страхование, предусматривающее оплату страховщикам медицинских расходов</v>
          </cell>
        </row>
        <row r="5">
          <cell r="A5" t="str">
            <v>Производственные расходы</v>
          </cell>
          <cell r="C5" t="str">
            <v>Договоры добровольного личного страхования, заключаемые исключительно на случай наступления смерти или утраты трудоспособности</v>
          </cell>
        </row>
        <row r="6">
          <cell r="A6" t="str">
            <v>Общепроизводственные расходы</v>
          </cell>
          <cell r="C6" t="str">
            <v>Добровольное страхование по договорам долгосрочного страхования жизни работников, пенсионного страхования и (или…)</v>
          </cell>
        </row>
        <row r="7">
          <cell r="A7" t="str">
            <v>Общехозяйственные расходы</v>
          </cell>
          <cell r="C7" t="str">
            <v>Амортизационная премия</v>
          </cell>
        </row>
        <row r="8">
          <cell r="A8" t="str">
            <v>Прочие</v>
          </cell>
          <cell r="C8" t="str">
            <v>Командировочные расходы</v>
          </cell>
        </row>
        <row r="9">
          <cell r="A9" t="str">
            <v>Не учитываемые в целях налогообложения</v>
          </cell>
          <cell r="C9" t="str">
            <v>Материальные расходы</v>
          </cell>
        </row>
        <row r="10">
          <cell r="C10" t="str">
            <v>Удалить страховые взносы</v>
          </cell>
        </row>
        <row r="11">
          <cell r="C11" t="str">
            <v>Налоги и сборы</v>
          </cell>
        </row>
        <row r="12">
          <cell r="C12" t="str">
            <v>НИОКР</v>
          </cell>
        </row>
        <row r="13">
          <cell r="C13" t="str">
            <v>Обязательное и добровольное страхование имущества</v>
          </cell>
        </row>
        <row r="14">
          <cell r="C14" t="str">
            <v>Прочие расходы</v>
          </cell>
        </row>
        <row r="15">
          <cell r="C15" t="str">
            <v>Представительские расходы</v>
          </cell>
        </row>
        <row r="16">
          <cell r="C16" t="str">
            <v>Расходы на рекламу (нормируемые)</v>
          </cell>
        </row>
        <row r="17">
          <cell r="C17" t="str">
            <v>Ремонт основных средств</v>
          </cell>
        </row>
        <row r="18">
          <cell r="C18" t="str">
            <v>Расходы на возмещение затрат работников по уплате процентов</v>
          </cell>
        </row>
        <row r="19">
          <cell r="C19" t="str">
            <v>Освоение природных ресурсов</v>
          </cell>
        </row>
        <row r="20">
          <cell r="C20" t="str">
            <v>Не учитываемые в целях налогообложение</v>
          </cell>
        </row>
        <row r="21">
          <cell r="C21" t="str">
            <v>ЕСН</v>
          </cell>
        </row>
        <row r="22">
          <cell r="C22" t="str">
            <v>Транспортные расходы</v>
          </cell>
        </row>
        <row r="23">
          <cell r="C23" t="str">
            <v>Страховые взносы</v>
          </cell>
        </row>
      </sheetData>
      <sheetData sheetId="6"/>
      <sheetData sheetId="7"/>
      <sheetData sheetId="8"/>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2"/>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3">
          <cell r="A3" t="str">
            <v>Дополнительное соглашение №1к государственному контракту  от "04" июля 2007   №851-1117/07</v>
          </cell>
        </row>
        <row r="25">
          <cell r="D25">
            <v>1021.2</v>
          </cell>
          <cell r="E25">
            <v>1020.5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Списки"/>
      <sheetName val=" База_2016 г"/>
      <sheetName val=" Портфель до 2020г"/>
      <sheetName val="ФОТ_ЗАВЕРШ.16"/>
      <sheetName val="ФОТ_ЗАВЕРШ.15"/>
      <sheetName val="Распределение загрузки_16 "/>
      <sheetName val="Распределение загрузки_15 "/>
      <sheetName val="ЗАВЕРШЕНИЕ_2016"/>
      <sheetName val="ЗАВЕРШЕНИЕ_2015 "/>
      <sheetName val="Накладные"/>
      <sheetName val="Лист1"/>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НТП на 2015г"/>
    </sheetNames>
    <sheetDataSet>
      <sheetData sheetId="0">
        <row r="3">
          <cell r="A3" t="str">
            <v>ФКП</v>
          </cell>
          <cell r="C3" t="str">
            <v>ФБ</v>
          </cell>
          <cell r="F3" t="str">
            <v xml:space="preserve">ЦНИИмаш ФГУП </v>
          </cell>
          <cell r="I3" t="str">
            <v>ГЗ</v>
          </cell>
          <cell r="K3" t="str">
            <v>Акт сдан Головником</v>
          </cell>
          <cell r="L3" t="str">
            <v>мат-лы переданы в ГО</v>
          </cell>
        </row>
        <row r="4">
          <cell r="C4" t="str">
            <v>Капвл</v>
          </cell>
          <cell r="F4" t="str">
            <v>ГКНПЦ им. М.В.Хруничева ФГУП</v>
          </cell>
          <cell r="I4" t="str">
            <v>ПР</v>
          </cell>
          <cell r="K4" t="str">
            <v>Копия акта сдана в бухгалтерию</v>
          </cell>
          <cell r="L4" t="str">
            <v>Акт в ЦНИИМаш</v>
          </cell>
        </row>
        <row r="5">
          <cell r="C5" t="str">
            <v>Ком</v>
          </cell>
          <cell r="F5" t="str">
            <v>ПО Полет - филиал ФГУП  ГКНПЦ им. М.В.Хруничева</v>
          </cell>
          <cell r="I5" t="str">
            <v>Проч</v>
          </cell>
          <cell r="K5" t="str">
            <v xml:space="preserve">Копия акта сдана </v>
          </cell>
          <cell r="L5" t="str">
            <v>Акт подписан</v>
          </cell>
        </row>
        <row r="6">
          <cell r="C6" t="str">
            <v>Приб</v>
          </cell>
          <cell r="F6" t="str">
            <v>ИСС им. ак. М.Ф.Решетнева ОАО</v>
          </cell>
          <cell r="K6" t="str">
            <v xml:space="preserve">Акт сдан </v>
          </cell>
          <cell r="L6" t="str">
            <v>Подготовлен отчёт</v>
          </cell>
        </row>
        <row r="7">
          <cell r="F7" t="str">
            <v>ГНПРКЦ ЦСКБ-Прогресс ФГУП</v>
          </cell>
        </row>
        <row r="8">
          <cell r="F8" t="str">
            <v>КБ Арсенал ФГУП</v>
          </cell>
        </row>
        <row r="9">
          <cell r="F9" t="str">
            <v>РКК Энергия ОАО</v>
          </cell>
        </row>
        <row r="10">
          <cell r="F10" t="str">
            <v>Корпорация МИТ ОАО</v>
          </cell>
        </row>
        <row r="11">
          <cell r="F11" t="str">
            <v>КБХА АО</v>
          </cell>
        </row>
        <row r="12">
          <cell r="F12" t="str">
            <v>ГНЦ Центр Келдыша ФГУП</v>
          </cell>
        </row>
        <row r="13">
          <cell r="F13" t="str">
            <v>НИИ ТП ОАО</v>
          </cell>
        </row>
        <row r="14">
          <cell r="F14" t="str">
            <v>Композит ОАО</v>
          </cell>
        </row>
        <row r="15">
          <cell r="F15" t="str">
            <v>ЦНИИ Комета ФГУП</v>
          </cell>
        </row>
        <row r="16">
          <cell r="F16" t="str">
            <v>НПО им.С.А.Лавочкина ФГУП</v>
          </cell>
        </row>
        <row r="17">
          <cell r="F17" t="str">
            <v>ГРЦ Макеева ОАО</v>
          </cell>
        </row>
        <row r="18">
          <cell r="F18" t="str">
            <v>ЗАО МКК Космотрас</v>
          </cell>
        </row>
        <row r="19">
          <cell r="F19" t="str">
            <v>ЦЭНКИ ФГУП</v>
          </cell>
        </row>
        <row r="20">
          <cell r="F20" t="str">
            <v>НВП Болид ЗАО</v>
          </cell>
        </row>
        <row r="21">
          <cell r="F21" t="str">
            <v>ФКА</v>
          </cell>
        </row>
        <row r="22">
          <cell r="F22" t="str">
            <v>Индия</v>
          </cell>
        </row>
        <row r="23">
          <cell r="F23" t="str">
            <v>КБхиммаш им. А.М. Исаева - филиал ФГУП  ГКНПЦ им. М.В.Хруничева</v>
          </cell>
        </row>
        <row r="24">
          <cell r="F24" t="str">
            <v>АО "ВПК "НПО машиностроения"</v>
          </cell>
        </row>
        <row r="25">
          <cell r="F25" t="str">
            <v>НПО Энергомаш им. Ак. В.П. Глушко ОАО - Камский филиал</v>
          </cell>
        </row>
        <row r="26">
          <cell r="F26" t="str">
            <v>НИКИЭТ ОАО</v>
          </cell>
        </row>
        <row r="27">
          <cell r="F27" t="str">
            <v>Гусар ООО</v>
          </cell>
        </row>
        <row r="28">
          <cell r="F28" t="str">
            <v>ЦКБА ЗАО</v>
          </cell>
        </row>
        <row r="29">
          <cell r="F29" t="str">
            <v>Армагус ОАО</v>
          </cell>
        </row>
        <row r="30">
          <cell r="F30" t="str">
            <v>Спецтехника НТЦ</v>
          </cell>
        </row>
        <row r="31">
          <cell r="F31" t="str">
            <v>МинОбороны</v>
          </cell>
        </row>
        <row r="32">
          <cell r="F32" t="str">
            <v>Маштест ЗАО НПП</v>
          </cell>
        </row>
        <row r="33">
          <cell r="F33" t="str">
            <v>Уралхиммаш ОАО</v>
          </cell>
        </row>
        <row r="34">
          <cell r="F34" t="str">
            <v>ПТПА ОАО</v>
          </cell>
        </row>
        <row r="35">
          <cell r="F35" t="str">
            <v>Искра Энергомаш ООО</v>
          </cell>
        </row>
        <row r="36">
          <cell r="F36" t="str">
            <v>ЦНИИСМ ОАО</v>
          </cell>
        </row>
        <row r="37">
          <cell r="F37" t="str">
            <v>Союз КТИ</v>
          </cell>
        </row>
        <row r="38">
          <cell r="F38" t="str">
            <v>РКЦ ПРОГРЕСС АО</v>
          </cell>
        </row>
        <row r="39">
          <cell r="F39" t="str">
            <v>Корпорация ВНИИЭМ ОАО</v>
          </cell>
        </row>
        <row r="40">
          <cell r="F40" t="str">
            <v>ОКБ ГИДРОПРЕСС АО</v>
          </cell>
        </row>
        <row r="41">
          <cell r="F41" t="str">
            <v>ЦП СЯС АВН АНО</v>
          </cell>
        </row>
        <row r="42">
          <cell r="F42" t="str">
            <v>ТД Арматурный завод ООО</v>
          </cell>
        </row>
        <row r="43">
          <cell r="F43" t="str">
            <v>НИЦ РКП ФКП</v>
          </cell>
        </row>
        <row r="44">
          <cell r="F44" t="str">
            <v>МКБ ИСКРА АО</v>
          </cell>
        </row>
        <row r="45">
          <cell r="F45" t="str">
            <v>МАМИ</v>
          </cell>
        </row>
        <row r="46">
          <cell r="F46" t="str">
            <v>НПО КОМПЛЕКС ООО</v>
          </cell>
        </row>
        <row r="47">
          <cell r="F47" t="str">
            <v>ПАО "Протон-ПМ"</v>
          </cell>
        </row>
        <row r="48">
          <cell r="F48" t="str">
            <v>НИЦ ИРТ ООО</v>
          </cell>
        </row>
        <row r="49">
          <cell r="F49" t="str">
            <v>ГЛАВКОСМОС</v>
          </cell>
        </row>
        <row r="50">
          <cell r="F50" t="str">
            <v>ОРБИТА ЗАО</v>
          </cell>
        </row>
      </sheetData>
      <sheetData sheetId="1">
        <row r="6">
          <cell r="F6" t="str">
            <v>01</v>
          </cell>
          <cell r="G6" t="str">
            <v xml:space="preserve">7-1105-2015 эт.  01  (Сармат КБХА) </v>
          </cell>
        </row>
        <row r="7">
          <cell r="G7" t="str">
            <v xml:space="preserve">7-1105-2015 эт.  02  (Сармат КБХА) </v>
          </cell>
        </row>
        <row r="8">
          <cell r="G8" t="str">
            <v xml:space="preserve">9-5551-2004 эт.  21  (ЛИАНА) </v>
          </cell>
        </row>
        <row r="9">
          <cell r="G9" t="str">
            <v xml:space="preserve">9-5551-2004 эт.  26.2  (ЛИАНА) </v>
          </cell>
        </row>
        <row r="10">
          <cell r="G10" t="str">
            <v xml:space="preserve">9-5551-2004 эт.  26.3  (ЛИАНА) </v>
          </cell>
        </row>
        <row r="11">
          <cell r="G11" t="str">
            <v xml:space="preserve">15-5552-2015 эт.  01  (14Ф145) </v>
          </cell>
        </row>
        <row r="12">
          <cell r="G12" t="str">
            <v xml:space="preserve">15-5552-2015 эт.  02  (14Ф145) </v>
          </cell>
        </row>
        <row r="13">
          <cell r="G13" t="str">
            <v xml:space="preserve">18-2100-2016 эт.  01  (БАЗА-Совершенствование-2018) </v>
          </cell>
        </row>
        <row r="14">
          <cell r="G14" t="str">
            <v xml:space="preserve">20-1201-2015 эт.  01  ("MexSаt-1") </v>
          </cell>
        </row>
        <row r="15">
          <cell r="G15" t="str">
            <v xml:space="preserve">26-5550-2016 эт.  01  (НОРМА-2018) </v>
          </cell>
        </row>
        <row r="16">
          <cell r="G16" t="str">
            <v xml:space="preserve">28-5551-2015 эт.  01  (Испытания композитных материалов) </v>
          </cell>
        </row>
        <row r="17">
          <cell r="G17" t="str">
            <v xml:space="preserve">29-5553-2016 эт.  01  (Климатические испытания) </v>
          </cell>
        </row>
        <row r="18">
          <cell r="G18" t="str">
            <v xml:space="preserve">31-5558-2013 эт.  03  (КВТК) </v>
          </cell>
        </row>
        <row r="19">
          <cell r="G19" t="str">
            <v xml:space="preserve">32-1201-2015 эт.  01  (14Ф149) </v>
          </cell>
        </row>
        <row r="20">
          <cell r="G20" t="str">
            <v xml:space="preserve">39-5557-2016 эт.  01  (Проведение испытаний  ПН-30 ) </v>
          </cell>
        </row>
        <row r="21">
          <cell r="G21" t="str">
            <v xml:space="preserve">40-4132-2016 эт.  01  (ФРЕГАТ-МТ) </v>
          </cell>
        </row>
        <row r="22">
          <cell r="G22" t="str">
            <v xml:space="preserve">41-5552-2015 эт.  03  (Сейсмические испытания) </v>
          </cell>
        </row>
        <row r="23">
          <cell r="G23" t="str">
            <v xml:space="preserve">41-5552-2015 эт.  04  (Сейсмические испытания) </v>
          </cell>
        </row>
        <row r="24">
          <cell r="G24" t="str">
            <v xml:space="preserve">44-4131-2015 эт.  01  (Союз-Восток (пуск)) </v>
          </cell>
        </row>
        <row r="25">
          <cell r="G25" t="str">
            <v xml:space="preserve">45-5558-2012 эт.  03.1  (АНГАРА) </v>
          </cell>
        </row>
        <row r="26">
          <cell r="G26" t="str">
            <v xml:space="preserve">45-5558-2012 эт.  03.2  (АНГАРА) </v>
          </cell>
        </row>
        <row r="27">
          <cell r="G27" t="str">
            <v xml:space="preserve">46-4123-2015 эт.  01  (СЧ ОКР Арктика-М.Сопровождение) </v>
          </cell>
        </row>
        <row r="28">
          <cell r="G28" t="str">
            <v xml:space="preserve">48-5552-2016 эт.  01  (НЭМ) </v>
          </cell>
        </row>
        <row r="29">
          <cell r="G29" t="str">
            <v xml:space="preserve">48-5552-2016 эт.  02  (НЭМ) </v>
          </cell>
        </row>
        <row r="30">
          <cell r="G30" t="str">
            <v xml:space="preserve">48-5552-2016 эт.  03  (НЭМ) </v>
          </cell>
        </row>
        <row r="31">
          <cell r="G31" t="str">
            <v xml:space="preserve">55-1202-2015 эт.  03  (ЗНС-ВОСТОК) </v>
          </cell>
        </row>
        <row r="32">
          <cell r="G32" t="str">
            <v xml:space="preserve">56-5551-2016 эт.  01  (МКС (НЭМ1)) </v>
          </cell>
        </row>
        <row r="33">
          <cell r="G33" t="str">
            <v xml:space="preserve">56-5551-2016 эт.  02  (МКС (НЭМ1)) </v>
          </cell>
        </row>
        <row r="34">
          <cell r="G34" t="str">
            <v xml:space="preserve">56-5551-2016 эт.  03  (МКС (НЭМ1)) </v>
          </cell>
        </row>
        <row r="35">
          <cell r="G35" t="str">
            <v xml:space="preserve">57-5551-2016 эт.  01  (МКС (НЭМ1)) </v>
          </cell>
        </row>
        <row r="36">
          <cell r="G36" t="str">
            <v xml:space="preserve">57-5551-2016 эт.  02  (МКС (НЭМ1)) </v>
          </cell>
        </row>
        <row r="37">
          <cell r="G37" t="str">
            <v xml:space="preserve">57-5551-2016 эт.  03  (МКС (НЭМ1)) </v>
          </cell>
        </row>
        <row r="38">
          <cell r="G38" t="str">
            <v xml:space="preserve">58-1201-2015 эт.  01  (Экзомарс-2016) </v>
          </cell>
        </row>
        <row r="39">
          <cell r="G39" t="str">
            <v xml:space="preserve">70-1201-2015 эт.  01  ( Euteisat-9В) </v>
          </cell>
        </row>
        <row r="40">
          <cell r="G40" t="str">
            <v xml:space="preserve">75-1201-2015 эт.  01  ("Союз-Восток"(Пуск)) </v>
          </cell>
        </row>
        <row r="41">
          <cell r="G41" t="str">
            <v xml:space="preserve">79-5556-2015 эт.  01  (РБ КВТК) </v>
          </cell>
        </row>
        <row r="42">
          <cell r="G42" t="str">
            <v xml:space="preserve">79-5556-2015 эт.  02  (РБ КВТК) </v>
          </cell>
        </row>
        <row r="43">
          <cell r="G43" t="str">
            <v xml:space="preserve">87-2206-2008 эт.  18  (АНГАРА) </v>
          </cell>
        </row>
        <row r="44">
          <cell r="G44" t="str">
            <v xml:space="preserve">91-5551-2015 эт.  01  (РБ КВТК) </v>
          </cell>
        </row>
        <row r="45">
          <cell r="G45" t="str">
            <v xml:space="preserve">91-5551-2015 эт.  02  (РБ КВТК) </v>
          </cell>
        </row>
        <row r="46">
          <cell r="G46" t="str">
            <v xml:space="preserve">91-5551-2015 эт.  03  (РБ КВТК) </v>
          </cell>
        </row>
        <row r="47">
          <cell r="G47" t="str">
            <v xml:space="preserve">96-4014-2014 эт.  03  (УДАРЕНИЕ) </v>
          </cell>
        </row>
        <row r="48">
          <cell r="G48" t="str">
            <v xml:space="preserve">101-5552-2014 эт.  01  (Вибрационные испытания) </v>
          </cell>
        </row>
        <row r="49">
          <cell r="G49" t="str">
            <v xml:space="preserve">110-1201-2015 эт.  01  (СЧ ОКР" DLA-2") </v>
          </cell>
        </row>
        <row r="50">
          <cell r="G50" t="str">
            <v xml:space="preserve">118-2312-2011 эт.  03  (ОКР 14Ф136) </v>
          </cell>
        </row>
        <row r="51">
          <cell r="G51" t="str">
            <v xml:space="preserve">130-5551-2015 эт.  01  (САРМАТ) </v>
          </cell>
        </row>
        <row r="52">
          <cell r="G52" t="str">
            <v xml:space="preserve">130-5558-2014 эт.  02  (АНГАРА 1.2) </v>
          </cell>
        </row>
        <row r="53">
          <cell r="G53" t="str">
            <v xml:space="preserve">130-5551-2015 эт.  02  (САРМАТ) </v>
          </cell>
        </row>
        <row r="54">
          <cell r="G54" t="str">
            <v xml:space="preserve">130-5558-2014 эт.  03  (АНГАРА 1.2) </v>
          </cell>
        </row>
        <row r="55">
          <cell r="G55" t="str">
            <v xml:space="preserve">130-5551-2015 эт.  03  (САРМАТ) </v>
          </cell>
        </row>
        <row r="56">
          <cell r="G56" t="str">
            <v xml:space="preserve">133-4132-2015 эт.  01  (Фрегат-МТ) </v>
          </cell>
        </row>
        <row r="57">
          <cell r="G57" t="str">
            <v xml:space="preserve">142-5557-2015 эт.  01  (ЗАРЯДЬЕ-ГРЦ) </v>
          </cell>
        </row>
        <row r="58">
          <cell r="G58" t="str">
            <v xml:space="preserve">144-4131-2015 эт.  01  (Союз-СТ КА Галилео) </v>
          </cell>
        </row>
        <row r="59">
          <cell r="G59" t="str">
            <v xml:space="preserve">146-3011-2015 эт.  06  (Заключение) </v>
          </cell>
        </row>
        <row r="60">
          <cell r="G60" t="str">
            <v xml:space="preserve">148-5551-2015 эт.  01  (11ф145) </v>
          </cell>
        </row>
        <row r="61">
          <cell r="G61" t="str">
            <v xml:space="preserve">153-5551-2015 эт.  01  (Испытание образцов) </v>
          </cell>
        </row>
        <row r="62">
          <cell r="G62" t="str">
            <v xml:space="preserve">156-5552-2015 эт.  01  (ДМ-03) </v>
          </cell>
        </row>
        <row r="63">
          <cell r="G63" t="str">
            <v xml:space="preserve">156-5552-2015 эт.  02  (ДМ-03) </v>
          </cell>
        </row>
        <row r="64">
          <cell r="G64" t="str">
            <v xml:space="preserve">156-5552-2015 эт.  03  (ДМ-03) </v>
          </cell>
        </row>
        <row r="65">
          <cell r="G65" t="str">
            <v xml:space="preserve">175-2100-2014 эт.  19  (ГИПЕРЗВУК РКТ) </v>
          </cell>
        </row>
        <row r="66">
          <cell r="G66" t="str">
            <v xml:space="preserve">176-4151-2014 эт.  02  (КРН 14К35) </v>
          </cell>
        </row>
        <row r="67">
          <cell r="G67" t="str">
            <v xml:space="preserve">192-4143-2014 эт.  02  (РЕЗОНАНС. СОПРОВОЖДЕНИЕ-Ц) </v>
          </cell>
        </row>
        <row r="68">
          <cell r="G68" t="str">
            <v xml:space="preserve">227-5558-2014 эт.  04  (АНГАРА-1.2) </v>
          </cell>
        </row>
        <row r="69">
          <cell r="G69" t="str">
            <v xml:space="preserve">227-5558-2014 эт.  05  (АНГАРА-1.2) </v>
          </cell>
        </row>
        <row r="70">
          <cell r="G70" t="str">
            <v xml:space="preserve">236-5553-2014 эт.  03  (Климатические испытания) </v>
          </cell>
        </row>
        <row r="71">
          <cell r="G71" t="str">
            <v xml:space="preserve">310-5557-2013 эт.  02  (САРМАТ) </v>
          </cell>
        </row>
        <row r="72">
          <cell r="G72" t="str">
            <v xml:space="preserve">310-5557-2013 эт.  03  (САРМАТ) </v>
          </cell>
        </row>
        <row r="73">
          <cell r="G73" t="str">
            <v xml:space="preserve">ГП 2Ц-6/60-5551-2016 эт.  01  (Испытания образцов) </v>
          </cell>
        </row>
        <row r="74">
          <cell r="G74" t="str">
            <v xml:space="preserve">ГП 2Ц-6/61-5551-2016 эт.  01  (Испытания образцов) </v>
          </cell>
        </row>
        <row r="75">
          <cell r="G75" t="str">
            <v xml:space="preserve">ГП 2Ц-6/62-5551-2016 эт.  01  (Испытания образцов) </v>
          </cell>
        </row>
        <row r="76">
          <cell r="G76" t="str">
            <v xml:space="preserve">51-5551-2016 эт.  01  (ДМ-03) </v>
          </cell>
        </row>
        <row r="77">
          <cell r="G77" t="str">
            <v xml:space="preserve">51-5551-2016 эт.  02  (ДМ-03) </v>
          </cell>
        </row>
        <row r="78">
          <cell r="G78" t="str">
            <v xml:space="preserve">51-5551-2016 эт.  03  (ДМ-03) </v>
          </cell>
        </row>
        <row r="79">
          <cell r="G79" t="str">
            <v>* РАСЧ №1-5556-2016</v>
          </cell>
        </row>
        <row r="80">
          <cell r="G80" t="str">
            <v>* РАСЧ №2-5556-2016</v>
          </cell>
        </row>
        <row r="81">
          <cell r="G81" t="str">
            <v xml:space="preserve">70-5552-2016 эт.  01  (изд.191-КС) </v>
          </cell>
        </row>
        <row r="82">
          <cell r="G82" t="str">
            <v xml:space="preserve">70-5552-2016 эт.  02  (изд.191-КС) </v>
          </cell>
        </row>
        <row r="83">
          <cell r="G83" t="str">
            <v>* РАСЧ №3-5557-2016</v>
          </cell>
        </row>
        <row r="84">
          <cell r="G84" t="str">
            <v>* РАСЧ №4-5558-2016</v>
          </cell>
        </row>
        <row r="85">
          <cell r="G85" t="str">
            <v>* РАСЧ №5-5557-2016</v>
          </cell>
        </row>
        <row r="86">
          <cell r="G86" t="str">
            <v xml:space="preserve">90-5557-2016 эт.  01  (ПРОРЫВ-РВ-МИД) </v>
          </cell>
        </row>
        <row r="87">
          <cell r="G87" t="str">
            <v xml:space="preserve">98-5557-2016 эт.  01  (САРМАТ) </v>
          </cell>
        </row>
        <row r="88">
          <cell r="G88" t="str">
            <v xml:space="preserve">72-5552-2016 эт.  1.1  (САРМАТ-КБХА) </v>
          </cell>
        </row>
        <row r="89">
          <cell r="G89" t="str">
            <v xml:space="preserve">72-5552-2016 эт.  1.2  (САРМАТ-КБХА) </v>
          </cell>
        </row>
        <row r="90">
          <cell r="G90" t="str">
            <v xml:space="preserve">72-5552-2016 эт.  1.3  (САРМАТ-КБХА) </v>
          </cell>
        </row>
        <row r="91">
          <cell r="G91" t="str">
            <v xml:space="preserve">72-5552-2016 эт.  1.4  (САРМАТ-КБХА) </v>
          </cell>
        </row>
        <row r="92">
          <cell r="G92" t="str">
            <v xml:space="preserve">72-5552-2016 эт.  1.5  (САРМАТ-КБХА) </v>
          </cell>
        </row>
        <row r="93">
          <cell r="G93" t="str">
            <v xml:space="preserve">40-7015-2015 эт.  01  ( СЧ ОКР 14К038-ЦНИИмаш (ЭКБ)) </v>
          </cell>
        </row>
        <row r="94">
          <cell r="G94" t="str">
            <v xml:space="preserve">91-5551-2016 эт.  01  (АНГАРА) </v>
          </cell>
        </row>
        <row r="95">
          <cell r="G95" t="str">
            <v xml:space="preserve">155-4131-2015 эт.  01  (КРК Протон-М) </v>
          </cell>
        </row>
        <row r="96">
          <cell r="G96" t="str">
            <v xml:space="preserve">155-4131-2015 эт.  02  (КРК Протон-М) </v>
          </cell>
        </row>
        <row r="97">
          <cell r="G97" t="str">
            <v xml:space="preserve">155-4131-2015 эт.  03  (КРК Протон-М) </v>
          </cell>
        </row>
        <row r="98">
          <cell r="G98" t="str">
            <v>* РАСЧ №6-5557-2016</v>
          </cell>
        </row>
        <row r="99">
          <cell r="G99" t="str">
            <v>* РАСЧ №7-5558-2016</v>
          </cell>
        </row>
        <row r="100">
          <cell r="G100" t="str">
            <v>* РАСЧ №8-5557-2016</v>
          </cell>
        </row>
        <row r="101">
          <cell r="G101" t="str">
            <v>* РАСЧ №9-5557-2016</v>
          </cell>
        </row>
        <row r="102">
          <cell r="G102" t="str">
            <v>* РАСЧ №10-5558-2016</v>
          </cell>
        </row>
        <row r="103">
          <cell r="G103" t="str">
            <v>* РАСЧ №11-5558-2016</v>
          </cell>
        </row>
        <row r="104">
          <cell r="G104" t="str">
            <v xml:space="preserve">78-4132-2016 эт.  01  (СЧ ОКР"Фрегат-МТ") </v>
          </cell>
        </row>
        <row r="105">
          <cell r="G105" t="str">
            <v xml:space="preserve">61-4131-2016 эт.  01  (Союз-СТ КА Сентинел-1Б) </v>
          </cell>
        </row>
        <row r="106">
          <cell r="G106" t="str">
            <v xml:space="preserve">73-4131-2016 эт.  01  (Союз-СТ КА Галилео-FOC №5) </v>
          </cell>
        </row>
        <row r="107">
          <cell r="G107" t="str">
            <v>*  №12-5552-2016</v>
          </cell>
        </row>
        <row r="108">
          <cell r="G108" t="str">
            <v>*  №13-5552-2016</v>
          </cell>
        </row>
        <row r="109">
          <cell r="G109" t="str">
            <v>*  №14-5552-2016</v>
          </cell>
        </row>
        <row r="110">
          <cell r="G110" t="str">
            <v>*  №15-5552-2016</v>
          </cell>
        </row>
        <row r="111">
          <cell r="G111" t="str">
            <v>*  №16-5552-2016</v>
          </cell>
        </row>
        <row r="112">
          <cell r="G112" t="str">
            <v>*  №17-5552-2016</v>
          </cell>
        </row>
        <row r="113">
          <cell r="G113" t="str">
            <v>*  №18-5552-2016</v>
          </cell>
        </row>
        <row r="114">
          <cell r="G114" t="str">
            <v>*  №19-5552-2016</v>
          </cell>
        </row>
        <row r="115">
          <cell r="G115" t="str">
            <v>*  №20-5552-2016</v>
          </cell>
        </row>
        <row r="116">
          <cell r="G116" t="str">
            <v>*  №21-5552-2016</v>
          </cell>
        </row>
        <row r="117">
          <cell r="G117" t="str">
            <v>* РАСЧ №22-5551-2016</v>
          </cell>
        </row>
        <row r="118">
          <cell r="G118" t="str">
            <v>* РАСЧ №23-5551-2016</v>
          </cell>
        </row>
        <row r="119">
          <cell r="G119" t="str">
            <v>* РАСЧ №24-5551-2016</v>
          </cell>
        </row>
        <row r="120">
          <cell r="G120" t="str">
            <v>* РАСЧ №25-5551-2016</v>
          </cell>
        </row>
        <row r="121">
          <cell r="G121" t="str">
            <v>* РАСЧ №26-5551-2016</v>
          </cell>
        </row>
        <row r="122">
          <cell r="G122" t="str">
            <v xml:space="preserve">96-5557-2016 эт.  01  (ГЧ-МИД) </v>
          </cell>
        </row>
        <row r="123">
          <cell r="G123" t="str">
            <v xml:space="preserve">50-9004-2016 эт.  01  (РКК Союз-ФГ/Союз МС-Экспертиза-ЦНИИмаш) </v>
          </cell>
        </row>
        <row r="124">
          <cell r="G124" t="str">
            <v xml:space="preserve">104-5558-2016 эт.  01  (АНГОСАТ) </v>
          </cell>
        </row>
        <row r="125">
          <cell r="G125" t="str">
            <v>* РАСЧ №27-5558-2016</v>
          </cell>
        </row>
        <row r="126">
          <cell r="G126" t="str">
            <v>Отработка-КЦ-2100-2013 эт.  05</v>
          </cell>
        </row>
        <row r="127">
          <cell r="G127" t="str">
            <v>Отработка-КЦ-2100-2013 эт.  05.1</v>
          </cell>
        </row>
        <row r="128">
          <cell r="G128" t="str">
            <v>* РАСЧ №28-5556-2016</v>
          </cell>
        </row>
        <row r="129">
          <cell r="G129" t="str">
            <v xml:space="preserve">65-1201-2015 эт.  01  (Echostar-XXI) </v>
          </cell>
        </row>
        <row r="130">
          <cell r="G130" t="str">
            <v>107-5553-2016 эт.  01</v>
          </cell>
        </row>
        <row r="131">
          <cell r="G131" t="str">
            <v xml:space="preserve">83-1201-2016 эт.  01  ( Амур-Экспертиза-ЦНИИмаш) </v>
          </cell>
        </row>
        <row r="132">
          <cell r="G132" t="str">
            <v xml:space="preserve">100-4131-2015 эт.  02  (КРК Протон-М) </v>
          </cell>
        </row>
        <row r="133">
          <cell r="G133">
            <v>0</v>
          </cell>
        </row>
        <row r="134">
          <cell r="G134">
            <v>0</v>
          </cell>
        </row>
        <row r="135">
          <cell r="G135">
            <v>0</v>
          </cell>
        </row>
        <row r="136">
          <cell r="G136">
            <v>0</v>
          </cell>
        </row>
        <row r="137">
          <cell r="G137">
            <v>0</v>
          </cell>
        </row>
        <row r="138">
          <cell r="G138">
            <v>0</v>
          </cell>
        </row>
        <row r="139">
          <cell r="G139">
            <v>0</v>
          </cell>
        </row>
        <row r="140">
          <cell r="G140">
            <v>0</v>
          </cell>
        </row>
        <row r="141">
          <cell r="G141">
            <v>0</v>
          </cell>
        </row>
        <row r="142">
          <cell r="G142">
            <v>0</v>
          </cell>
        </row>
        <row r="143">
          <cell r="G143">
            <v>0</v>
          </cell>
        </row>
        <row r="144">
          <cell r="G144">
            <v>0</v>
          </cell>
        </row>
        <row r="145">
          <cell r="G145">
            <v>0</v>
          </cell>
        </row>
        <row r="146">
          <cell r="G146">
            <v>0</v>
          </cell>
        </row>
        <row r="147">
          <cell r="G147">
            <v>0</v>
          </cell>
        </row>
        <row r="148">
          <cell r="G148">
            <v>0</v>
          </cell>
        </row>
        <row r="149">
          <cell r="G149">
            <v>0</v>
          </cell>
        </row>
        <row r="150">
          <cell r="G150">
            <v>0</v>
          </cell>
        </row>
        <row r="151">
          <cell r="G151">
            <v>0</v>
          </cell>
        </row>
        <row r="152">
          <cell r="G152">
            <v>0</v>
          </cell>
        </row>
        <row r="153">
          <cell r="G153">
            <v>0</v>
          </cell>
        </row>
        <row r="154">
          <cell r="G154">
            <v>0</v>
          </cell>
        </row>
        <row r="155">
          <cell r="G155">
            <v>0</v>
          </cell>
        </row>
        <row r="156">
          <cell r="G156">
            <v>0</v>
          </cell>
        </row>
        <row r="157">
          <cell r="G157">
            <v>0</v>
          </cell>
        </row>
        <row r="158">
          <cell r="G158">
            <v>0</v>
          </cell>
        </row>
        <row r="159">
          <cell r="G159">
            <v>0</v>
          </cell>
        </row>
        <row r="160">
          <cell r="G160">
            <v>0</v>
          </cell>
        </row>
        <row r="161">
          <cell r="G161">
            <v>0</v>
          </cell>
        </row>
        <row r="162">
          <cell r="G162">
            <v>0</v>
          </cell>
        </row>
        <row r="163">
          <cell r="G163">
            <v>0</v>
          </cell>
        </row>
        <row r="164">
          <cell r="G164">
            <v>0</v>
          </cell>
        </row>
        <row r="165">
          <cell r="G165">
            <v>0</v>
          </cell>
        </row>
        <row r="166">
          <cell r="G166">
            <v>0</v>
          </cell>
        </row>
        <row r="167">
          <cell r="G167">
            <v>0</v>
          </cell>
        </row>
        <row r="168">
          <cell r="G168">
            <v>0</v>
          </cell>
        </row>
        <row r="169">
          <cell r="G169">
            <v>0</v>
          </cell>
        </row>
        <row r="170">
          <cell r="G170">
            <v>0</v>
          </cell>
        </row>
        <row r="171">
          <cell r="G171">
            <v>0</v>
          </cell>
        </row>
        <row r="172">
          <cell r="G172">
            <v>0</v>
          </cell>
        </row>
        <row r="173">
          <cell r="G173">
            <v>0</v>
          </cell>
        </row>
        <row r="174">
          <cell r="G174">
            <v>0</v>
          </cell>
        </row>
        <row r="175">
          <cell r="G175">
            <v>0</v>
          </cell>
        </row>
        <row r="176">
          <cell r="G176">
            <v>0</v>
          </cell>
        </row>
        <row r="177">
          <cell r="G177">
            <v>0</v>
          </cell>
        </row>
        <row r="178">
          <cell r="G178">
            <v>0</v>
          </cell>
        </row>
        <row r="179">
          <cell r="G179">
            <v>0</v>
          </cell>
        </row>
        <row r="180">
          <cell r="G180">
            <v>0</v>
          </cell>
        </row>
        <row r="181">
          <cell r="G181">
            <v>0</v>
          </cell>
        </row>
        <row r="182">
          <cell r="G182">
            <v>0</v>
          </cell>
        </row>
        <row r="183">
          <cell r="G183">
            <v>0</v>
          </cell>
        </row>
        <row r="184">
          <cell r="G184">
            <v>0</v>
          </cell>
        </row>
        <row r="185">
          <cell r="G185">
            <v>0</v>
          </cell>
        </row>
        <row r="186">
          <cell r="G186">
            <v>0</v>
          </cell>
        </row>
        <row r="187">
          <cell r="G187">
            <v>0</v>
          </cell>
        </row>
        <row r="188">
          <cell r="G188">
            <v>0</v>
          </cell>
        </row>
        <row r="189">
          <cell r="G189">
            <v>0</v>
          </cell>
        </row>
        <row r="190">
          <cell r="G190">
            <v>0</v>
          </cell>
        </row>
        <row r="191">
          <cell r="G191">
            <v>0</v>
          </cell>
        </row>
        <row r="192">
          <cell r="G192">
            <v>0</v>
          </cell>
        </row>
        <row r="193">
          <cell r="G193">
            <v>0</v>
          </cell>
        </row>
        <row r="194">
          <cell r="G194">
            <v>0</v>
          </cell>
        </row>
        <row r="195">
          <cell r="G195">
            <v>0</v>
          </cell>
        </row>
        <row r="196">
          <cell r="G196">
            <v>0</v>
          </cell>
        </row>
        <row r="197">
          <cell r="G197">
            <v>0</v>
          </cell>
        </row>
        <row r="198">
          <cell r="G198">
            <v>0</v>
          </cell>
        </row>
        <row r="199">
          <cell r="G199">
            <v>0</v>
          </cell>
        </row>
        <row r="200">
          <cell r="G200">
            <v>0</v>
          </cell>
        </row>
        <row r="201">
          <cell r="G201">
            <v>0</v>
          </cell>
        </row>
        <row r="202">
          <cell r="G202">
            <v>0</v>
          </cell>
        </row>
        <row r="203">
          <cell r="G203">
            <v>0</v>
          </cell>
        </row>
        <row r="204">
          <cell r="G204">
            <v>0</v>
          </cell>
        </row>
        <row r="205">
          <cell r="G205">
            <v>0</v>
          </cell>
        </row>
        <row r="206">
          <cell r="G206">
            <v>0</v>
          </cell>
        </row>
        <row r="207">
          <cell r="G207">
            <v>0</v>
          </cell>
        </row>
        <row r="208">
          <cell r="G208">
            <v>0</v>
          </cell>
        </row>
        <row r="209">
          <cell r="G209">
            <v>0</v>
          </cell>
        </row>
        <row r="210">
          <cell r="G210">
            <v>0</v>
          </cell>
        </row>
        <row r="211">
          <cell r="G211">
            <v>0</v>
          </cell>
        </row>
        <row r="212">
          <cell r="G212">
            <v>0</v>
          </cell>
        </row>
        <row r="213">
          <cell r="G213">
            <v>0</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0</v>
          </cell>
        </row>
        <row r="226">
          <cell r="G226">
            <v>0</v>
          </cell>
        </row>
        <row r="227">
          <cell r="G227">
            <v>0</v>
          </cell>
        </row>
        <row r="228">
          <cell r="G228">
            <v>0</v>
          </cell>
        </row>
        <row r="229">
          <cell r="G229">
            <v>0</v>
          </cell>
        </row>
        <row r="230">
          <cell r="G230">
            <v>0</v>
          </cell>
        </row>
        <row r="231">
          <cell r="G231">
            <v>0</v>
          </cell>
        </row>
        <row r="232">
          <cell r="G232">
            <v>0</v>
          </cell>
        </row>
        <row r="233">
          <cell r="G233">
            <v>0</v>
          </cell>
        </row>
        <row r="234">
          <cell r="G234">
            <v>0</v>
          </cell>
        </row>
        <row r="235">
          <cell r="G235">
            <v>0</v>
          </cell>
        </row>
        <row r="236">
          <cell r="G236">
            <v>0</v>
          </cell>
        </row>
        <row r="237">
          <cell r="G237">
            <v>0</v>
          </cell>
        </row>
        <row r="238">
          <cell r="G238">
            <v>0</v>
          </cell>
        </row>
        <row r="239">
          <cell r="G239">
            <v>0</v>
          </cell>
        </row>
        <row r="240">
          <cell r="G240">
            <v>0</v>
          </cell>
        </row>
        <row r="241">
          <cell r="G241">
            <v>0</v>
          </cell>
        </row>
        <row r="242">
          <cell r="G242">
            <v>0</v>
          </cell>
        </row>
        <row r="243">
          <cell r="G243">
            <v>0</v>
          </cell>
        </row>
        <row r="244">
          <cell r="G244">
            <v>0</v>
          </cell>
        </row>
        <row r="245">
          <cell r="G245">
            <v>0</v>
          </cell>
        </row>
        <row r="246">
          <cell r="G246">
            <v>0</v>
          </cell>
        </row>
        <row r="247">
          <cell r="G247">
            <v>0</v>
          </cell>
        </row>
        <row r="248">
          <cell r="G248">
            <v>0</v>
          </cell>
        </row>
      </sheetData>
      <sheetData sheetId="2">
        <row r="6">
          <cell r="F6" t="str">
            <v>01</v>
          </cell>
        </row>
      </sheetData>
      <sheetData sheetId="3"/>
      <sheetData sheetId="4"/>
      <sheetData sheetId="5"/>
      <sheetData sheetId="6"/>
      <sheetData sheetId="7"/>
      <sheetData sheetId="8">
        <row r="8">
          <cell r="J8" t="str">
            <v>100-5552-2014 этап 01 ОКР Испытания на сейсмостойкость и вибропрочность</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 База_2012г"/>
      <sheetName val="БДР"/>
      <sheetName val="Аналитика объёмов"/>
      <sheetName val="ФОТ_ЗАВЕРШ."/>
      <sheetName val="Распределение загрузки "/>
      <sheetName val="Загрузка для Объёмов"/>
      <sheetName val="ЗАВЕРШЕНИЕ_2012"/>
      <sheetName val="КТМК 5Цпр"/>
      <sheetName val="Поступления_Заказчики_2012"/>
      <sheetName val="Поступления_Заказчики_2010 2011"/>
      <sheetName val="Реестр платежей 2012"/>
      <sheetName val="Контрагенты"/>
      <sheetName val="Лист1"/>
      <sheetName val="БДДС на 2012г"/>
      <sheetName val="Лист4"/>
      <sheetName val="Распр Контрактов 2011_2012"/>
      <sheetName val="ФОТ равномерно"/>
      <sheetName val="Оперативка"/>
      <sheetName val="Лист3"/>
      <sheetName val="Лист6"/>
      <sheetName val="Списки"/>
      <sheetName val="Спецоборудование"/>
      <sheetName val="Собственные работы"/>
      <sheetName val="Справочник Контрагенты"/>
    </sheetNames>
    <sheetDataSet>
      <sheetData sheetId="0" refreshError="1">
        <row r="6">
          <cell r="B6">
            <v>7</v>
          </cell>
          <cell r="G6" t="str">
            <v>7-5554-2011 д/с 1 эт.   01</v>
          </cell>
        </row>
        <row r="7">
          <cell r="G7" t="str">
            <v>9-5551-2004 д/с 17 эт.   17</v>
          </cell>
        </row>
        <row r="8">
          <cell r="G8" t="str">
            <v>9-5551-2004 д/с 20 эт.   20</v>
          </cell>
        </row>
        <row r="9">
          <cell r="G9" t="str">
            <v>9-5551-2004 д/с 10 эт.   14.1</v>
          </cell>
        </row>
        <row r="10">
          <cell r="G10" t="str">
            <v>9-5551-2004 д/с 21 эт.   22</v>
          </cell>
        </row>
        <row r="11">
          <cell r="G11" t="str">
            <v>9-5551-2004 д/с 18 эт.   23</v>
          </cell>
        </row>
        <row r="12">
          <cell r="G12" t="str">
            <v>9-5551-2004 д/с 19 эт.   24</v>
          </cell>
        </row>
        <row r="13">
          <cell r="G13" t="str">
            <v>9-5551-2004 д/с 19 эт.   25</v>
          </cell>
        </row>
        <row r="14">
          <cell r="G14" t="str">
            <v>9-5551-2004 д/с 16 эт.   14.2</v>
          </cell>
        </row>
        <row r="15">
          <cell r="G15" t="str">
            <v>9-5551-2004 д/с 12 эт.   18</v>
          </cell>
        </row>
        <row r="16">
          <cell r="G16" t="str">
            <v>65-2201-2009 д/с 3 эт.   02</v>
          </cell>
        </row>
        <row r="17">
          <cell r="G17" t="str">
            <v>43-2201-2007 д/с 6 эт.   08</v>
          </cell>
        </row>
        <row r="18">
          <cell r="G18" t="str">
            <v>44-5552-2011 д/с 1 эт.   01</v>
          </cell>
        </row>
        <row r="19">
          <cell r="G19" t="str">
            <v>44-5552-2011 д/с 1 эт.   02</v>
          </cell>
        </row>
        <row r="20">
          <cell r="G20" t="str">
            <v>47-5558-2011 эт.  01</v>
          </cell>
        </row>
        <row r="21">
          <cell r="G21" t="str">
            <v>"Эксперимент" -110-2000-2012 д/с 1 эт.   12</v>
          </cell>
        </row>
        <row r="22">
          <cell r="G22" t="str">
            <v>"Эксперимент" -110-2000-2012 д/с 1 эт.   13</v>
          </cell>
        </row>
        <row r="23">
          <cell r="G23" t="str">
            <v>73-5558-2010 д/с 3 эт.   02</v>
          </cell>
        </row>
        <row r="24">
          <cell r="G24" t="str">
            <v>81-5552-2010 д/с 5 эт.   02</v>
          </cell>
        </row>
        <row r="25">
          <cell r="G25" t="str">
            <v>82-3005-2011 эт.  4</v>
          </cell>
        </row>
        <row r="26">
          <cell r="G26" t="str">
            <v>87-2206-2008 д/с 5 эт.   10</v>
          </cell>
        </row>
        <row r="27">
          <cell r="G27" t="str">
            <v>87-2206-2008 д/с 5 эт.   11</v>
          </cell>
        </row>
        <row r="28">
          <cell r="G28" t="str">
            <v>87-2206-2008 д/с 5 эт.   12</v>
          </cell>
        </row>
        <row r="29">
          <cell r="G29" t="str">
            <v>102-5552-2010 д/с 2 эт.   04</v>
          </cell>
        </row>
        <row r="30">
          <cell r="G30" t="str">
            <v>102-5552-2010 д/с 2 эт.   05</v>
          </cell>
        </row>
        <row r="31">
          <cell r="G31" t="str">
            <v>106-5552-2011 д/с 2 эт.   02</v>
          </cell>
        </row>
        <row r="32">
          <cell r="G32" t="str">
            <v>108-5551-2011 д/с 1 эт.   01</v>
          </cell>
        </row>
        <row r="33">
          <cell r="G33" t="str">
            <v>112-1321-2011 эт.  02</v>
          </cell>
        </row>
        <row r="34">
          <cell r="G34" t="str">
            <v>116-5552-2011 эт.  1</v>
          </cell>
        </row>
        <row r="35">
          <cell r="G35" t="str">
            <v>122-2201-2006 д/с 5 эт.   2</v>
          </cell>
        </row>
        <row r="36">
          <cell r="G36" t="str">
            <v>125-1031-2011 эт.  02</v>
          </cell>
        </row>
        <row r="37">
          <cell r="G37" t="str">
            <v>127-5552-2011 д/с 1 эт.   01</v>
          </cell>
        </row>
        <row r="38">
          <cell r="G38" t="str">
            <v>130-5558-2011 эт.  01</v>
          </cell>
        </row>
        <row r="39">
          <cell r="G39" t="str">
            <v>131-2206-2008 д/с 6 эт.   06</v>
          </cell>
        </row>
        <row r="40">
          <cell r="G40" t="str">
            <v>131-5558-2011 эт.  01</v>
          </cell>
        </row>
        <row r="41">
          <cell r="G41" t="str">
            <v>133-5557-2011 д/с 2 эт.   02</v>
          </cell>
        </row>
        <row r="42">
          <cell r="G42" t="str">
            <v>133-5557-2011 эт.  03</v>
          </cell>
        </row>
        <row r="43">
          <cell r="G43" t="str">
            <v>133-5557-2011 эт.  04</v>
          </cell>
        </row>
        <row r="44">
          <cell r="G44" t="str">
            <v>150-5554-2011 д/с 1 эт.   2</v>
          </cell>
        </row>
        <row r="45">
          <cell r="G45" t="str">
            <v>152-5551-2011 эт.  03</v>
          </cell>
        </row>
        <row r="46">
          <cell r="G46" t="str">
            <v>165-5554-2011 эт.  01</v>
          </cell>
        </row>
        <row r="47">
          <cell r="G47" t="str">
            <v>176-1103-2011 эт.  1</v>
          </cell>
        </row>
        <row r="48">
          <cell r="G48" t="str">
            <v>178-1103-2011 эт.  01</v>
          </cell>
        </row>
        <row r="49">
          <cell r="G49" t="str">
            <v>197-5551-2011 д/с 1 эт.   01</v>
          </cell>
        </row>
        <row r="50">
          <cell r="G50" t="str">
            <v>197-5551-2011 д/с 2 эт.   02</v>
          </cell>
        </row>
        <row r="51">
          <cell r="G51" t="str">
            <v>199-5558-2010 эт.  03</v>
          </cell>
        </row>
        <row r="52">
          <cell r="G52" t="str">
            <v>199-5558-2010 эт.  04</v>
          </cell>
        </row>
        <row r="53">
          <cell r="G53" t="str">
            <v xml:space="preserve"> "Отработка - К" - 217-2100-2011 эт.  11</v>
          </cell>
        </row>
        <row r="54">
          <cell r="G54" t="str">
            <v>233-1201-2011 эт.  1</v>
          </cell>
        </row>
        <row r="55">
          <cell r="G55" t="str">
            <v>"КТКиСБ" -235-5556-2011 д/с 2 эт.   02</v>
          </cell>
        </row>
        <row r="56">
          <cell r="G56" t="str">
            <v>"КТКиСБ" -235-5556-2011 д/с 2 эт.   01</v>
          </cell>
        </row>
        <row r="57">
          <cell r="G57" t="str">
            <v>238-5558-2011 эт.  01</v>
          </cell>
        </row>
        <row r="58">
          <cell r="G58" t="str">
            <v>244-5557-2011 эт.  01</v>
          </cell>
        </row>
        <row r="59">
          <cell r="G59" t="str">
            <v>"Прочность ТРТ"-  248-5554-2011 эт.  01</v>
          </cell>
        </row>
        <row r="60">
          <cell r="G60" t="str">
            <v>"Прочность ТРТ"-  248-5554-2011 эт.  02</v>
          </cell>
        </row>
        <row r="61">
          <cell r="G61" t="str">
            <v>"Прочность ТРТ"-  248-5554-2011 эт.  03</v>
          </cell>
        </row>
        <row r="62">
          <cell r="G62" t="str">
            <v>"Магистраль"(Задел-матрица)-249-1035-2011 эт.  02</v>
          </cell>
        </row>
        <row r="63">
          <cell r="G63" t="str">
            <v>"Магистраль"(Задел-матрица)-249-1035-2011 эт.  03</v>
          </cell>
        </row>
        <row r="64">
          <cell r="G64" t="str">
            <v>"ПОЖРД"-  250-5554-2011 эт.  01</v>
          </cell>
        </row>
        <row r="65">
          <cell r="G65" t="str">
            <v>"ПОЖРД"-  250-5554-2011 эт.  02</v>
          </cell>
        </row>
        <row r="66">
          <cell r="G66" t="str">
            <v>"ПОЖРД"-  250-5554-2011 эт.  03</v>
          </cell>
        </row>
        <row r="67">
          <cell r="G67" t="str">
            <v>"Нормы-прочности" - 46-5558-2010 эт.  05</v>
          </cell>
        </row>
        <row r="68">
          <cell r="G68" t="str">
            <v>"Нормы-прочности" - 46-5558-2010 эт.  05</v>
          </cell>
        </row>
        <row r="69">
          <cell r="G69" t="str">
            <v>"Нормы-прочности" - 46-5558-2010 эт.  06</v>
          </cell>
        </row>
        <row r="70">
          <cell r="G70" t="str">
            <v>"Нормы-прочности" - 46-5558-2010 эт.  06</v>
          </cell>
        </row>
        <row r="71">
          <cell r="G71" t="str">
            <v>"ПРОБОЙ-3" -53-2106-2010 эт.  14</v>
          </cell>
        </row>
        <row r="72">
          <cell r="G72" t="str">
            <v>"ПРОБОЙ-3" -53-2106-2010 эт.  14</v>
          </cell>
        </row>
        <row r="73">
          <cell r="G73" t="str">
            <v>"ПРОБОЙ-3" -53-2106-2010 эт.  15</v>
          </cell>
        </row>
        <row r="74">
          <cell r="G74" t="str">
            <v>"ПРОБОЙ-3" -53-2106-2010 эт.  15</v>
          </cell>
        </row>
        <row r="75">
          <cell r="G75" t="str">
            <v>"ПРОБОЙ-3" -53-2106-2010 эт.  16</v>
          </cell>
        </row>
        <row r="76">
          <cell r="G76" t="str">
            <v>"Отработка-К" -217-2100-2011 эт.  03</v>
          </cell>
        </row>
        <row r="77">
          <cell r="G77" t="str">
            <v>"Отработка-К" -217-2100-2011 эт.  04</v>
          </cell>
        </row>
        <row r="78">
          <cell r="G78" t="str">
            <v xml:space="preserve"> "Магистраль" (Гарантия) -27-1001-2011 эт.  7.5</v>
          </cell>
        </row>
        <row r="79">
          <cell r="G79" t="str">
            <v>26-5551-2012 эт.  01</v>
          </cell>
        </row>
        <row r="80">
          <cell r="G80" t="str">
            <v>26-5551-2012 эт.  02</v>
          </cell>
        </row>
        <row r="81">
          <cell r="G81" t="str">
            <v>26-5551-2012 эт.  03</v>
          </cell>
        </row>
        <row r="82">
          <cell r="G82" t="str">
            <v>26-5551-2012 эт.  04</v>
          </cell>
        </row>
        <row r="83">
          <cell r="G83" t="str">
            <v>26-5551-2012 эт.  05</v>
          </cell>
        </row>
        <row r="84">
          <cell r="G84" t="str">
            <v>26-5551-2012 эт.  06</v>
          </cell>
        </row>
        <row r="85">
          <cell r="G85" t="str">
            <v>26-5551-2012 эт.  07</v>
          </cell>
        </row>
        <row r="86">
          <cell r="G86" t="str">
            <v>8-5552-2012 эт.  01</v>
          </cell>
        </row>
        <row r="87">
          <cell r="G87" t="str">
            <v>19-5558-2012 эт.  01</v>
          </cell>
        </row>
        <row r="88">
          <cell r="G88" t="str">
            <v>20-5558-2012 эт.  01</v>
          </cell>
        </row>
        <row r="89">
          <cell r="G89" t="str">
            <v>ИР-2201/175-5550-2009 эт.  10</v>
          </cell>
        </row>
        <row r="90">
          <cell r="G90" t="str">
            <v>ИР-2201/175-5550-2009 эт.  11</v>
          </cell>
        </row>
        <row r="91">
          <cell r="G91" t="str">
            <v>ИР-2201/176-5550-2009 эт.  10</v>
          </cell>
        </row>
        <row r="92">
          <cell r="G92" t="str">
            <v>ИР-2201/176-5550-2009 эт.  11</v>
          </cell>
        </row>
        <row r="93">
          <cell r="G93" t="str">
            <v>197-5551-2011 д/с 2 эт.   03</v>
          </cell>
        </row>
        <row r="94">
          <cell r="G94" t="str">
            <v>Отработка-КЦ-5550-2011 эт.  1</v>
          </cell>
        </row>
        <row r="95">
          <cell r="G95" t="str">
            <v>Отработка-КЦ-5550-2011 эт.  2</v>
          </cell>
        </row>
        <row r="96">
          <cell r="G96" t="str">
            <v>"Прочность ТРТ"-  248-5554-2011 эт.  4</v>
          </cell>
        </row>
        <row r="97">
          <cell r="G97" t="str">
            <v>"Прочность ТРТ"-  248-5554-2011 эт.  5</v>
          </cell>
        </row>
        <row r="98">
          <cell r="G98" t="str">
            <v>"КТКиСБ" -235-5556-2011 д/с 2 эт.   3</v>
          </cell>
        </row>
        <row r="99">
          <cell r="G99" t="str">
            <v>"ПОЖРД"-  250-5554-2011 эт.  4</v>
          </cell>
        </row>
        <row r="100">
          <cell r="G100" t="str">
            <v>"ПОЖРД"-  250-5554-2011 эт.  5</v>
          </cell>
        </row>
        <row r="101">
          <cell r="G101" t="str">
            <v>"Магистраль" (Задел-Безопасность)- 258-4141-2011 эт.  1</v>
          </cell>
        </row>
        <row r="102">
          <cell r="G102" t="str">
            <v>162-2312-2009 эт.  02</v>
          </cell>
        </row>
        <row r="103">
          <cell r="G103" t="str">
            <v>КТМК-3-2011 эт.  ПАК ЭО и мониторинг</v>
          </cell>
        </row>
        <row r="104">
          <cell r="G104" t="str">
            <v>КТМК-3-2011 эт.  ПАК ЭО и мониторинг</v>
          </cell>
        </row>
        <row r="105">
          <cell r="G105" t="str">
            <v>КТМК-4-2011 эт.  Криометодика</v>
          </cell>
        </row>
        <row r="106">
          <cell r="G106" t="str">
            <v>КТМК-4-2011 эт.  Криометодика</v>
          </cell>
        </row>
        <row r="107">
          <cell r="G107" t="str">
            <v>КТМК-5-2011 эт.  Совместимость процессов ВИ</v>
          </cell>
        </row>
        <row r="108">
          <cell r="G108" t="str">
            <v>КТМК-5-2011 эт.  Совместимость процессов ВИ</v>
          </cell>
        </row>
        <row r="109">
          <cell r="G109" t="str">
            <v>* РАСЧ №1-5551-2012</v>
          </cell>
        </row>
        <row r="110">
          <cell r="G110" t="str">
            <v>227-1313-2011 эт.  01</v>
          </cell>
        </row>
        <row r="111">
          <cell r="G111" t="str">
            <v>КТМК-2-2012 эт.  Ускоритель</v>
          </cell>
        </row>
        <row r="112">
          <cell r="G112" t="str">
            <v>КТМК-2-2012 эт.  Ускоритель</v>
          </cell>
        </row>
        <row r="113">
          <cell r="G113" t="str">
            <v>КТМК-1-2012 эт.  Мониторинг РКТ</v>
          </cell>
        </row>
        <row r="114">
          <cell r="G114" t="str">
            <v>КТМК-1-2012 эт.  Мониторинг РКТ</v>
          </cell>
        </row>
        <row r="115">
          <cell r="G115" t="str">
            <v>81-2000-2011 д/с 1 эт.   02</v>
          </cell>
        </row>
        <row r="116">
          <cell r="G116" t="str">
            <v>40-5558-2012 эт.  01</v>
          </cell>
        </row>
        <row r="117">
          <cell r="G117" t="str">
            <v>45-5558-2012 эт.  01</v>
          </cell>
        </row>
        <row r="118">
          <cell r="G118" t="str">
            <v>45-5558-2012 эт.  02</v>
          </cell>
        </row>
        <row r="119">
          <cell r="G119" t="str">
            <v>64-5551-2012 эт.  01</v>
          </cell>
        </row>
        <row r="120">
          <cell r="G120" t="str">
            <v>46-5558-2012 эт.  01</v>
          </cell>
        </row>
        <row r="121">
          <cell r="G121" t="str">
            <v>46-5558-2012 эт.  02</v>
          </cell>
        </row>
        <row r="122">
          <cell r="G122" t="str">
            <v>63-5551-2012 эт.  01</v>
          </cell>
        </row>
        <row r="123">
          <cell r="G123" t="str">
            <v>4-1201-2012 эт.  01</v>
          </cell>
        </row>
        <row r="124">
          <cell r="G124" t="str">
            <v>17-1201-2012 эт.  1</v>
          </cell>
        </row>
        <row r="125">
          <cell r="G125" t="str">
            <v>10-1202-2012 эт.  01</v>
          </cell>
        </row>
        <row r="126">
          <cell r="G126" t="str">
            <v>13-1202-2012 эт.  01</v>
          </cell>
        </row>
        <row r="127">
          <cell r="G127" t="str">
            <v>"КТКиСБ-Ц"-5556-2011 эт.  1</v>
          </cell>
        </row>
        <row r="128">
          <cell r="G128" t="str">
            <v>"КТКиСБ-Ц"-5556-2011 эт.  2</v>
          </cell>
        </row>
        <row r="129">
          <cell r="G129" t="str">
            <v>47-5553-2012 эт.  01</v>
          </cell>
        </row>
        <row r="130">
          <cell r="G130" t="str">
            <v>47-5553-2012 эт.  02</v>
          </cell>
        </row>
        <row r="131">
          <cell r="G131" t="str">
            <v>47-5553-2012 эт.  03</v>
          </cell>
        </row>
        <row r="132">
          <cell r="G132" t="str">
            <v>47-5553-2012 эт.  04</v>
          </cell>
        </row>
        <row r="133">
          <cell r="G133" t="str">
            <v>54-5554-2012 эт.  01</v>
          </cell>
        </row>
        <row r="134">
          <cell r="G134" t="str">
            <v>42-1202-2012 эт.  1</v>
          </cell>
        </row>
        <row r="135">
          <cell r="G135" t="str">
            <v>58-5558-2012 эт.  01</v>
          </cell>
        </row>
        <row r="136">
          <cell r="G136" t="str">
            <v>ПОЖРД-Ц-5554-2011 эт.  1</v>
          </cell>
        </row>
        <row r="137">
          <cell r="G137" t="str">
            <v>ПОЖРД-Ц-5554-2011 эт.  2</v>
          </cell>
        </row>
        <row r="138">
          <cell r="G138" t="str">
            <v>Прочность ТРТ-Ц-5554-2011 эт.  1</v>
          </cell>
        </row>
        <row r="139">
          <cell r="G139" t="str">
            <v>Прочность ТРТ-Ц-5554-2011 эт.  2</v>
          </cell>
        </row>
        <row r="140">
          <cell r="G140" t="str">
            <v>* РАСЧ №2-5551-2012</v>
          </cell>
        </row>
        <row r="141">
          <cell r="G141" t="str">
            <v>* РАСЧ №3-5551-2012</v>
          </cell>
        </row>
        <row r="142">
          <cell r="G142" t="str">
            <v>БАЗА 69-2000-2012 эт.  01</v>
          </cell>
        </row>
        <row r="143">
          <cell r="G143" t="str">
            <v>80-5552-2012 эт.  01</v>
          </cell>
        </row>
        <row r="144">
          <cell r="G144" t="str">
            <v>58-1322-2011 эт.  02</v>
          </cell>
        </row>
        <row r="145">
          <cell r="G145" t="str">
            <v>88-5552-2012 эт.  01</v>
          </cell>
        </row>
        <row r="146">
          <cell r="G146" t="str">
            <v>88-5552-2012 эт.  02</v>
          </cell>
        </row>
        <row r="147">
          <cell r="G147" t="str">
            <v>51-1201-2012 эт.  1</v>
          </cell>
        </row>
        <row r="148">
          <cell r="G148" t="str">
            <v>52-1201-2012 эт.  1</v>
          </cell>
        </row>
        <row r="149">
          <cell r="G149" t="str">
            <v>245-4251-2011 эт.  1</v>
          </cell>
        </row>
        <row r="150">
          <cell r="G150" t="str">
            <v>118-2312-2011 эт.  2</v>
          </cell>
        </row>
        <row r="151">
          <cell r="G151" t="str">
            <v>98-5552-2012 эт.  01</v>
          </cell>
        </row>
        <row r="152">
          <cell r="G152" t="str">
            <v>Магистраль (Гарантия)-1001-2011 эт.  3.6</v>
          </cell>
        </row>
        <row r="153">
          <cell r="G153" t="str">
            <v>105-5558-2012 эт.  01</v>
          </cell>
        </row>
        <row r="154">
          <cell r="G154" t="str">
            <v>124-5551-2012 эт.  01</v>
          </cell>
        </row>
        <row r="155">
          <cell r="G155" t="str">
            <v>61-4223-2012 эт.  1</v>
          </cell>
        </row>
        <row r="156">
          <cell r="G156" t="str">
            <v>230-1322-2011 эт.  01</v>
          </cell>
        </row>
        <row r="157">
          <cell r="G157" t="str">
            <v>75-1201-2012 эт.  01</v>
          </cell>
        </row>
        <row r="158">
          <cell r="G158" t="str">
            <v>130-5557-2012 эт.  1</v>
          </cell>
        </row>
        <row r="159">
          <cell r="G159" t="str">
            <v>130-5557-2012 эт.  2</v>
          </cell>
        </row>
        <row r="160">
          <cell r="G160" t="str">
            <v>"КТКиСБ" -235-5556-2011 д/с 2 эт.   4</v>
          </cell>
        </row>
        <row r="161">
          <cell r="G161" t="str">
            <v>"КТКиСБ" -235-5556-2011 д/с 2 эт.   5</v>
          </cell>
        </row>
        <row r="162">
          <cell r="G162" t="str">
            <v>"Эксперимент" -110-2000-2012 эт.  01</v>
          </cell>
        </row>
        <row r="163">
          <cell r="G163" t="str">
            <v>"Эксперимент" -110-2000-2012 эт.  02</v>
          </cell>
        </row>
        <row r="164">
          <cell r="G164" t="str">
            <v>"Эксперимент" -110-2000-2012 эт.  03</v>
          </cell>
        </row>
        <row r="165">
          <cell r="G165" t="str">
            <v>"АС и МО" -91-2107-2012 эт.  01</v>
          </cell>
        </row>
        <row r="166">
          <cell r="G166" t="str">
            <v>"МКС"(Наука) -105-1313-2011 эт.  06</v>
          </cell>
        </row>
        <row r="167">
          <cell r="G167" t="str">
            <v>"МКС"(Наука) -105-1313-2011 эт.  07</v>
          </cell>
        </row>
        <row r="168">
          <cell r="G168" t="str">
            <v>154-5558-2012 эт.  01</v>
          </cell>
        </row>
        <row r="169">
          <cell r="G169" t="str">
            <v>120-1201-2012 эт.  01</v>
          </cell>
        </row>
        <row r="170">
          <cell r="G170" t="str">
            <v>119-1201-2012 эт.  01</v>
          </cell>
        </row>
        <row r="171">
          <cell r="G171" t="str">
            <v>211-4012-2011 эт.  02</v>
          </cell>
        </row>
        <row r="172">
          <cell r="G172" t="str">
            <v>177-1103-2011 эт.  1</v>
          </cell>
        </row>
        <row r="173">
          <cell r="G173" t="str">
            <v>177-5557-2012 эт.  1</v>
          </cell>
        </row>
        <row r="174">
          <cell r="G174" t="str">
            <v>"Эксперимент" -110-2000-2012 эт.  05</v>
          </cell>
        </row>
        <row r="175">
          <cell r="G175" t="str">
            <v>"Эксперимент" -110-2000-2012 эт.  06</v>
          </cell>
        </row>
        <row r="176">
          <cell r="G176" t="str">
            <v>"Эксперимент" -110-2000-2012 эт.  08</v>
          </cell>
        </row>
        <row r="177">
          <cell r="G177" t="str">
            <v>167-4162-2012 эт.  01</v>
          </cell>
        </row>
        <row r="178">
          <cell r="G178" t="str">
            <v>167-4162-2012 эт.  02</v>
          </cell>
        </row>
        <row r="179">
          <cell r="G179" t="str">
            <v>131-2206-2008 д/с 6 эт.   05</v>
          </cell>
        </row>
        <row r="180">
          <cell r="G180" t="str">
            <v>БАЗА 69-2000-2012 д/с 1 эт.   02</v>
          </cell>
        </row>
        <row r="181">
          <cell r="G181" t="str">
            <v>95-1033-2011 эт.  02</v>
          </cell>
        </row>
        <row r="182">
          <cell r="G182" t="str">
            <v>95-1033-2011 эт.  03</v>
          </cell>
        </row>
        <row r="183">
          <cell r="G183" t="str">
            <v>176-5554-2012 эт.  1</v>
          </cell>
        </row>
        <row r="184">
          <cell r="G184" t="str">
            <v>181-5551-2012 эт.  01</v>
          </cell>
        </row>
        <row r="185">
          <cell r="G185" t="str">
            <v>180-5551-2012 эт.  01</v>
          </cell>
        </row>
        <row r="186">
          <cell r="G186">
            <v>0</v>
          </cell>
        </row>
        <row r="187">
          <cell r="G187" t="str">
            <v>142-1201-2012 эт.  1</v>
          </cell>
        </row>
        <row r="188">
          <cell r="G188" t="str">
            <v>141-1201-2012 эт.  1</v>
          </cell>
        </row>
        <row r="189">
          <cell r="G189" t="str">
            <v>129-1201-2012 эт.  1</v>
          </cell>
        </row>
        <row r="190">
          <cell r="G190" t="str">
            <v>87-2206-2011 д/с 8 эт.   13</v>
          </cell>
        </row>
        <row r="191">
          <cell r="G191" t="str">
            <v>87-2206-2011 д/с 8 эт.   14</v>
          </cell>
        </row>
        <row r="192">
          <cell r="G192" t="str">
            <v>87-2206-2011 д/с 8 эт.   15</v>
          </cell>
        </row>
        <row r="193">
          <cell r="G193" t="str">
            <v>87-2206-2011 д/с 8 эт.   16</v>
          </cell>
        </row>
        <row r="194">
          <cell r="G194" t="str">
            <v>87-2206-2011 д/с 8 эт.   17</v>
          </cell>
        </row>
        <row r="195">
          <cell r="G195" t="str">
            <v>87-2206-2011 д/с 8 эт.   18</v>
          </cell>
        </row>
        <row r="196">
          <cell r="G196" t="str">
            <v>"МКС"( Надежность-Наука)-5558-2012 эт.  1</v>
          </cell>
        </row>
        <row r="197">
          <cell r="G197" t="str">
            <v>"МКС"( Надежность-Наука)-5558-2012 эт.  2</v>
          </cell>
        </row>
        <row r="198">
          <cell r="G198" t="str">
            <v>"МКС"( Надежность-Наука)-5558-2012 эт.  3</v>
          </cell>
        </row>
        <row r="199">
          <cell r="G199" t="str">
            <v>91-2207-2008 д/с 6 эт.   06</v>
          </cell>
        </row>
        <row r="200">
          <cell r="G200" t="str">
            <v>91-2207-2008 д/с 6 эт.   07</v>
          </cell>
        </row>
        <row r="201">
          <cell r="G201" t="str">
            <v>91-2207-2008 д/с 6 эт.   08</v>
          </cell>
        </row>
        <row r="202">
          <cell r="G202" t="str">
            <v>9-5551-2004 д/с 20 эт.   21</v>
          </cell>
        </row>
        <row r="203">
          <cell r="G203" t="str">
            <v>"ПОЖРД"-  250-5554-2011 эт.  6</v>
          </cell>
        </row>
        <row r="204">
          <cell r="G204" t="str">
            <v>"ПОЖРД"-  250-5554-2011 эт.  7</v>
          </cell>
        </row>
        <row r="205">
          <cell r="G205" t="str">
            <v>"ПОЖРД"-  250-5554-2011 эт.  8</v>
          </cell>
        </row>
        <row r="206">
          <cell r="G206" t="str">
            <v>"ПОЖРД"-  250-5554-2011 эт.  9</v>
          </cell>
        </row>
        <row r="207">
          <cell r="G207" t="str">
            <v>"Прочность ТРТ"-  248-5554-2011 эт.  6</v>
          </cell>
        </row>
        <row r="208">
          <cell r="G208" t="str">
            <v>"Прочность ТРТ"-  248-5554-2011 эт.  7</v>
          </cell>
        </row>
        <row r="209">
          <cell r="G209" t="str">
            <v>"Прочность ТРТ"-  248-5554-2011 эт.  8</v>
          </cell>
        </row>
        <row r="210">
          <cell r="G210" t="str">
            <v>"Прочность ТРТ"-  248-5554-2011 эт.  9</v>
          </cell>
        </row>
        <row r="211">
          <cell r="G211" t="str">
            <v>85-4222-2012 эт.  01</v>
          </cell>
        </row>
        <row r="212">
          <cell r="G212" t="str">
            <v>153-1202-2012 эт.  01</v>
          </cell>
        </row>
        <row r="213">
          <cell r="G213" t="str">
            <v>59-1201-2012 эт.  1</v>
          </cell>
        </row>
        <row r="214">
          <cell r="G214" t="str">
            <v>189-1201-2012 эт.  1</v>
          </cell>
        </row>
        <row r="215">
          <cell r="G215" t="str">
            <v>188-1201-2012 эт.  1</v>
          </cell>
        </row>
        <row r="216">
          <cell r="G216" t="str">
            <v>185-1201-2012 эт.  1</v>
          </cell>
        </row>
        <row r="217">
          <cell r="G217" t="str">
            <v>243-4211-2011 эт.  2</v>
          </cell>
        </row>
        <row r="218">
          <cell r="G218" t="str">
            <v>214-2312-2011 эт.  1</v>
          </cell>
        </row>
        <row r="219">
          <cell r="G219" t="str">
            <v>158-2312-2011 эт.  2</v>
          </cell>
        </row>
        <row r="220">
          <cell r="G220" t="str">
            <v>226-1324-2011 эт.  01</v>
          </cell>
        </row>
        <row r="221">
          <cell r="G221" t="str">
            <v>* РАСЧ №5-5552-2012</v>
          </cell>
        </row>
        <row r="222">
          <cell r="G222" t="str">
            <v>182-4151-2012 эт.  01</v>
          </cell>
        </row>
        <row r="223">
          <cell r="G223" t="str">
            <v>65-4212-2012 эт.  4</v>
          </cell>
        </row>
        <row r="224">
          <cell r="G224" t="str">
            <v>65-4212-2012 эт.  05</v>
          </cell>
        </row>
        <row r="225">
          <cell r="G225" t="str">
            <v>109-4231-2012 эт.  1</v>
          </cell>
        </row>
        <row r="226">
          <cell r="G226" t="str">
            <v>197-1201-2012 эт.  1</v>
          </cell>
        </row>
        <row r="227">
          <cell r="G227" t="str">
            <v>198-1201-2012 эт.  01</v>
          </cell>
        </row>
        <row r="228">
          <cell r="G228" t="str">
            <v>65-4212-2012 эт.  6</v>
          </cell>
        </row>
        <row r="229">
          <cell r="G229" t="str">
            <v>69-1324-2011 эт.  02</v>
          </cell>
        </row>
        <row r="230">
          <cell r="G2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ФОТ_Числ_03_2017"/>
      <sheetName val="План-факт"/>
      <sheetName val="Завершение"/>
      <sheetName val="ФОТ по заказам 5Ц"/>
      <sheetName val="ПРОГНОЗ ИЮНЬ"/>
      <sheetName val="72-5552"/>
      <sheetName val="ПРОГНОЗ"/>
      <sheetName val="НОРМА"/>
      <sheetName val="Лист3"/>
      <sheetName val="Расчет_ИЮНЬ_2020"/>
      <sheetName val="Итоги"/>
      <sheetName val="Кадровый_состав"/>
      <sheetName val="Распред_ИЮНЬ_ПРЕД "/>
      <sheetName val="Итоги_ расч"/>
      <sheetName val=" План начисл.ИЮНЬ"/>
      <sheetName val="Анализ_Распред_ОКТЯБРЬ"/>
      <sheetName val="Уборщицы"/>
      <sheetName val="Анализ_Распред_ФЕВРАЛЬ  (НОВЫЙ)"/>
      <sheetName val="ФОТ из 1С"/>
      <sheetName val="Аналитическая справка"/>
      <sheetName val="05000"/>
      <sheetName val="05001"/>
      <sheetName val="05002"/>
      <sheetName val="05003"/>
      <sheetName val="5555"/>
      <sheetName val="05005"/>
      <sheetName val="05006"/>
      <sheetName val="05007"/>
      <sheetName val="МОЩ_05000"/>
      <sheetName val="МОЩ 05001"/>
      <sheetName val="МОЩ 05002"/>
      <sheetName val="Мощ 05003"/>
      <sheetName val="МОЩ 05005"/>
      <sheetName val="МОЩ 05006"/>
      <sheetName val="МОЩ 05007"/>
      <sheetName val="Списки"/>
      <sheetName val="коэф. ФОТ от ОТиЗ"/>
      <sheetName val="коэф. ФОТ от ОТиЗ (2)"/>
      <sheetName val="МКС продление"/>
      <sheetName val="Лист2"/>
      <sheetName val="Табл для заверш"/>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A3" t="str">
            <v>ЯНВАРЬ</v>
          </cell>
          <cell r="D3" t="str">
            <v>предварительный</v>
          </cell>
          <cell r="F3" t="str">
            <v>Ведущий инженер</v>
          </cell>
          <cell r="H3" t="str">
            <v>ктн</v>
          </cell>
          <cell r="L3">
            <v>43831</v>
          </cell>
        </row>
        <row r="4">
          <cell r="A4" t="str">
            <v>ФЕВРАЛЬ</v>
          </cell>
          <cell r="D4" t="str">
            <v>окончательный</v>
          </cell>
          <cell r="F4" t="str">
            <v>Ведущий экономист</v>
          </cell>
          <cell r="H4" t="str">
            <v>дтн</v>
          </cell>
          <cell r="L4">
            <v>43862</v>
          </cell>
        </row>
        <row r="5">
          <cell r="A5" t="str">
            <v>МАРТ</v>
          </cell>
          <cell r="F5" t="str">
            <v>Ведущий научный сотрудник</v>
          </cell>
          <cell r="H5" t="str">
            <v>кфмн</v>
          </cell>
          <cell r="L5">
            <v>43891</v>
          </cell>
        </row>
        <row r="6">
          <cell r="A6" t="str">
            <v>АПРЕЛЬ</v>
          </cell>
          <cell r="F6" t="str">
            <v xml:space="preserve">Заместитель начальника отдела - ведущий научный сотрудник </v>
          </cell>
          <cell r="H6" t="str">
            <v>дфмн</v>
          </cell>
          <cell r="L6">
            <v>43922</v>
          </cell>
        </row>
        <row r="7">
          <cell r="A7" t="str">
            <v>МАЙ</v>
          </cell>
          <cell r="F7" t="str">
            <v xml:space="preserve">Заместитель начальника Центра по экспериментальной базе - главный инженер </v>
          </cell>
          <cell r="L7">
            <v>43952</v>
          </cell>
        </row>
        <row r="8">
          <cell r="A8" t="str">
            <v>ИЮНЬ</v>
          </cell>
          <cell r="F8" t="str">
            <v>Главный научный сотрудник</v>
          </cell>
          <cell r="L8">
            <v>43983</v>
          </cell>
        </row>
        <row r="9">
          <cell r="A9" t="str">
            <v>ИЮЛЬ</v>
          </cell>
          <cell r="F9" t="str">
            <v>Главный специалист</v>
          </cell>
          <cell r="L9">
            <v>44013</v>
          </cell>
        </row>
        <row r="10">
          <cell r="A10" t="str">
            <v>АВГУСТ</v>
          </cell>
          <cell r="F10" t="str">
            <v xml:space="preserve">Заместитель начальника отдела - главный специалист </v>
          </cell>
          <cell r="L10">
            <v>44044</v>
          </cell>
        </row>
        <row r="11">
          <cell r="A11" t="str">
            <v>СЕНТЯБРЬ</v>
          </cell>
          <cell r="F11" t="str">
            <v>Главный специалист - начальник группы</v>
          </cell>
          <cell r="L11">
            <v>44075</v>
          </cell>
        </row>
        <row r="12">
          <cell r="A12" t="str">
            <v>ОКТЯБРЬ</v>
          </cell>
          <cell r="F12" t="str">
            <v>Заведующий хозяйством</v>
          </cell>
          <cell r="L12">
            <v>44105</v>
          </cell>
        </row>
        <row r="13">
          <cell r="A13" t="str">
            <v>НОЯБРЬ</v>
          </cell>
          <cell r="F13" t="str">
            <v>Заместитель начальника отдела</v>
          </cell>
          <cell r="L13">
            <v>44136</v>
          </cell>
        </row>
        <row r="14">
          <cell r="A14" t="str">
            <v>ДЕКАБРЬ</v>
          </cell>
          <cell r="F14" t="str">
            <v>Заместитель начальника центра по измерениям</v>
          </cell>
        </row>
        <row r="15">
          <cell r="F15" t="str">
            <v>Заместитель главного инженера Центра 5.</v>
          </cell>
        </row>
        <row r="16">
          <cell r="F16" t="str">
            <v>Инженер</v>
          </cell>
        </row>
        <row r="17">
          <cell r="F17" t="str">
            <v>Инженер 1 категории</v>
          </cell>
        </row>
        <row r="18">
          <cell r="F18" t="str">
            <v>Инженер 2 категории</v>
          </cell>
        </row>
        <row r="19">
          <cell r="F19" t="str">
            <v>Экономист 1 категории</v>
          </cell>
        </row>
        <row r="20">
          <cell r="F20" t="str">
            <v>Инженер-конструктор I категории</v>
          </cell>
        </row>
        <row r="21">
          <cell r="F21" t="str">
            <v>Испытатель измерительных систем 5 р.</v>
          </cell>
        </row>
        <row r="22">
          <cell r="F22" t="str">
            <v>Испытатель измерительных систем 5 разряд</v>
          </cell>
        </row>
        <row r="23">
          <cell r="F23" t="str">
            <v>Консультант (научный)</v>
          </cell>
        </row>
        <row r="24">
          <cell r="F24" t="str">
            <v>Лаборант по физико-механическим испытаниям 5 разряд</v>
          </cell>
        </row>
        <row r="25">
          <cell r="F25" t="str">
            <v>Лаборант по физико-механическим испытаниям 6 разряд</v>
          </cell>
        </row>
        <row r="26">
          <cell r="F26" t="str">
            <v>Машинист крана 6 разряд (крановщик)</v>
          </cell>
        </row>
        <row r="27">
          <cell r="F27" t="str">
            <v>Младший научный сотрудник</v>
          </cell>
        </row>
        <row r="28">
          <cell r="F28" t="str">
            <v>Монтажник электроизмерительной и специальной аппаратуры, 3 разряд</v>
          </cell>
        </row>
        <row r="29">
          <cell r="F29" t="str">
            <v>Монтажник электроизмерительной и специальной аппаратуры,5р.</v>
          </cell>
        </row>
        <row r="30">
          <cell r="F30" t="str">
            <v>Монтажник электроизмерительной и специальной аппаратуры, 6 разряд</v>
          </cell>
        </row>
        <row r="31">
          <cell r="F31" t="str">
            <v xml:space="preserve">Научный консультант </v>
          </cell>
        </row>
        <row r="32">
          <cell r="F32" t="str">
            <v>Начальник группы</v>
          </cell>
        </row>
        <row r="33">
          <cell r="F33" t="str">
            <v>Начальник лаборатории</v>
          </cell>
        </row>
        <row r="34">
          <cell r="F34" t="str">
            <v>Начальник лаборатории - руководитель взрывных работ</v>
          </cell>
        </row>
        <row r="35">
          <cell r="F35" t="str">
            <v>Начальник отдела</v>
          </cell>
        </row>
        <row r="36">
          <cell r="F36" t="str">
            <v>Начальник ПЭБ</v>
          </cell>
        </row>
        <row r="37">
          <cell r="F37" t="str">
            <v>Начальник сектора</v>
          </cell>
        </row>
        <row r="38">
          <cell r="F38" t="str">
            <v>Начальник сектора - заместитель начальника отдела</v>
          </cell>
        </row>
        <row r="39">
          <cell r="F39" t="str">
            <v>Начальник сектора -руководитель взрывных работ</v>
          </cell>
        </row>
        <row r="40">
          <cell r="F40" t="str">
            <v>Начальник стенда</v>
          </cell>
        </row>
        <row r="41">
          <cell r="F41" t="str">
            <v>Начальник испытательного стенда</v>
          </cell>
        </row>
        <row r="42">
          <cell r="F42" t="str">
            <v>Начальник стенда - руководитель группы</v>
          </cell>
        </row>
        <row r="43">
          <cell r="F43" t="str">
            <v>И.о.Начальник центра прочности</v>
          </cell>
        </row>
        <row r="44">
          <cell r="F44" t="str">
            <v>Слесарь-испытатель 5 разряд</v>
          </cell>
        </row>
        <row r="45">
          <cell r="F45" t="str">
            <v>Слесарь-испытатель, взрывник 6 разряд</v>
          </cell>
        </row>
        <row r="46">
          <cell r="F46" t="str">
            <v>Слесарь-испытатель 3 разряд</v>
          </cell>
        </row>
        <row r="47">
          <cell r="F47" t="str">
            <v>Слесарь-испытатель 4 разряд</v>
          </cell>
        </row>
        <row r="48">
          <cell r="F48" t="str">
            <v>Слесарь-испытатель 6 разряд</v>
          </cell>
        </row>
        <row r="49">
          <cell r="F49" t="str">
            <v>Слесарь-ремонтник 2р.</v>
          </cell>
        </row>
        <row r="50">
          <cell r="F50" t="str">
            <v>Слесарь-ремонтник 5 разряд</v>
          </cell>
        </row>
        <row r="51">
          <cell r="F51" t="str">
            <v>Слесарь-ремонтник 6 разряд</v>
          </cell>
        </row>
        <row r="52">
          <cell r="F52" t="str">
            <v>Слесарь по КИПиА 5 разряд</v>
          </cell>
        </row>
        <row r="53">
          <cell r="F53" t="str">
            <v>Старший инспектор</v>
          </cell>
        </row>
        <row r="54">
          <cell r="F54" t="str">
            <v>Старший научный сотрудник</v>
          </cell>
        </row>
        <row r="55">
          <cell r="F55" t="str">
            <v>Старший табельщик</v>
          </cell>
        </row>
        <row r="56">
          <cell r="F56" t="str">
            <v>Техник</v>
          </cell>
        </row>
        <row r="57">
          <cell r="F57" t="str">
            <v>Техник 1 категории</v>
          </cell>
        </row>
        <row r="58">
          <cell r="F58" t="str">
            <v>Техник 2 категории</v>
          </cell>
        </row>
        <row r="59">
          <cell r="F59" t="str">
            <v>Токарь 6 разряд</v>
          </cell>
        </row>
        <row r="60">
          <cell r="F60" t="str">
            <v>Уборщик производственных и служебных помещений</v>
          </cell>
        </row>
        <row r="61">
          <cell r="F61" t="str">
            <v>Электромонтер по ремонту и обслуживанию электрооборудования 6 разряд</v>
          </cell>
        </row>
        <row r="62">
          <cell r="F62" t="str">
            <v>Испытатель измерительных систем 3 р.</v>
          </cell>
        </row>
        <row r="63">
          <cell r="F63" t="str">
            <v xml:space="preserve">Заместитель начальника центра прочности по технологии и планированию НИОКР </v>
          </cell>
        </row>
        <row r="64">
          <cell r="F64" t="str">
            <v>Помощник руководителя</v>
          </cell>
        </row>
        <row r="65">
          <cell r="F65" t="str">
            <v>Ведущий специалист</v>
          </cell>
        </row>
        <row r="66">
          <cell r="F66" t="str">
            <v>Заместитель начальника отдела - начальник сектора</v>
          </cell>
        </row>
        <row r="67">
          <cell r="F67" t="str">
            <v>Слесарь-испытатель 6р.,взрывник</v>
          </cell>
        </row>
        <row r="68">
          <cell r="F68" t="str">
            <v>Слесарь-сборщик 6р.</v>
          </cell>
        </row>
        <row r="69">
          <cell r="F69" t="str">
            <v>Экономист 1 категории</v>
          </cell>
        </row>
        <row r="70">
          <cell r="F70" t="str">
            <v>Испытатель измерительных систем 4 р.</v>
          </cell>
        </row>
        <row r="71">
          <cell r="F71" t="str">
            <v>Ведущий инженер-конструктор</v>
          </cell>
        </row>
        <row r="72">
          <cell r="F72" t="str">
            <v>Уборщик производственных помещений</v>
          </cell>
        </row>
        <row r="73">
          <cell r="F73" t="str">
            <v>Начальник стенда-взрывник</v>
          </cell>
        </row>
        <row r="74">
          <cell r="F74" t="str">
            <v>Специалист</v>
          </cell>
        </row>
        <row r="75">
          <cell r="F75" t="str">
            <v>Заместитель главного инженера 2 и 5 Центров по IT-технологиям.</v>
          </cell>
        </row>
        <row r="76">
          <cell r="F76" t="str">
            <v>Слесарь-сборщик 2 разряд</v>
          </cell>
        </row>
        <row r="77">
          <cell r="F77" t="str">
            <v>Научный сотрудник</v>
          </cell>
        </row>
        <row r="78">
          <cell r="F78" t="str">
            <v>Электромонтер по ремонту и обслуживанию электрооборудования 4 разряд</v>
          </cell>
        </row>
        <row r="79">
          <cell r="F79" t="str">
            <v>Лаборант по механическим испытаниям 5 разряд</v>
          </cell>
        </row>
        <row r="80">
          <cell r="F80" t="str">
            <v>Электромантер по ремонту и обслуживанию электрооборудования, 5 разряд</v>
          </cell>
        </row>
        <row r="81">
          <cell r="F81" t="str">
            <v>Электромонтер по ремонту и обслуживанию электрооборудования 3 разряд</v>
          </cell>
        </row>
        <row r="82">
          <cell r="F82" t="str">
            <v>Инженер-электрик</v>
          </cell>
        </row>
        <row r="83">
          <cell r="F83" t="str">
            <v>Дежурный по корпусу</v>
          </cell>
        </row>
        <row r="84">
          <cell r="F84" t="str">
            <v>Слесарь по сборке металлоконструкций 5 разряд</v>
          </cell>
        </row>
        <row r="85">
          <cell r="F85" t="str">
            <v>Токарь3 разряд</v>
          </cell>
        </row>
        <row r="86">
          <cell r="F86" t="str">
            <v>Сслесарь-испытаель</v>
          </cell>
        </row>
        <row r="87">
          <cell r="F87" t="str">
            <v>Электрогазосварщик 3р</v>
          </cell>
        </row>
      </sheetData>
      <sheetData sheetId="36"/>
      <sheetData sheetId="37"/>
      <sheetData sheetId="38"/>
      <sheetData sheetId="39"/>
      <sheetData sheetId="40"/>
      <sheetData sheetId="4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Факт_по отделам"/>
      <sheetName val="ФОТ по отделам"/>
      <sheetName val="ФАКТ по заказам"/>
      <sheetName val="ФАКТ ФОТ нараст"/>
      <sheetName val="Лист1"/>
      <sheetName val="Лист2"/>
    </sheetNames>
    <sheetDataSet>
      <sheetData sheetId="0">
        <row r="3">
          <cell r="A3">
            <v>1</v>
          </cell>
          <cell r="B3" t="str">
            <v>110-2000-2012 этап 23 НИР Эксперимент</v>
          </cell>
        </row>
        <row r="4">
          <cell r="A4">
            <v>0</v>
          </cell>
          <cell r="B4" t="str">
            <v>110-2000-2012 этап 23 НИР Эксперимент</v>
          </cell>
        </row>
        <row r="5">
          <cell r="A5">
            <v>0</v>
          </cell>
          <cell r="B5" t="str">
            <v>110-2000-2012 этап 23 НИР Эксперимент</v>
          </cell>
        </row>
        <row r="6">
          <cell r="A6">
            <v>0</v>
          </cell>
          <cell r="B6" t="str">
            <v>110-2000-2012 этап 23 НИР Эксперимент</v>
          </cell>
        </row>
        <row r="7">
          <cell r="A7">
            <v>0</v>
          </cell>
          <cell r="B7" t="str">
            <v>110-2000-2012 этап 23 НИР Эксперимент</v>
          </cell>
        </row>
        <row r="8">
          <cell r="A8">
            <v>0</v>
          </cell>
          <cell r="B8" t="str">
            <v>110-2000-2012 этап 23 НИР Эксперимент</v>
          </cell>
        </row>
        <row r="9">
          <cell r="A9">
            <v>0</v>
          </cell>
          <cell r="B9" t="str">
            <v>110-2000-2012 этап 23 НИР Эксперимент</v>
          </cell>
        </row>
        <row r="10">
          <cell r="A10">
            <v>0</v>
          </cell>
          <cell r="B10" t="str">
            <v>110-2000-2012 этап 23 НИР Эксперимент</v>
          </cell>
        </row>
        <row r="11">
          <cell r="A11">
            <v>2</v>
          </cell>
          <cell r="B11" t="str">
            <v>110-2000-2012 этап 24 НИР Эксперимент</v>
          </cell>
        </row>
        <row r="12">
          <cell r="A12">
            <v>0</v>
          </cell>
          <cell r="B12" t="str">
            <v>110-2000-2012 этап 24 НИР Эксперимент</v>
          </cell>
        </row>
        <row r="13">
          <cell r="A13">
            <v>0</v>
          </cell>
          <cell r="B13" t="str">
            <v>110-2000-2012 этап 24 НИР Эксперимент</v>
          </cell>
        </row>
        <row r="14">
          <cell r="A14">
            <v>0</v>
          </cell>
          <cell r="B14" t="str">
            <v>110-2000-2012 этап 24 НИР Эксперимент</v>
          </cell>
        </row>
        <row r="15">
          <cell r="A15">
            <v>3</v>
          </cell>
          <cell r="B15" t="str">
            <v>110-2000-2012 этап 25 НИР Эксперимент</v>
          </cell>
        </row>
        <row r="16">
          <cell r="A16">
            <v>0</v>
          </cell>
          <cell r="B16" t="str">
            <v>110-2000-2012 этап 25 НИР Эксперимент</v>
          </cell>
        </row>
        <row r="17">
          <cell r="A17">
            <v>0</v>
          </cell>
          <cell r="B17" t="str">
            <v>110-2000-2012 этап 25 НИР Эксперимент</v>
          </cell>
        </row>
        <row r="18">
          <cell r="A18">
            <v>0</v>
          </cell>
          <cell r="B18" t="str">
            <v>110-2000-2012 этап 25 НИР Эксперимент</v>
          </cell>
        </row>
        <row r="19">
          <cell r="A19">
            <v>4</v>
          </cell>
          <cell r="B19" t="str">
            <v>130-5557-2012 этап 02 СЧ ОКР Пробой-Трансформ</v>
          </cell>
        </row>
        <row r="20">
          <cell r="A20">
            <v>0</v>
          </cell>
          <cell r="B20" t="str">
            <v>130-5557-2012 этап 02 СЧ ОКР Пробой-Трансформ</v>
          </cell>
        </row>
        <row r="21">
          <cell r="A21">
            <v>0</v>
          </cell>
          <cell r="B21" t="str">
            <v>130-5557-2012 этап 02 СЧ ОКР Пробой-Трансформ</v>
          </cell>
        </row>
        <row r="22">
          <cell r="A22">
            <v>0</v>
          </cell>
          <cell r="B22" t="str">
            <v>130-5557-2012 этап 02 СЧ ОКР Пробой-Трансформ</v>
          </cell>
        </row>
        <row r="23">
          <cell r="A23">
            <v>5</v>
          </cell>
          <cell r="B23" t="str">
            <v xml:space="preserve">16-1313-2013 этап 14 CЧ ОКР МКС (Надежность-Наука) </v>
          </cell>
        </row>
        <row r="24">
          <cell r="A24">
            <v>0</v>
          </cell>
          <cell r="B24" t="str">
            <v xml:space="preserve">16-1313-2013 этап 14 CЧ ОКР МКС (Надежность-Наука) </v>
          </cell>
        </row>
        <row r="25">
          <cell r="A25">
            <v>0</v>
          </cell>
          <cell r="B25" t="str">
            <v xml:space="preserve">16-1313-2013 этап 14 CЧ ОКР МКС (Надежность-Наука) </v>
          </cell>
        </row>
        <row r="26">
          <cell r="A26">
            <v>0</v>
          </cell>
          <cell r="B26" t="str">
            <v xml:space="preserve">16-1313-2013 этап 14 CЧ ОКР МКС (Надежность-Наука) </v>
          </cell>
        </row>
        <row r="27">
          <cell r="A27">
            <v>6</v>
          </cell>
          <cell r="B27" t="str">
            <v xml:space="preserve">16-1313-2013 этап 17 CЧ ОКР МКС (Надежность-Наука) </v>
          </cell>
        </row>
        <row r="28">
          <cell r="A28">
            <v>0</v>
          </cell>
          <cell r="B28" t="str">
            <v xml:space="preserve">16-1313-2013 этап 17 CЧ ОКР МКС (Надежность-Наука) </v>
          </cell>
        </row>
        <row r="29">
          <cell r="A29">
            <v>0</v>
          </cell>
          <cell r="B29" t="str">
            <v xml:space="preserve">16-1313-2013 этап 17 CЧ ОКР МКС (Надежность-Наука) </v>
          </cell>
        </row>
        <row r="30">
          <cell r="A30">
            <v>0</v>
          </cell>
          <cell r="B30" t="str">
            <v xml:space="preserve">16-1313-2013 этап 17 CЧ ОКР МКС (Надежность-Наука) </v>
          </cell>
        </row>
        <row r="31">
          <cell r="A31">
            <v>7</v>
          </cell>
          <cell r="B31" t="str">
            <v>217-2100-2011 этап 07 ОКР Отработка-К</v>
          </cell>
        </row>
        <row r="32">
          <cell r="A32">
            <v>0</v>
          </cell>
          <cell r="B32" t="str">
            <v>217-2100-2011 этап 07 ОКР Отработка-К</v>
          </cell>
        </row>
        <row r="33">
          <cell r="A33">
            <v>0</v>
          </cell>
          <cell r="B33" t="str">
            <v>217-2100-2011 этап 07 ОКР Отработка-К</v>
          </cell>
        </row>
        <row r="34">
          <cell r="A34">
            <v>0</v>
          </cell>
          <cell r="B34" t="str">
            <v>217-2100-2011 этап 07 ОКР Отработка-К</v>
          </cell>
        </row>
        <row r="35">
          <cell r="A35">
            <v>0</v>
          </cell>
          <cell r="B35" t="str">
            <v>217-2100-2011 этап 07 ОКР Отработка-К</v>
          </cell>
        </row>
        <row r="36">
          <cell r="A36">
            <v>0</v>
          </cell>
          <cell r="B36" t="str">
            <v>217-2100-2011 этап 07 ОКР Отработка-К</v>
          </cell>
        </row>
        <row r="37">
          <cell r="A37">
            <v>0</v>
          </cell>
          <cell r="B37" t="str">
            <v>217-2100-2011 этап 07 ОКР Отработка-К</v>
          </cell>
        </row>
        <row r="38">
          <cell r="A38">
            <v>0</v>
          </cell>
          <cell r="B38" t="str">
            <v>217-2100-2011 этап 07 ОКР Отработка-К</v>
          </cell>
        </row>
        <row r="39">
          <cell r="A39">
            <v>0</v>
          </cell>
          <cell r="B39" t="str">
            <v>217-2100-2011 этап 07 ОКР Отработка-К</v>
          </cell>
        </row>
        <row r="40">
          <cell r="A40">
            <v>0</v>
          </cell>
          <cell r="B40" t="str">
            <v>217-2100-2011 этап 07 ОКР Отработка-К</v>
          </cell>
        </row>
        <row r="41">
          <cell r="A41">
            <v>0</v>
          </cell>
          <cell r="B41" t="str">
            <v>217-2100-2011 этап 07 ОКР Отработка-К</v>
          </cell>
        </row>
        <row r="42">
          <cell r="A42">
            <v>0</v>
          </cell>
          <cell r="B42" t="str">
            <v>217-2100-2011 этап 07 ОКР Отработка-К</v>
          </cell>
        </row>
        <row r="43">
          <cell r="A43">
            <v>0</v>
          </cell>
          <cell r="B43" t="str">
            <v>217-2100-2011 этап 07 ОКР Отработка-К</v>
          </cell>
        </row>
        <row r="44">
          <cell r="A44">
            <v>0</v>
          </cell>
          <cell r="B44" t="str">
            <v>217-2100-2011 этап 07 ОКР Отработка-К</v>
          </cell>
        </row>
        <row r="45">
          <cell r="A45">
            <v>0</v>
          </cell>
          <cell r="B45" t="str">
            <v>217-2100-2011 этап 07 ОКР Отработка-К</v>
          </cell>
        </row>
        <row r="46">
          <cell r="A46">
            <v>0</v>
          </cell>
          <cell r="B46" t="str">
            <v>217-2100-2011 этап 07 ОКР Отработка-К</v>
          </cell>
        </row>
        <row r="47">
          <cell r="A47">
            <v>8</v>
          </cell>
          <cell r="B47" t="str">
            <v>235-5556-2011 этап 04 ОКР КТКиСБ</v>
          </cell>
        </row>
        <row r="48">
          <cell r="A48">
            <v>0</v>
          </cell>
          <cell r="B48" t="str">
            <v>235-5556-2011 этап 04 ОКР КТКиСБ</v>
          </cell>
        </row>
        <row r="49">
          <cell r="A49">
            <v>0</v>
          </cell>
          <cell r="B49" t="str">
            <v>235-5556-2011 этап 04 ОКР КТКиСБ</v>
          </cell>
        </row>
        <row r="50">
          <cell r="A50">
            <v>0</v>
          </cell>
          <cell r="B50" t="str">
            <v>235-5556-2011 этап 04 ОКР КТКиСБ</v>
          </cell>
        </row>
        <row r="51">
          <cell r="A51">
            <v>9</v>
          </cell>
          <cell r="B51" t="str">
            <v>235-5556-2011 этап 06 ОКР КТКиСБ</v>
          </cell>
        </row>
        <row r="52">
          <cell r="A52">
            <v>0</v>
          </cell>
          <cell r="B52" t="str">
            <v>235-5556-2011 этап 06 ОКР КТКиСБ</v>
          </cell>
        </row>
        <row r="53">
          <cell r="A53">
            <v>0</v>
          </cell>
          <cell r="B53" t="str">
            <v>235-5556-2011 этап 06 ОКР КТКиСБ</v>
          </cell>
        </row>
        <row r="54">
          <cell r="A54">
            <v>0</v>
          </cell>
          <cell r="B54" t="str">
            <v>235-5556-2011 этап 06 ОКР КТКиСБ</v>
          </cell>
        </row>
        <row r="55">
          <cell r="A55">
            <v>10</v>
          </cell>
          <cell r="B55" t="str">
            <v xml:space="preserve">248-5554-2011 этап 06  ОКР "Прочность-ТРТ"  </v>
          </cell>
        </row>
        <row r="56">
          <cell r="A56">
            <v>0</v>
          </cell>
          <cell r="B56" t="str">
            <v xml:space="preserve">248-5554-2011 этап 06  ОКР "Прочность-ТРТ"  </v>
          </cell>
        </row>
        <row r="57">
          <cell r="A57">
            <v>0</v>
          </cell>
          <cell r="B57" t="str">
            <v xml:space="preserve">248-5554-2011 этап 06  ОКР "Прочность-ТРТ"  </v>
          </cell>
        </row>
        <row r="58">
          <cell r="A58">
            <v>0</v>
          </cell>
          <cell r="B58" t="str">
            <v xml:space="preserve">248-5554-2011 этап 06  ОКР "Прочность-ТРТ"  </v>
          </cell>
        </row>
        <row r="59">
          <cell r="A59">
            <v>11</v>
          </cell>
          <cell r="B59" t="str">
            <v>250-5554-2011 этап 06 ОКР ПОЖРД</v>
          </cell>
        </row>
        <row r="60">
          <cell r="A60">
            <v>0</v>
          </cell>
          <cell r="B60" t="str">
            <v>250-5554-2011 этап 06 ОКР ПОЖРД</v>
          </cell>
        </row>
        <row r="61">
          <cell r="A61">
            <v>0</v>
          </cell>
          <cell r="B61" t="str">
            <v>250-5554-2011 этап 06 ОКР ПОЖРД</v>
          </cell>
        </row>
        <row r="62">
          <cell r="A62">
            <v>0</v>
          </cell>
          <cell r="B62" t="str">
            <v>250-5554-2011 этап 06 ОКР ПОЖРД</v>
          </cell>
        </row>
        <row r="63">
          <cell r="A63">
            <v>12</v>
          </cell>
          <cell r="B63" t="str">
            <v>257-4012-2011 этап 03 НИР НТС-ИП ОПК</v>
          </cell>
        </row>
        <row r="64">
          <cell r="A64">
            <v>0</v>
          </cell>
          <cell r="B64" t="str">
            <v>257-4012-2011 этап 03 НИР НТС-ИП ОПК</v>
          </cell>
        </row>
        <row r="65">
          <cell r="A65">
            <v>0</v>
          </cell>
          <cell r="B65" t="str">
            <v>257-4012-2011 этап 03 НИР НТС-ИП ОПК</v>
          </cell>
        </row>
        <row r="66">
          <cell r="A66">
            <v>0</v>
          </cell>
          <cell r="B66" t="str">
            <v>257-4012-2011 этап 03 НИР НТС-ИП ОПК</v>
          </cell>
        </row>
        <row r="67">
          <cell r="A67">
            <v>13</v>
          </cell>
          <cell r="B67" t="str">
            <v xml:space="preserve">275-5551-2013 этап 01 СЧ ОКР изделие 196КС    </v>
          </cell>
        </row>
        <row r="68">
          <cell r="A68">
            <v>0</v>
          </cell>
          <cell r="B68" t="str">
            <v xml:space="preserve">275-5551-2013 этап 01 СЧ ОКР изделие 196КС    </v>
          </cell>
        </row>
        <row r="69">
          <cell r="A69">
            <v>0</v>
          </cell>
          <cell r="B69" t="str">
            <v xml:space="preserve">275-5551-2013 этап 01 СЧ ОКР изделие 196КС    </v>
          </cell>
        </row>
        <row r="70">
          <cell r="A70">
            <v>0</v>
          </cell>
          <cell r="B70" t="str">
            <v xml:space="preserve">275-5551-2013 этап 01 СЧ ОКР изделие 196КС    </v>
          </cell>
        </row>
        <row r="71">
          <cell r="A71">
            <v>14</v>
          </cell>
          <cell r="B71" t="str">
            <v>277-5551-2013 этап 01 СЧ ОКР изделие 14Ф148</v>
          </cell>
        </row>
        <row r="72">
          <cell r="A72">
            <v>0</v>
          </cell>
          <cell r="B72" t="str">
            <v>277-5551-2013 этап 01 СЧ ОКР изделие 14Ф148</v>
          </cell>
        </row>
        <row r="73">
          <cell r="A73">
            <v>0</v>
          </cell>
          <cell r="B73" t="str">
            <v>277-5551-2013 этап 01 СЧ ОКР изделие 14Ф148</v>
          </cell>
        </row>
        <row r="74">
          <cell r="A74">
            <v>0</v>
          </cell>
          <cell r="B74" t="str">
            <v>277-5551-2013 этап 01 СЧ ОКР изделие 14Ф148</v>
          </cell>
        </row>
        <row r="75">
          <cell r="A75">
            <v>15</v>
          </cell>
          <cell r="B75" t="str">
            <v>289-5551-2013 этап 02 СЧ ОКР Испытание сплава АМг6М</v>
          </cell>
        </row>
        <row r="76">
          <cell r="A76">
            <v>0</v>
          </cell>
          <cell r="B76" t="str">
            <v>289-5551-2013 этап 02 СЧ ОКР Испытание сплава АМг6М</v>
          </cell>
        </row>
        <row r="77">
          <cell r="A77">
            <v>0</v>
          </cell>
          <cell r="B77" t="str">
            <v>289-5551-2013 этап 02 СЧ ОКР Испытание сплава АМг6М</v>
          </cell>
        </row>
        <row r="78">
          <cell r="A78">
            <v>0</v>
          </cell>
          <cell r="B78" t="str">
            <v>289-5551-2013 этап 02 СЧ ОКР Испытание сплава АМг6М</v>
          </cell>
        </row>
        <row r="79">
          <cell r="A79">
            <v>16</v>
          </cell>
          <cell r="B79" t="str">
            <v>298-5551-2013 этап 01 СЧ ОКР изделие 14Ф145</v>
          </cell>
        </row>
        <row r="80">
          <cell r="A80">
            <v>0</v>
          </cell>
          <cell r="B80" t="str">
            <v>298-5551-2013 этап 01 СЧ ОКР изделие 14Ф145</v>
          </cell>
        </row>
        <row r="81">
          <cell r="A81">
            <v>0</v>
          </cell>
          <cell r="B81" t="str">
            <v>298-5551-2013 этап 01 СЧ ОКР изделие 14Ф145</v>
          </cell>
        </row>
        <row r="82">
          <cell r="A82">
            <v>0</v>
          </cell>
          <cell r="B82" t="str">
            <v>298-5551-2013 этап 01 СЧ ОКР изделие 14Ф145</v>
          </cell>
        </row>
        <row r="83">
          <cell r="A83">
            <v>17</v>
          </cell>
          <cell r="B83" t="str">
            <v>314-1201-2013 этап 01 СЧ ОКР Экспресс-АМ4R</v>
          </cell>
        </row>
        <row r="84">
          <cell r="A84">
            <v>0</v>
          </cell>
          <cell r="B84" t="str">
            <v>314-1201-2013 этап 01 СЧ ОКР Экспресс-АМ4R</v>
          </cell>
        </row>
        <row r="85">
          <cell r="A85">
            <v>0</v>
          </cell>
          <cell r="B85" t="str">
            <v>314-1201-2013 этап 01 СЧ ОКР Экспресс-АМ4R</v>
          </cell>
        </row>
        <row r="86">
          <cell r="A86">
            <v>0</v>
          </cell>
          <cell r="B86" t="str">
            <v>314-1201-2013 этап 01 СЧ ОКР Экспресс-АМ4R</v>
          </cell>
        </row>
        <row r="87">
          <cell r="A87">
            <v>18</v>
          </cell>
          <cell r="B87" t="str">
            <v>319-1201-2013 этап 01 СЧ ОКР Turksat-4A</v>
          </cell>
        </row>
        <row r="88">
          <cell r="A88">
            <v>0</v>
          </cell>
          <cell r="B88" t="str">
            <v>319-1201-2013 этап 01 СЧ ОКР Turksat-4A</v>
          </cell>
        </row>
        <row r="89">
          <cell r="A89">
            <v>0</v>
          </cell>
          <cell r="B89" t="str">
            <v>319-1201-2013 этап 01 СЧ ОКР Turksat-4A</v>
          </cell>
        </row>
        <row r="90">
          <cell r="A90">
            <v>0</v>
          </cell>
          <cell r="B90" t="str">
            <v>319-1201-2013 этап 01 СЧ ОКР Turksat-4A</v>
          </cell>
        </row>
        <row r="91">
          <cell r="A91">
            <v>19</v>
          </cell>
          <cell r="B91" t="str">
            <v>43-5556-2013 этап 01  СЧ ОКР САРМАТ</v>
          </cell>
        </row>
        <row r="92">
          <cell r="A92">
            <v>0</v>
          </cell>
          <cell r="B92" t="str">
            <v>43-5556-2013 этап 01  СЧ ОКР САРМАТ</v>
          </cell>
        </row>
        <row r="93">
          <cell r="A93">
            <v>0</v>
          </cell>
          <cell r="B93" t="str">
            <v>43-5556-2013 этап 01  СЧ ОКР САРМАТ</v>
          </cell>
        </row>
        <row r="94">
          <cell r="A94">
            <v>0</v>
          </cell>
          <cell r="B94" t="str">
            <v>43-5556-2013 этап 01  СЧ ОКР САРМАТ</v>
          </cell>
        </row>
        <row r="95">
          <cell r="A95">
            <v>20</v>
          </cell>
          <cell r="B95" t="str">
            <v>43-5556-2013 этап 02  СЧ ОКР САРМАТ</v>
          </cell>
        </row>
        <row r="96">
          <cell r="A96">
            <v>0</v>
          </cell>
          <cell r="B96" t="str">
            <v>43-5556-2013 этап 02  СЧ ОКР САРМАТ</v>
          </cell>
        </row>
        <row r="97">
          <cell r="A97">
            <v>0</v>
          </cell>
          <cell r="B97" t="str">
            <v>43-5556-2013 этап 02  СЧ ОКР САРМАТ</v>
          </cell>
        </row>
        <row r="98">
          <cell r="A98">
            <v>0</v>
          </cell>
          <cell r="B98" t="str">
            <v>43-5556-2013 этап 02  СЧ ОКР САРМАТ</v>
          </cell>
        </row>
        <row r="99">
          <cell r="A99">
            <v>21</v>
          </cell>
          <cell r="B99" t="str">
            <v>57-1322-2013 этап 01 СЧ ОКР Луна-Глоб-НТС</v>
          </cell>
        </row>
        <row r="100">
          <cell r="A100">
            <v>0</v>
          </cell>
          <cell r="B100" t="str">
            <v>57-1322-2013 этап 01 СЧ ОКР Луна-Глоб-НТС</v>
          </cell>
        </row>
        <row r="101">
          <cell r="A101">
            <v>0</v>
          </cell>
          <cell r="B101" t="str">
            <v>57-1322-2013 этап 01 СЧ ОКР Луна-Глоб-НТС</v>
          </cell>
        </row>
        <row r="102">
          <cell r="A102">
            <v>0</v>
          </cell>
          <cell r="B102" t="str">
            <v>57-1322-2013 этап 01 СЧ ОКР Луна-Глоб-НТС</v>
          </cell>
        </row>
        <row r="103">
          <cell r="A103">
            <v>22</v>
          </cell>
          <cell r="B103" t="str">
            <v>69-2000-2012 этап 03 ОКР База-М-(Совершенствование)</v>
          </cell>
        </row>
        <row r="104">
          <cell r="A104">
            <v>0</v>
          </cell>
          <cell r="B104" t="str">
            <v>69-2000-2012 этап 03 ОКР База-М-(Совершенствование)</v>
          </cell>
        </row>
        <row r="105">
          <cell r="A105">
            <v>0</v>
          </cell>
          <cell r="B105" t="str">
            <v>69-2000-2012 этап 03 ОКР База-М-(Совершенствование)</v>
          </cell>
        </row>
        <row r="106">
          <cell r="A106">
            <v>0</v>
          </cell>
          <cell r="B106" t="str">
            <v>69-2000-2012 этап 03 ОКР База-М-(Совершенствование)</v>
          </cell>
        </row>
        <row r="107">
          <cell r="A107">
            <v>0</v>
          </cell>
          <cell r="B107" t="str">
            <v>69-2000-2012 этап 03 ОКР База-М-(Совершенствование)</v>
          </cell>
        </row>
        <row r="108">
          <cell r="A108">
            <v>0</v>
          </cell>
          <cell r="B108" t="str">
            <v>69-2000-2012 этап 03 ОКР База-М-(Совершенствование)</v>
          </cell>
        </row>
        <row r="109">
          <cell r="A109">
            <v>0</v>
          </cell>
          <cell r="B109" t="str">
            <v>69-2000-2012 этап 03 ОКР База-М-(Совершенствование)</v>
          </cell>
        </row>
        <row r="110">
          <cell r="A110">
            <v>0</v>
          </cell>
          <cell r="B110" t="str">
            <v>69-2000-2012 этап 03 ОКР База-М-(Совершенствование)</v>
          </cell>
        </row>
        <row r="111">
          <cell r="A111">
            <v>0</v>
          </cell>
          <cell r="B111" t="str">
            <v>69-2000-2012 этап 03 ОКР База-М-(Совершенствование)</v>
          </cell>
        </row>
        <row r="112">
          <cell r="A112">
            <v>0</v>
          </cell>
          <cell r="B112" t="str">
            <v>69-2000-2012 этап 03 ОКР База-М-(Совершенствование)</v>
          </cell>
        </row>
        <row r="113">
          <cell r="A113">
            <v>0</v>
          </cell>
          <cell r="B113" t="str">
            <v>69-2000-2012 этап 03 ОКР База-М-(Совершенствование)</v>
          </cell>
        </row>
        <row r="114">
          <cell r="A114">
            <v>0</v>
          </cell>
          <cell r="B114" t="str">
            <v>69-2000-2012 этап 03 ОКР База-М-(Совершенствование)</v>
          </cell>
        </row>
        <row r="115">
          <cell r="A115">
            <v>0</v>
          </cell>
          <cell r="B115" t="str">
            <v>69-2000-2012 этап 03 ОКР База-М-(Совершенствование)</v>
          </cell>
        </row>
        <row r="116">
          <cell r="A116">
            <v>0</v>
          </cell>
          <cell r="B116" t="str">
            <v>69-2000-2012 этап 03 ОКР База-М-(Совершенствование)</v>
          </cell>
        </row>
        <row r="117">
          <cell r="A117">
            <v>0</v>
          </cell>
          <cell r="B117" t="str">
            <v>69-2000-2012 этап 03 ОКР База-М-(Совершенствование)</v>
          </cell>
        </row>
        <row r="118">
          <cell r="A118">
            <v>0</v>
          </cell>
          <cell r="B118" t="str">
            <v>69-2000-2012 этап 03 ОКР База-М-(Совершенствование)</v>
          </cell>
        </row>
        <row r="119">
          <cell r="A119">
            <v>0</v>
          </cell>
          <cell r="B119" t="str">
            <v>69-2000-2012 этап 03 ОКР База-М-(Совершенствование)</v>
          </cell>
        </row>
        <row r="120">
          <cell r="A120">
            <v>0</v>
          </cell>
          <cell r="B120" t="str">
            <v>69-2000-2012 этап 03 ОКР База-М-(Совершенствование)</v>
          </cell>
        </row>
        <row r="121">
          <cell r="A121">
            <v>0</v>
          </cell>
          <cell r="B121" t="str">
            <v>69-2000-2012 этап 03 ОКР База-М-(Совершенствование)</v>
          </cell>
        </row>
        <row r="122">
          <cell r="A122">
            <v>0</v>
          </cell>
          <cell r="B122" t="str">
            <v>69-2000-2012 этап 03 ОКР База-М-(Совершенствование)</v>
          </cell>
        </row>
        <row r="123">
          <cell r="A123">
            <v>0</v>
          </cell>
          <cell r="B123" t="str">
            <v>69-2000-2012 этап 03 ОКР База-М-(Совершенствование)</v>
          </cell>
        </row>
        <row r="124">
          <cell r="A124">
            <v>0</v>
          </cell>
          <cell r="B124" t="str">
            <v>69-2000-2012 этап 03 ОКР База-М-(Совершенствование)</v>
          </cell>
        </row>
        <row r="125">
          <cell r="A125">
            <v>0</v>
          </cell>
          <cell r="B125" t="str">
            <v>69-2000-2012 этап 03 ОКР База-М-(Совершенствование)</v>
          </cell>
        </row>
        <row r="126">
          <cell r="A126">
            <v>0</v>
          </cell>
          <cell r="B126" t="str">
            <v>69-2000-2012 этап 03 ОКР База-М-(Совершенствование)</v>
          </cell>
        </row>
        <row r="127">
          <cell r="A127">
            <v>23</v>
          </cell>
          <cell r="B127" t="str">
            <v>73-5551-2013 этап 01 СЧ ОКР изделие 14Ф145</v>
          </cell>
        </row>
        <row r="128">
          <cell r="A128">
            <v>0</v>
          </cell>
          <cell r="B128" t="str">
            <v>73-5551-2013 этап 01 СЧ ОКР изделие 14Ф145</v>
          </cell>
        </row>
        <row r="129">
          <cell r="A129">
            <v>0</v>
          </cell>
          <cell r="B129" t="str">
            <v>73-5551-2013 этап 01 СЧ ОКР изделие 14Ф145</v>
          </cell>
        </row>
        <row r="130">
          <cell r="A130">
            <v>0</v>
          </cell>
          <cell r="B130" t="str">
            <v>73-5551-2013 этап 01 СЧ ОКР изделие 14Ф145</v>
          </cell>
        </row>
        <row r="131">
          <cell r="A131">
            <v>24</v>
          </cell>
          <cell r="B131" t="str">
            <v>87-2206-2008 этап 14 ОКР Ангара</v>
          </cell>
        </row>
        <row r="132">
          <cell r="A132">
            <v>0</v>
          </cell>
          <cell r="B132" t="str">
            <v>87-2206-2008 этап 14 ОКР Ангара</v>
          </cell>
        </row>
        <row r="133">
          <cell r="A133">
            <v>0</v>
          </cell>
          <cell r="B133" t="str">
            <v>87-2206-2008 этап 14 ОКР Ангара</v>
          </cell>
        </row>
        <row r="134">
          <cell r="A134">
            <v>0</v>
          </cell>
          <cell r="B134" t="str">
            <v>87-2206-2008 этап 14 ОКР Ангара</v>
          </cell>
        </row>
        <row r="135">
          <cell r="A135">
            <v>25</v>
          </cell>
          <cell r="B135" t="str">
            <v>87-2206-2008 этап 17 ОКР Ангара</v>
          </cell>
        </row>
        <row r="136">
          <cell r="A136">
            <v>0</v>
          </cell>
          <cell r="B136" t="str">
            <v>87-2206-2008 этап 17 ОКР Ангара</v>
          </cell>
        </row>
        <row r="137">
          <cell r="A137">
            <v>0</v>
          </cell>
          <cell r="B137" t="str">
            <v>87-2206-2008 этап 17 ОКР Ангара</v>
          </cell>
        </row>
        <row r="138">
          <cell r="A138">
            <v>0</v>
          </cell>
          <cell r="B138" t="str">
            <v>87-2206-2008 этап 17 ОКР Ангара</v>
          </cell>
        </row>
        <row r="139">
          <cell r="A139">
            <v>26</v>
          </cell>
          <cell r="B139" t="str">
            <v>91-2107-2012 этап 02.2 ОКР АСиМО</v>
          </cell>
        </row>
        <row r="140">
          <cell r="A140">
            <v>0</v>
          </cell>
          <cell r="B140" t="str">
            <v>91-2107-2012 этап 02.2 ОКР АСиМО</v>
          </cell>
        </row>
        <row r="141">
          <cell r="A141">
            <v>0</v>
          </cell>
          <cell r="B141" t="str">
            <v>91-2107-2012 этап 02.2 ОКР АСиМО</v>
          </cell>
        </row>
        <row r="142">
          <cell r="A142">
            <v>0</v>
          </cell>
          <cell r="B142" t="str">
            <v>91-2107-2012 этап 02.2 ОКР АСиМО</v>
          </cell>
        </row>
        <row r="143">
          <cell r="A143">
            <v>0</v>
          </cell>
          <cell r="B143" t="str">
            <v>91-2107-2012 этап 02.2 ОКР АСиМО</v>
          </cell>
        </row>
        <row r="144">
          <cell r="A144">
            <v>0</v>
          </cell>
          <cell r="B144" t="str">
            <v>91-2107-2012 этап 02.2 ОКР АСиМО</v>
          </cell>
        </row>
        <row r="145">
          <cell r="A145">
            <v>0</v>
          </cell>
          <cell r="B145" t="str">
            <v>91-2107-2012 этап 02.2 ОКР АСиМО</v>
          </cell>
        </row>
        <row r="146">
          <cell r="A146">
            <v>0</v>
          </cell>
          <cell r="B146" t="str">
            <v>91-2107-2012 этап 02.2 ОКР АСиМО</v>
          </cell>
        </row>
        <row r="147">
          <cell r="A147">
            <v>0</v>
          </cell>
          <cell r="B147" t="str">
            <v>110-2000-2012 этап 23 НИР Эксперимент</v>
          </cell>
        </row>
        <row r="148">
          <cell r="A148">
            <v>0</v>
          </cell>
          <cell r="B148" t="str">
            <v>110-2000-2012 этап 23 НИР Эксперимент</v>
          </cell>
        </row>
        <row r="149">
          <cell r="A149">
            <v>0</v>
          </cell>
          <cell r="B149" t="str">
            <v>110-2000-2012 этап 23 НИР Эксперимент</v>
          </cell>
        </row>
        <row r="150">
          <cell r="A150">
            <v>0</v>
          </cell>
          <cell r="B150" t="str">
            <v>110-2000-2012 этап 23 НИР Эксперимент</v>
          </cell>
        </row>
        <row r="151">
          <cell r="A151">
            <v>0</v>
          </cell>
          <cell r="B151" t="str">
            <v>110-2000-2012 этап 24 НИР Эксперимент</v>
          </cell>
        </row>
        <row r="152">
          <cell r="A152">
            <v>0</v>
          </cell>
          <cell r="B152" t="str">
            <v>110-2000-2012 этап 24 НИР Эксперимент</v>
          </cell>
        </row>
        <row r="153">
          <cell r="A153">
            <v>0</v>
          </cell>
          <cell r="B153" t="str">
            <v>110-2000-2012 этап 24 НИР Эксперимент</v>
          </cell>
        </row>
        <row r="154">
          <cell r="A154">
            <v>0</v>
          </cell>
          <cell r="B154" t="str">
            <v>110-2000-2012 этап 24 НИР Эксперимент</v>
          </cell>
        </row>
        <row r="155">
          <cell r="A155">
            <v>0</v>
          </cell>
          <cell r="B155" t="str">
            <v>110-2000-2012 этап 25 НИР Эксперимент</v>
          </cell>
        </row>
        <row r="156">
          <cell r="A156">
            <v>0</v>
          </cell>
          <cell r="B156" t="str">
            <v>110-2000-2012 этап 25 НИР Эксперимент</v>
          </cell>
        </row>
        <row r="157">
          <cell r="A157">
            <v>0</v>
          </cell>
          <cell r="B157" t="str">
            <v>110-2000-2012 этап 25 НИР Эксперимент</v>
          </cell>
        </row>
        <row r="158">
          <cell r="A158">
            <v>0</v>
          </cell>
          <cell r="B158" t="str">
            <v>110-2000-2012 этап 25 НИР Эксперимент</v>
          </cell>
        </row>
        <row r="159">
          <cell r="A159">
            <v>27</v>
          </cell>
          <cell r="B159" t="str">
            <v>110-2000-2012 этап 27 НИР Эксперимент</v>
          </cell>
        </row>
        <row r="160">
          <cell r="A160">
            <v>0</v>
          </cell>
          <cell r="B160" t="str">
            <v>110-2000-2012 этап 27 НИР Эксперимент</v>
          </cell>
        </row>
        <row r="161">
          <cell r="A161">
            <v>0</v>
          </cell>
          <cell r="B161" t="str">
            <v>110-2000-2012 этап 27 НИР Эксперимент</v>
          </cell>
        </row>
        <row r="162">
          <cell r="A162">
            <v>0</v>
          </cell>
          <cell r="B162" t="str">
            <v>110-2000-2012 этап 27 НИР Эксперимент</v>
          </cell>
        </row>
        <row r="163">
          <cell r="A163">
            <v>28</v>
          </cell>
          <cell r="B163" t="str">
            <v>110-2000-2012 этап 30 НИР Эксперимент</v>
          </cell>
        </row>
        <row r="164">
          <cell r="A164">
            <v>0</v>
          </cell>
          <cell r="B164" t="str">
            <v>110-2000-2012 этап 30 НИР Эксперимент</v>
          </cell>
        </row>
        <row r="165">
          <cell r="A165">
            <v>0</v>
          </cell>
          <cell r="B165" t="str">
            <v>110-2000-2012 этап 30 НИР Эксперимент</v>
          </cell>
        </row>
        <row r="166">
          <cell r="A166">
            <v>0</v>
          </cell>
          <cell r="B166" t="str">
            <v>110-2000-2012 этап 30 НИР Эксперимент</v>
          </cell>
        </row>
        <row r="167">
          <cell r="A167">
            <v>0</v>
          </cell>
          <cell r="B167" t="str">
            <v>110-2000-2012 этап 30 НИР Эксперимент</v>
          </cell>
        </row>
        <row r="168">
          <cell r="A168">
            <v>0</v>
          </cell>
          <cell r="B168" t="str">
            <v>110-2000-2012 этап 30 НИР Эксперимент</v>
          </cell>
        </row>
        <row r="169">
          <cell r="A169">
            <v>0</v>
          </cell>
          <cell r="B169" t="str">
            <v>110-2000-2012 этап 30 НИР Эксперимент</v>
          </cell>
        </row>
        <row r="170">
          <cell r="A170">
            <v>0</v>
          </cell>
          <cell r="B170" t="str">
            <v>110-2000-2012 этап 30 НИР Эксперимент</v>
          </cell>
        </row>
        <row r="171">
          <cell r="A171">
            <v>0</v>
          </cell>
          <cell r="B171" t="str">
            <v>110-2000-2012 этап 30 НИР Эксперимент</v>
          </cell>
        </row>
        <row r="172">
          <cell r="A172">
            <v>0</v>
          </cell>
          <cell r="B172" t="str">
            <v>110-2000-2012 этап 30 НИР Эксперимент</v>
          </cell>
        </row>
        <row r="173">
          <cell r="A173">
            <v>0</v>
          </cell>
          <cell r="B173" t="str">
            <v>110-2000-2012 этап 30 НИР Эксперимент</v>
          </cell>
        </row>
        <row r="174">
          <cell r="A174">
            <v>0</v>
          </cell>
          <cell r="B174" t="str">
            <v>110-2000-2012 этап 30 НИР Эксперимент</v>
          </cell>
        </row>
        <row r="175">
          <cell r="A175">
            <v>29</v>
          </cell>
          <cell r="B175" t="str">
            <v xml:space="preserve">16-1313-2013 этап 12 CЧ ОКР МКС (Надежность-Наука) </v>
          </cell>
        </row>
        <row r="176">
          <cell r="A176">
            <v>0</v>
          </cell>
          <cell r="B176" t="str">
            <v xml:space="preserve">16-1313-2013 этап 12 CЧ ОКР МКС (Надежность-Наука) </v>
          </cell>
        </row>
        <row r="177">
          <cell r="A177">
            <v>0</v>
          </cell>
          <cell r="B177" t="str">
            <v xml:space="preserve">16-1313-2013 этап 12 CЧ ОКР МКС (Надежность-Наука) </v>
          </cell>
        </row>
        <row r="178">
          <cell r="A178">
            <v>0</v>
          </cell>
          <cell r="B178" t="str">
            <v xml:space="preserve">16-1313-2013 этап 12 CЧ ОКР МКС (Надежность-Наука) </v>
          </cell>
        </row>
        <row r="179">
          <cell r="A179">
            <v>0</v>
          </cell>
          <cell r="B179" t="str">
            <v xml:space="preserve">16-1313-2013 этап 14 CЧ ОКР МКС (Надежность-Наука) </v>
          </cell>
        </row>
        <row r="180">
          <cell r="A180">
            <v>0</v>
          </cell>
          <cell r="B180" t="str">
            <v xml:space="preserve">16-1313-2013 этап 14 CЧ ОКР МКС (Надежность-Наука) </v>
          </cell>
        </row>
        <row r="181">
          <cell r="A181">
            <v>0</v>
          </cell>
          <cell r="B181" t="str">
            <v xml:space="preserve">16-1313-2013 этап 14 CЧ ОКР МКС (Надежность-Наука) </v>
          </cell>
        </row>
        <row r="182">
          <cell r="A182">
            <v>0</v>
          </cell>
          <cell r="B182" t="str">
            <v xml:space="preserve">16-1313-2013 этап 14 CЧ ОКР МКС (Надежность-Наука) </v>
          </cell>
        </row>
        <row r="183">
          <cell r="A183">
            <v>0</v>
          </cell>
          <cell r="B183" t="str">
            <v xml:space="preserve">16-1313-2013 этап 17 CЧ ОКР МКС (Надежность-Наука) </v>
          </cell>
        </row>
        <row r="184">
          <cell r="A184">
            <v>0</v>
          </cell>
          <cell r="B184" t="str">
            <v xml:space="preserve">16-1313-2013 этап 17 CЧ ОКР МКС (Надежность-Наука) </v>
          </cell>
        </row>
        <row r="185">
          <cell r="A185">
            <v>0</v>
          </cell>
          <cell r="B185" t="str">
            <v xml:space="preserve">16-1313-2013 этап 17 CЧ ОКР МКС (Надежность-Наука) </v>
          </cell>
        </row>
        <row r="186">
          <cell r="A186">
            <v>0</v>
          </cell>
          <cell r="B186" t="str">
            <v xml:space="preserve">16-1313-2013 этап 17 CЧ ОКР МКС (Надежность-Наука) </v>
          </cell>
        </row>
        <row r="187">
          <cell r="A187">
            <v>0</v>
          </cell>
          <cell r="B187" t="str">
            <v>217-2100-2011 этап 07 ОКР Отработка-К</v>
          </cell>
        </row>
        <row r="188">
          <cell r="A188">
            <v>0</v>
          </cell>
          <cell r="B188" t="str">
            <v>217-2100-2011 этап 07 ОКР Отработка-К</v>
          </cell>
        </row>
        <row r="189">
          <cell r="A189">
            <v>0</v>
          </cell>
          <cell r="B189" t="str">
            <v>217-2100-2011 этап 07 ОКР Отработка-К</v>
          </cell>
        </row>
        <row r="190">
          <cell r="A190">
            <v>0</v>
          </cell>
          <cell r="B190" t="str">
            <v>217-2100-2011 этап 07 ОКР Отработка-К</v>
          </cell>
        </row>
        <row r="191">
          <cell r="A191">
            <v>0</v>
          </cell>
          <cell r="B191" t="str">
            <v>217-2100-2011 этап 07 ОКР Отработка-К</v>
          </cell>
        </row>
        <row r="192">
          <cell r="A192">
            <v>0</v>
          </cell>
          <cell r="B192" t="str">
            <v>217-2100-2011 этап 07 ОКР Отработка-К</v>
          </cell>
        </row>
        <row r="193">
          <cell r="A193">
            <v>0</v>
          </cell>
          <cell r="B193" t="str">
            <v>217-2100-2011 этап 07 ОКР Отработка-К</v>
          </cell>
        </row>
        <row r="194">
          <cell r="A194">
            <v>0</v>
          </cell>
          <cell r="B194" t="str">
            <v>217-2100-2011 этап 07 ОКР Отработка-К</v>
          </cell>
        </row>
        <row r="195">
          <cell r="A195">
            <v>0</v>
          </cell>
          <cell r="B195" t="str">
            <v>217-2100-2011 этап 07 ОКР Отработка-К</v>
          </cell>
        </row>
        <row r="196">
          <cell r="A196">
            <v>0</v>
          </cell>
          <cell r="B196" t="str">
            <v>217-2100-2011 этап 07 ОКР Отработка-К</v>
          </cell>
        </row>
        <row r="197">
          <cell r="A197">
            <v>0</v>
          </cell>
          <cell r="B197" t="str">
            <v>217-2100-2011 этап 07 ОКР Отработка-К</v>
          </cell>
        </row>
        <row r="198">
          <cell r="A198">
            <v>0</v>
          </cell>
          <cell r="B198" t="str">
            <v>217-2100-2011 этап 07 ОКР Отработка-К</v>
          </cell>
        </row>
        <row r="199">
          <cell r="A199">
            <v>0</v>
          </cell>
          <cell r="B199" t="str">
            <v>235-5556-2011 этап 04 ОКР КТКиСБ</v>
          </cell>
        </row>
        <row r="200">
          <cell r="A200">
            <v>0</v>
          </cell>
          <cell r="B200" t="str">
            <v>235-5556-2011 этап 04 ОКР КТКиСБ</v>
          </cell>
        </row>
        <row r="201">
          <cell r="A201">
            <v>0</v>
          </cell>
          <cell r="B201" t="str">
            <v>235-5556-2011 этап 04 ОКР КТКиСБ</v>
          </cell>
        </row>
        <row r="202">
          <cell r="A202">
            <v>0</v>
          </cell>
          <cell r="B202" t="str">
            <v>235-5556-2011 этап 04 ОКР КТКиСБ</v>
          </cell>
        </row>
        <row r="203">
          <cell r="A203">
            <v>0</v>
          </cell>
          <cell r="B203" t="str">
            <v>235-5556-2011 этап 06 ОКР КТКиСБ</v>
          </cell>
        </row>
        <row r="204">
          <cell r="A204">
            <v>0</v>
          </cell>
          <cell r="B204" t="str">
            <v>235-5556-2011 этап 06 ОКР КТКиСБ</v>
          </cell>
        </row>
        <row r="205">
          <cell r="A205">
            <v>0</v>
          </cell>
          <cell r="B205" t="str">
            <v>235-5556-2011 этап 06 ОКР КТКиСБ</v>
          </cell>
        </row>
        <row r="206">
          <cell r="A206">
            <v>0</v>
          </cell>
          <cell r="B206" t="str">
            <v>235-5556-2011 этап 06 ОКР КТКиСБ</v>
          </cell>
        </row>
        <row r="207">
          <cell r="A207">
            <v>0</v>
          </cell>
          <cell r="B207" t="str">
            <v xml:space="preserve">248-5554-2011 этап 06  ОКР "Прочность-ТРТ"  </v>
          </cell>
        </row>
        <row r="208">
          <cell r="A208">
            <v>0</v>
          </cell>
          <cell r="B208" t="str">
            <v xml:space="preserve">248-5554-2011 этап 06  ОКР "Прочность-ТРТ"  </v>
          </cell>
        </row>
        <row r="209">
          <cell r="A209">
            <v>0</v>
          </cell>
          <cell r="B209" t="str">
            <v xml:space="preserve">248-5554-2011 этап 06  ОКР "Прочность-ТРТ"  </v>
          </cell>
        </row>
        <row r="210">
          <cell r="A210">
            <v>0</v>
          </cell>
          <cell r="B210" t="str">
            <v xml:space="preserve">248-5554-2011 этап 06  ОКР "Прочность-ТРТ"  </v>
          </cell>
        </row>
        <row r="211">
          <cell r="A211">
            <v>0</v>
          </cell>
          <cell r="B211" t="str">
            <v>250-5554-2011 этап 06 ОКР ПОЖРД</v>
          </cell>
        </row>
        <row r="212">
          <cell r="A212">
            <v>0</v>
          </cell>
          <cell r="B212" t="str">
            <v>250-5554-2011 этап 06 ОКР ПОЖРД</v>
          </cell>
        </row>
        <row r="213">
          <cell r="A213">
            <v>0</v>
          </cell>
          <cell r="B213" t="str">
            <v>250-5554-2011 этап 06 ОКР ПОЖРД</v>
          </cell>
        </row>
        <row r="214">
          <cell r="A214">
            <v>0</v>
          </cell>
          <cell r="B214" t="str">
            <v>250-5554-2011 этап 06 ОКР ПОЖРД</v>
          </cell>
        </row>
        <row r="215">
          <cell r="A215">
            <v>30</v>
          </cell>
          <cell r="B215" t="str">
            <v>250-5554-2011 этап 07 ОКР ПОЖРД</v>
          </cell>
        </row>
        <row r="216">
          <cell r="A216">
            <v>0</v>
          </cell>
          <cell r="B216" t="str">
            <v>250-5554-2011 этап 07 ОКР ПОЖРД</v>
          </cell>
        </row>
        <row r="217">
          <cell r="A217">
            <v>0</v>
          </cell>
          <cell r="B217" t="str">
            <v>250-5554-2011 этап 07 ОКР ПОЖРД</v>
          </cell>
        </row>
        <row r="218">
          <cell r="A218">
            <v>0</v>
          </cell>
          <cell r="B218" t="str">
            <v>250-5554-2011 этап 07 ОКР ПОЖРД</v>
          </cell>
        </row>
        <row r="219">
          <cell r="A219">
            <v>0</v>
          </cell>
          <cell r="B219" t="str">
            <v xml:space="preserve">275-5551-2013 этап 01 СЧ ОКР изделие 196КС    </v>
          </cell>
        </row>
        <row r="220">
          <cell r="A220">
            <v>0</v>
          </cell>
          <cell r="B220" t="str">
            <v xml:space="preserve">275-5551-2013 этап 01 СЧ ОКР изделие 196КС    </v>
          </cell>
        </row>
        <row r="221">
          <cell r="A221">
            <v>0</v>
          </cell>
          <cell r="B221" t="str">
            <v xml:space="preserve">275-5551-2013 этап 01 СЧ ОКР изделие 196КС    </v>
          </cell>
        </row>
        <row r="222">
          <cell r="A222">
            <v>0</v>
          </cell>
          <cell r="B222" t="str">
            <v xml:space="preserve">275-5551-2013 этап 01 СЧ ОКР изделие 196КС    </v>
          </cell>
        </row>
        <row r="223">
          <cell r="A223">
            <v>0</v>
          </cell>
          <cell r="B223" t="str">
            <v>277-5551-2013 этап 01 СЧ ОКР изделие 14Ф148</v>
          </cell>
        </row>
        <row r="224">
          <cell r="A224">
            <v>0</v>
          </cell>
          <cell r="B224" t="str">
            <v>277-5551-2013 этап 01 СЧ ОКР изделие 14Ф148</v>
          </cell>
        </row>
        <row r="225">
          <cell r="A225">
            <v>0</v>
          </cell>
          <cell r="B225" t="str">
            <v>277-5551-2013 этап 01 СЧ ОКР изделие 14Ф148</v>
          </cell>
        </row>
        <row r="226">
          <cell r="A226">
            <v>0</v>
          </cell>
          <cell r="B226" t="str">
            <v>277-5551-2013 этап 01 СЧ ОКР изделие 14Ф148</v>
          </cell>
        </row>
        <row r="227">
          <cell r="A227">
            <v>31</v>
          </cell>
          <cell r="B227" t="str">
            <v>280-1201-2013 этап 01 СЧ ОКР Галилео FOC</v>
          </cell>
        </row>
        <row r="228">
          <cell r="A228">
            <v>0</v>
          </cell>
          <cell r="B228" t="str">
            <v>280-1201-2013 этап 01 СЧ ОКР Галилео FOC</v>
          </cell>
        </row>
        <row r="229">
          <cell r="A229">
            <v>0</v>
          </cell>
          <cell r="B229" t="str">
            <v>280-1201-2013 этап 01 СЧ ОКР Галилео FOC</v>
          </cell>
        </row>
        <row r="230">
          <cell r="A230">
            <v>0</v>
          </cell>
          <cell r="B230" t="str">
            <v>280-1201-2013 этап 01 СЧ ОКР Галилео FOC</v>
          </cell>
        </row>
        <row r="231">
          <cell r="A231">
            <v>0</v>
          </cell>
          <cell r="B231" t="str">
            <v>289-5551-2013 этап 02 СЧ ОКР Испытание сплава АМг6М</v>
          </cell>
        </row>
        <row r="232">
          <cell r="A232">
            <v>0</v>
          </cell>
          <cell r="B232" t="str">
            <v>289-5551-2013 этап 02 СЧ ОКР Испытание сплава АМг6М</v>
          </cell>
        </row>
        <row r="233">
          <cell r="A233">
            <v>0</v>
          </cell>
          <cell r="B233" t="str">
            <v>289-5551-2013 этап 02 СЧ ОКР Испытание сплава АМг6М</v>
          </cell>
        </row>
        <row r="234">
          <cell r="A234">
            <v>0</v>
          </cell>
          <cell r="B234" t="str">
            <v>289-5551-2013 этап 02 СЧ ОКР Испытание сплава АМг6М</v>
          </cell>
        </row>
        <row r="235">
          <cell r="A235">
            <v>0</v>
          </cell>
          <cell r="B235" t="str">
            <v>43-5556-2013 этап 02  СЧ ОКР САРМАТ</v>
          </cell>
        </row>
        <row r="236">
          <cell r="A236">
            <v>0</v>
          </cell>
          <cell r="B236" t="str">
            <v>43-5556-2013 этап 02  СЧ ОКР САРМАТ</v>
          </cell>
        </row>
        <row r="237">
          <cell r="A237">
            <v>0</v>
          </cell>
          <cell r="B237" t="str">
            <v>43-5556-2013 этап 02  СЧ ОКР САРМАТ</v>
          </cell>
        </row>
        <row r="238">
          <cell r="A238">
            <v>0</v>
          </cell>
          <cell r="B238" t="str">
            <v>43-5556-2013 этап 02  СЧ ОКР САРМАТ</v>
          </cell>
        </row>
        <row r="239">
          <cell r="A239">
            <v>32</v>
          </cell>
          <cell r="B239" t="str">
            <v>51-4151-2013 этап 05 ОКР 82КМ</v>
          </cell>
        </row>
        <row r="240">
          <cell r="A240">
            <v>0</v>
          </cell>
          <cell r="B240" t="str">
            <v>51-4151-2013 этап 05 ОКР 82КМ</v>
          </cell>
        </row>
        <row r="241">
          <cell r="A241">
            <v>0</v>
          </cell>
          <cell r="B241" t="str">
            <v>51-4151-2013 этап 05 ОКР 82КМ</v>
          </cell>
        </row>
        <row r="242">
          <cell r="A242">
            <v>0</v>
          </cell>
          <cell r="B242" t="str">
            <v>51-4151-2013 этап 05 ОКР 82КМ</v>
          </cell>
        </row>
        <row r="243">
          <cell r="A243">
            <v>0</v>
          </cell>
          <cell r="B243" t="str">
            <v>69-2000-2012 этап 03 ОКР База-М-(Совершенствование)</v>
          </cell>
        </row>
        <row r="244">
          <cell r="A244">
            <v>0</v>
          </cell>
          <cell r="B244" t="str">
            <v>69-2000-2012 этап 03 ОКР База-М-(Совершенствование)</v>
          </cell>
        </row>
        <row r="245">
          <cell r="A245">
            <v>0</v>
          </cell>
          <cell r="B245" t="str">
            <v>69-2000-2012 этап 03 ОКР База-М-(Совершенствование)</v>
          </cell>
        </row>
        <row r="246">
          <cell r="A246">
            <v>0</v>
          </cell>
          <cell r="B246" t="str">
            <v>69-2000-2012 этап 03 ОКР База-М-(Совершенствование)</v>
          </cell>
        </row>
        <row r="247">
          <cell r="A247">
            <v>0</v>
          </cell>
          <cell r="B247" t="str">
            <v>69-2000-2012 этап 03 ОКР База-М-(Совершенствование)</v>
          </cell>
        </row>
        <row r="248">
          <cell r="A248">
            <v>0</v>
          </cell>
          <cell r="B248" t="str">
            <v>69-2000-2012 этап 03 ОКР База-М-(Совершенствование)</v>
          </cell>
        </row>
        <row r="249">
          <cell r="A249">
            <v>0</v>
          </cell>
          <cell r="B249" t="str">
            <v>69-2000-2012 этап 03 ОКР База-М-(Совершенствование)</v>
          </cell>
        </row>
        <row r="250">
          <cell r="A250">
            <v>0</v>
          </cell>
          <cell r="B250" t="str">
            <v>69-2000-2012 этап 03 ОКР База-М-(Совершенствование)</v>
          </cell>
        </row>
        <row r="251">
          <cell r="A251">
            <v>0</v>
          </cell>
          <cell r="B251" t="str">
            <v>69-2000-2012 этап 03 ОКР База-М-(Совершенствование)</v>
          </cell>
        </row>
        <row r="252">
          <cell r="A252">
            <v>0</v>
          </cell>
          <cell r="B252" t="str">
            <v>69-2000-2012 этап 03 ОКР База-М-(Совершенствование)</v>
          </cell>
        </row>
        <row r="253">
          <cell r="A253">
            <v>0</v>
          </cell>
          <cell r="B253" t="str">
            <v>69-2000-2012 этап 03 ОКР База-М-(Совершенствование)</v>
          </cell>
        </row>
        <row r="254">
          <cell r="A254">
            <v>0</v>
          </cell>
          <cell r="B254" t="str">
            <v>69-2000-2012 этап 03 ОКР База-М-(Совершенствование)</v>
          </cell>
        </row>
        <row r="255">
          <cell r="A255">
            <v>0</v>
          </cell>
          <cell r="B255" t="str">
            <v>69-2000-2012 этап 03 ОКР База-М-(Совершенствование)</v>
          </cell>
        </row>
        <row r="256">
          <cell r="A256">
            <v>0</v>
          </cell>
          <cell r="B256" t="str">
            <v>69-2000-2012 этап 03 ОКР База-М-(Совершенствование)</v>
          </cell>
        </row>
        <row r="257">
          <cell r="A257">
            <v>0</v>
          </cell>
          <cell r="B257" t="str">
            <v>69-2000-2012 этап 03 ОКР База-М-(Совершенствование)</v>
          </cell>
        </row>
        <row r="258">
          <cell r="A258">
            <v>0</v>
          </cell>
          <cell r="B258" t="str">
            <v>69-2000-2012 этап 03 ОКР База-М-(Совершенствование)</v>
          </cell>
        </row>
        <row r="259">
          <cell r="A259">
            <v>0</v>
          </cell>
          <cell r="B259" t="str">
            <v>69-2000-2012 этап 03 ОКР База-М-(Совершенствование)</v>
          </cell>
        </row>
        <row r="260">
          <cell r="A260">
            <v>0</v>
          </cell>
          <cell r="B260" t="str">
            <v>69-2000-2012 этап 03 ОКР База-М-(Совершенствование)</v>
          </cell>
        </row>
        <row r="261">
          <cell r="A261">
            <v>0</v>
          </cell>
          <cell r="B261" t="str">
            <v>69-2000-2012 этап 03 ОКР База-М-(Совершенствование)</v>
          </cell>
        </row>
        <row r="262">
          <cell r="A262">
            <v>0</v>
          </cell>
          <cell r="B262" t="str">
            <v>69-2000-2012 этап 03 ОКР База-М-(Совершенствование)</v>
          </cell>
        </row>
        <row r="263">
          <cell r="A263">
            <v>0</v>
          </cell>
          <cell r="B263" t="str">
            <v>73-5551-2013 этап 01 СЧ ОКР изделие 14Ф145</v>
          </cell>
        </row>
        <row r="264">
          <cell r="A264">
            <v>0</v>
          </cell>
          <cell r="B264" t="str">
            <v>73-5551-2013 этап 01 СЧ ОКР изделие 14Ф145</v>
          </cell>
        </row>
        <row r="265">
          <cell r="A265">
            <v>0</v>
          </cell>
          <cell r="B265" t="str">
            <v>73-5551-2013 этап 01 СЧ ОКР изделие 14Ф145</v>
          </cell>
        </row>
        <row r="266">
          <cell r="A266">
            <v>0</v>
          </cell>
          <cell r="B266" t="str">
            <v>73-5551-2013 этап 01 СЧ ОКР изделие 14Ф145</v>
          </cell>
        </row>
        <row r="267">
          <cell r="A267">
            <v>0</v>
          </cell>
          <cell r="B267" t="str">
            <v>110-2000-2012 этап 23 НИР Эксперимент</v>
          </cell>
        </row>
        <row r="268">
          <cell r="A268">
            <v>0</v>
          </cell>
          <cell r="B268" t="str">
            <v>110-2000-2012 этап 23 НИР Эксперимент</v>
          </cell>
        </row>
        <row r="269">
          <cell r="A269">
            <v>0</v>
          </cell>
          <cell r="B269" t="str">
            <v>110-2000-2012 этап 23 НИР Эксперимент</v>
          </cell>
        </row>
        <row r="270">
          <cell r="A270">
            <v>0</v>
          </cell>
          <cell r="B270" t="str">
            <v>110-2000-2012 этап 23 НИР Эксперимент</v>
          </cell>
        </row>
        <row r="271">
          <cell r="A271">
            <v>0</v>
          </cell>
          <cell r="B271" t="str">
            <v>110-2000-2012 этап 24 НИР Эксперимент</v>
          </cell>
        </row>
        <row r="272">
          <cell r="A272">
            <v>0</v>
          </cell>
          <cell r="B272" t="str">
            <v>110-2000-2012 этап 24 НИР Эксперимент</v>
          </cell>
        </row>
        <row r="273">
          <cell r="A273">
            <v>0</v>
          </cell>
          <cell r="B273" t="str">
            <v>110-2000-2012 этап 24 НИР Эксперимент</v>
          </cell>
        </row>
        <row r="274">
          <cell r="A274">
            <v>0</v>
          </cell>
          <cell r="B274" t="str">
            <v>110-2000-2012 этап 24 НИР Эксперимент</v>
          </cell>
        </row>
        <row r="275">
          <cell r="A275">
            <v>0</v>
          </cell>
          <cell r="B275" t="str">
            <v>110-2000-2012 этап 25 НИР Эксперимент</v>
          </cell>
        </row>
        <row r="276">
          <cell r="A276">
            <v>0</v>
          </cell>
          <cell r="B276" t="str">
            <v>110-2000-2012 этап 25 НИР Эксперимент</v>
          </cell>
        </row>
        <row r="277">
          <cell r="A277">
            <v>0</v>
          </cell>
          <cell r="B277" t="str">
            <v>110-2000-2012 этап 25 НИР Эксперимент</v>
          </cell>
        </row>
        <row r="278">
          <cell r="A278">
            <v>0</v>
          </cell>
          <cell r="B278" t="str">
            <v>110-2000-2012 этап 25 НИР Эксперимент</v>
          </cell>
        </row>
        <row r="279">
          <cell r="A279">
            <v>0</v>
          </cell>
          <cell r="B279" t="str">
            <v>110-2000-2012 этап 27 НИР Эксперимент</v>
          </cell>
        </row>
        <row r="280">
          <cell r="A280">
            <v>0</v>
          </cell>
          <cell r="B280" t="str">
            <v>110-2000-2012 этап 27 НИР Эксперимент</v>
          </cell>
        </row>
        <row r="281">
          <cell r="A281">
            <v>0</v>
          </cell>
          <cell r="B281" t="str">
            <v>110-2000-2012 этап 27 НИР Эксперимент</v>
          </cell>
        </row>
        <row r="282">
          <cell r="A282">
            <v>0</v>
          </cell>
          <cell r="B282" t="str">
            <v>110-2000-2012 этап 27 НИР Эксперимент</v>
          </cell>
        </row>
        <row r="283">
          <cell r="A283">
            <v>33</v>
          </cell>
          <cell r="B283" t="str">
            <v>110-2000-2012 этап 28 НИР Эксперимент</v>
          </cell>
        </row>
        <row r="284">
          <cell r="A284">
            <v>0</v>
          </cell>
          <cell r="B284" t="str">
            <v>110-2000-2012 этап 28 НИР Эксперимент</v>
          </cell>
        </row>
        <row r="285">
          <cell r="A285">
            <v>0</v>
          </cell>
          <cell r="B285" t="str">
            <v>110-2000-2012 этап 28 НИР Эксперимент</v>
          </cell>
        </row>
        <row r="286">
          <cell r="A286">
            <v>0</v>
          </cell>
          <cell r="B286" t="str">
            <v>110-2000-2012 этап 28 НИР Эксперимент</v>
          </cell>
        </row>
        <row r="287">
          <cell r="A287">
            <v>0</v>
          </cell>
          <cell r="B287" t="str">
            <v>110-2000-2012 этап 28 НИР Эксперимент</v>
          </cell>
        </row>
        <row r="288">
          <cell r="A288">
            <v>0</v>
          </cell>
          <cell r="B288" t="str">
            <v>110-2000-2012 этап 28 НИР Эксперимент</v>
          </cell>
        </row>
        <row r="289">
          <cell r="A289">
            <v>0</v>
          </cell>
          <cell r="B289" t="str">
            <v>110-2000-2012 этап 28 НИР Эксперимент</v>
          </cell>
        </row>
        <row r="290">
          <cell r="A290">
            <v>0</v>
          </cell>
          <cell r="B290" t="str">
            <v>110-2000-2012 этап 28 НИР Эксперимент</v>
          </cell>
        </row>
        <row r="291">
          <cell r="A291">
            <v>0</v>
          </cell>
          <cell r="B291" t="str">
            <v>110-2000-2012 этап 28 НИР Эксперимент</v>
          </cell>
        </row>
        <row r="292">
          <cell r="A292">
            <v>0</v>
          </cell>
          <cell r="B292" t="str">
            <v>110-2000-2012 этап 28 НИР Эксперимент</v>
          </cell>
        </row>
        <row r="293">
          <cell r="A293">
            <v>0</v>
          </cell>
          <cell r="B293" t="str">
            <v>110-2000-2012 этап 28 НИР Эксперимент</v>
          </cell>
        </row>
        <row r="294">
          <cell r="A294">
            <v>0</v>
          </cell>
          <cell r="B294" t="str">
            <v>110-2000-2012 этап 28 НИР Эксперимент</v>
          </cell>
        </row>
        <row r="295">
          <cell r="A295">
            <v>34</v>
          </cell>
          <cell r="B295" t="str">
            <v xml:space="preserve">16-1313-2013 этап 11 CЧ ОКР МКС (Надежность-Наука) </v>
          </cell>
        </row>
        <row r="296">
          <cell r="A296">
            <v>0</v>
          </cell>
          <cell r="B296" t="str">
            <v xml:space="preserve">16-1313-2013 этап 11 CЧ ОКР МКС (Надежность-Наука) </v>
          </cell>
        </row>
        <row r="297">
          <cell r="A297">
            <v>0</v>
          </cell>
          <cell r="B297" t="str">
            <v xml:space="preserve">16-1313-2013 этап 11 CЧ ОКР МКС (Надежность-Наука) </v>
          </cell>
        </row>
        <row r="298">
          <cell r="A298">
            <v>0</v>
          </cell>
          <cell r="B298" t="str">
            <v xml:space="preserve">16-1313-2013 этап 11 CЧ ОКР МКС (Надежность-Наука) </v>
          </cell>
        </row>
        <row r="299">
          <cell r="A299">
            <v>0</v>
          </cell>
          <cell r="B299" t="str">
            <v xml:space="preserve">16-1313-2013 этап 12 CЧ ОКР МКС (Надежность-Наука) </v>
          </cell>
        </row>
        <row r="300">
          <cell r="A300">
            <v>0</v>
          </cell>
          <cell r="B300" t="str">
            <v xml:space="preserve">16-1313-2013 этап 12 CЧ ОКР МКС (Надежность-Наука) </v>
          </cell>
        </row>
        <row r="301">
          <cell r="A301">
            <v>0</v>
          </cell>
          <cell r="B301" t="str">
            <v xml:space="preserve">16-1313-2013 этап 12 CЧ ОКР МКС (Надежность-Наука) </v>
          </cell>
        </row>
        <row r="302">
          <cell r="A302">
            <v>0</v>
          </cell>
          <cell r="B302" t="str">
            <v xml:space="preserve">16-1313-2013 этап 12 CЧ ОКР МКС (Надежность-Наука) </v>
          </cell>
        </row>
        <row r="303">
          <cell r="A303">
            <v>35</v>
          </cell>
          <cell r="B303" t="str">
            <v xml:space="preserve">16-1313-2013 этап 18 CЧ ОКР МКС (Надежность-Наука) </v>
          </cell>
        </row>
        <row r="304">
          <cell r="A304">
            <v>0</v>
          </cell>
          <cell r="B304" t="str">
            <v xml:space="preserve">16-1313-2013 этап 18 CЧ ОКР МКС (Надежность-Наука) </v>
          </cell>
        </row>
        <row r="305">
          <cell r="A305">
            <v>0</v>
          </cell>
          <cell r="B305" t="str">
            <v xml:space="preserve">16-1313-2013 этап 18 CЧ ОКР МКС (Надежность-Наука) </v>
          </cell>
        </row>
        <row r="306">
          <cell r="A306">
            <v>0</v>
          </cell>
          <cell r="B306" t="str">
            <v xml:space="preserve">16-1313-2013 этап 18 CЧ ОКР МКС (Надежность-Наука) </v>
          </cell>
        </row>
        <row r="307">
          <cell r="A307">
            <v>0</v>
          </cell>
          <cell r="B307" t="str">
            <v>235-5556-2011 этап 04 ОКР КТКиСБ</v>
          </cell>
        </row>
        <row r="308">
          <cell r="A308">
            <v>0</v>
          </cell>
          <cell r="B308" t="str">
            <v>235-5556-2011 этап 04 ОКР КТКиСБ</v>
          </cell>
        </row>
        <row r="309">
          <cell r="A309">
            <v>0</v>
          </cell>
          <cell r="B309" t="str">
            <v>235-5556-2011 этап 04 ОКР КТКиСБ</v>
          </cell>
        </row>
        <row r="310">
          <cell r="A310">
            <v>0</v>
          </cell>
          <cell r="B310" t="str">
            <v>235-5556-2011 этап 04 ОКР КТКиСБ</v>
          </cell>
        </row>
        <row r="311">
          <cell r="A311">
            <v>0</v>
          </cell>
          <cell r="B311" t="str">
            <v>235-5556-2011 этап 06 ОКР КТКиСБ</v>
          </cell>
        </row>
        <row r="312">
          <cell r="A312">
            <v>0</v>
          </cell>
          <cell r="B312" t="str">
            <v>235-5556-2011 этап 06 ОКР КТКиСБ</v>
          </cell>
        </row>
        <row r="313">
          <cell r="A313">
            <v>0</v>
          </cell>
          <cell r="B313" t="str">
            <v>235-5556-2011 этап 06 ОКР КТКиСБ</v>
          </cell>
        </row>
        <row r="314">
          <cell r="A314">
            <v>0</v>
          </cell>
          <cell r="B314" t="str">
            <v>235-5556-2011 этап 06 ОКР КТКиСБ</v>
          </cell>
        </row>
        <row r="315">
          <cell r="A315">
            <v>0</v>
          </cell>
          <cell r="B315" t="str">
            <v xml:space="preserve">248-5554-2011 этап 06  ОКР "Прочность-ТРТ"  </v>
          </cell>
        </row>
        <row r="316">
          <cell r="A316">
            <v>0</v>
          </cell>
          <cell r="B316" t="str">
            <v xml:space="preserve">248-5554-2011 этап 06  ОКР "Прочность-ТРТ"  </v>
          </cell>
        </row>
        <row r="317">
          <cell r="A317">
            <v>0</v>
          </cell>
          <cell r="B317" t="str">
            <v xml:space="preserve">248-5554-2011 этап 06  ОКР "Прочность-ТРТ"  </v>
          </cell>
        </row>
        <row r="318">
          <cell r="A318">
            <v>0</v>
          </cell>
          <cell r="B318" t="str">
            <v xml:space="preserve">248-5554-2011 этап 06  ОКР "Прочность-ТРТ"  </v>
          </cell>
        </row>
        <row r="319">
          <cell r="A319">
            <v>36</v>
          </cell>
          <cell r="B319" t="str">
            <v>25-4152-2014 этап 01 Фрегат-ГКЦ</v>
          </cell>
        </row>
        <row r="320">
          <cell r="A320">
            <v>0</v>
          </cell>
          <cell r="B320" t="str">
            <v>25-4152-2014 этап 01 Фрегат-ГКЦ</v>
          </cell>
        </row>
        <row r="321">
          <cell r="A321">
            <v>0</v>
          </cell>
          <cell r="B321" t="str">
            <v>25-4152-2014 этап 01 Фрегат-ГКЦ</v>
          </cell>
        </row>
        <row r="322">
          <cell r="A322">
            <v>0</v>
          </cell>
          <cell r="B322" t="str">
            <v>25-4152-2014 этап 01 Фрегат-ГКЦ</v>
          </cell>
        </row>
        <row r="323">
          <cell r="A323">
            <v>0</v>
          </cell>
          <cell r="B323" t="str">
            <v>250-5554-2011 этап 06 ОКР ПОЖРД</v>
          </cell>
        </row>
        <row r="324">
          <cell r="A324">
            <v>0</v>
          </cell>
          <cell r="B324" t="str">
            <v>250-5554-2011 этап 06 ОКР ПОЖРД</v>
          </cell>
        </row>
        <row r="325">
          <cell r="A325">
            <v>0</v>
          </cell>
          <cell r="B325" t="str">
            <v>250-5554-2011 этап 06 ОКР ПОЖРД</v>
          </cell>
        </row>
        <row r="326">
          <cell r="A326">
            <v>0</v>
          </cell>
          <cell r="B326" t="str">
            <v>250-5554-2011 этап 06 ОКР ПОЖРД</v>
          </cell>
        </row>
        <row r="327">
          <cell r="A327">
            <v>37</v>
          </cell>
          <cell r="B327" t="str">
            <v>27-5550-2014 этап 01 СЧ ОКР LYBID</v>
          </cell>
        </row>
        <row r="328">
          <cell r="A328">
            <v>0</v>
          </cell>
          <cell r="B328" t="str">
            <v>27-5550-2014 этап 01 СЧ ОКР LYBID</v>
          </cell>
        </row>
        <row r="329">
          <cell r="A329">
            <v>0</v>
          </cell>
          <cell r="B329" t="str">
            <v>27-5550-2014 этап 01 СЧ ОКР LYBID</v>
          </cell>
        </row>
        <row r="330">
          <cell r="A330">
            <v>0</v>
          </cell>
          <cell r="B330" t="str">
            <v>27-5550-2014 этап 01 СЧ ОКР LYBID</v>
          </cell>
        </row>
        <row r="331">
          <cell r="A331">
            <v>0</v>
          </cell>
          <cell r="B331" t="str">
            <v xml:space="preserve">275-5551-2013 этап 01 СЧ ОКР изделие 196КС    </v>
          </cell>
        </row>
        <row r="332">
          <cell r="A332">
            <v>0</v>
          </cell>
          <cell r="B332" t="str">
            <v xml:space="preserve">275-5551-2013 этап 01 СЧ ОКР изделие 196КС    </v>
          </cell>
        </row>
        <row r="333">
          <cell r="A333">
            <v>0</v>
          </cell>
          <cell r="B333" t="str">
            <v xml:space="preserve">275-5551-2013 этап 01 СЧ ОКР изделие 196КС    </v>
          </cell>
        </row>
        <row r="334">
          <cell r="A334">
            <v>0</v>
          </cell>
          <cell r="B334" t="str">
            <v xml:space="preserve">275-5551-2013 этап 01 СЧ ОКР изделие 196КС    </v>
          </cell>
        </row>
        <row r="335">
          <cell r="A335">
            <v>0</v>
          </cell>
          <cell r="B335" t="str">
            <v>277-5551-2013 этап 01 СЧ ОКР изделие 14Ф148</v>
          </cell>
        </row>
        <row r="336">
          <cell r="A336">
            <v>0</v>
          </cell>
          <cell r="B336" t="str">
            <v>277-5551-2013 этап 01 СЧ ОКР изделие 14Ф148</v>
          </cell>
        </row>
        <row r="337">
          <cell r="A337">
            <v>0</v>
          </cell>
          <cell r="B337" t="str">
            <v>277-5551-2013 этап 01 СЧ ОКР изделие 14Ф148</v>
          </cell>
        </row>
        <row r="338">
          <cell r="A338">
            <v>0</v>
          </cell>
          <cell r="B338" t="str">
            <v>277-5551-2013 этап 01 СЧ ОКР изделие 14Ф148</v>
          </cell>
        </row>
        <row r="339">
          <cell r="A339">
            <v>0</v>
          </cell>
          <cell r="B339" t="str">
            <v>298-5551-2013 этап 01 СЧ ОКР изделие 14Ф145</v>
          </cell>
        </row>
        <row r="340">
          <cell r="A340">
            <v>0</v>
          </cell>
          <cell r="B340" t="str">
            <v>298-5551-2013 этап 01 СЧ ОКР изделие 14Ф145</v>
          </cell>
        </row>
        <row r="341">
          <cell r="A341">
            <v>0</v>
          </cell>
          <cell r="B341" t="str">
            <v>298-5551-2013 этап 01 СЧ ОКР изделие 14Ф145</v>
          </cell>
        </row>
        <row r="342">
          <cell r="A342">
            <v>0</v>
          </cell>
          <cell r="B342" t="str">
            <v>298-5551-2013 этап 01 СЧ ОКР изделие 14Ф145</v>
          </cell>
        </row>
        <row r="343">
          <cell r="A343">
            <v>38</v>
          </cell>
          <cell r="B343" t="str">
            <v>310-5557-2013 этап 01 СЧ ОКР САРМАТ</v>
          </cell>
        </row>
        <row r="344">
          <cell r="A344">
            <v>0</v>
          </cell>
          <cell r="B344" t="str">
            <v>310-5557-2013 этап 01 СЧ ОКР САРМАТ</v>
          </cell>
        </row>
        <row r="345">
          <cell r="A345">
            <v>0</v>
          </cell>
          <cell r="B345" t="str">
            <v>310-5557-2013 этап 01 СЧ ОКР САРМАТ</v>
          </cell>
        </row>
        <row r="346">
          <cell r="A346">
            <v>0</v>
          </cell>
          <cell r="B346" t="str">
            <v>310-5557-2013 этап 01 СЧ ОКР САРМАТ</v>
          </cell>
        </row>
        <row r="347">
          <cell r="A347">
            <v>39</v>
          </cell>
          <cell r="B347" t="str">
            <v>35-5558-2014 этап 01 СЧ ОКР DLA-2</v>
          </cell>
        </row>
        <row r="348">
          <cell r="A348">
            <v>0</v>
          </cell>
          <cell r="B348" t="str">
            <v>35-5558-2014 этап 01 СЧ ОКР DLA-2</v>
          </cell>
        </row>
        <row r="349">
          <cell r="A349">
            <v>0</v>
          </cell>
          <cell r="B349" t="str">
            <v>35-5558-2014 этап 01 СЧ ОКР DLA-2</v>
          </cell>
        </row>
        <row r="350">
          <cell r="A350">
            <v>0</v>
          </cell>
          <cell r="B350" t="str">
            <v>35-5558-2014 этап 01 СЧ ОКР DLA-2</v>
          </cell>
        </row>
        <row r="351">
          <cell r="A351">
            <v>40</v>
          </cell>
          <cell r="B351" t="str">
            <v>36-5558-2014 этап 01 СЧ ОКР DLA-2</v>
          </cell>
        </row>
        <row r="352">
          <cell r="A352">
            <v>0</v>
          </cell>
          <cell r="B352" t="str">
            <v>36-5558-2014 этап 01 СЧ ОКР DLA-2</v>
          </cell>
        </row>
        <row r="353">
          <cell r="A353">
            <v>0</v>
          </cell>
          <cell r="B353" t="str">
            <v>36-5558-2014 этап 01 СЧ ОКР DLA-2</v>
          </cell>
        </row>
        <row r="354">
          <cell r="A354">
            <v>0</v>
          </cell>
          <cell r="B354" t="str">
            <v>36-5558-2014 этап 01 СЧ ОКР DLA-2</v>
          </cell>
        </row>
        <row r="355">
          <cell r="A355">
            <v>0</v>
          </cell>
          <cell r="B355" t="str">
            <v>43-5556-2013 этап 02  СЧ ОКР САРМАТ</v>
          </cell>
        </row>
        <row r="356">
          <cell r="A356">
            <v>0</v>
          </cell>
          <cell r="B356" t="str">
            <v>43-5556-2013 этап 02  СЧ ОКР САРМАТ</v>
          </cell>
        </row>
        <row r="357">
          <cell r="A357">
            <v>0</v>
          </cell>
          <cell r="B357" t="str">
            <v>43-5556-2013 этап 02  СЧ ОКР САРМАТ</v>
          </cell>
        </row>
        <row r="358">
          <cell r="A358">
            <v>0</v>
          </cell>
          <cell r="B358" t="str">
            <v>43-5556-2013 этап 02  СЧ ОКР САРМАТ</v>
          </cell>
        </row>
        <row r="359">
          <cell r="A359">
            <v>0</v>
          </cell>
          <cell r="B359" t="str">
            <v>69-2000-2012 этап 03 ОКР База-М-(Совершенствование)</v>
          </cell>
        </row>
        <row r="360">
          <cell r="A360">
            <v>0</v>
          </cell>
          <cell r="B360" t="str">
            <v>69-2000-2012 этап 03 ОКР База-М-(Совершенствование)</v>
          </cell>
        </row>
        <row r="361">
          <cell r="A361">
            <v>0</v>
          </cell>
          <cell r="B361" t="str">
            <v>69-2000-2012 этап 03 ОКР База-М-(Совершенствование)</v>
          </cell>
        </row>
        <row r="362">
          <cell r="A362">
            <v>0</v>
          </cell>
          <cell r="B362" t="str">
            <v>69-2000-2012 этап 03 ОКР База-М-(Совершенствование)</v>
          </cell>
        </row>
        <row r="363">
          <cell r="A363">
            <v>0</v>
          </cell>
          <cell r="B363" t="str">
            <v>69-2000-2012 этап 03 ОКР База-М-(Совершенствование)</v>
          </cell>
        </row>
        <row r="364">
          <cell r="A364">
            <v>0</v>
          </cell>
          <cell r="B364" t="str">
            <v>69-2000-2012 этап 03 ОКР База-М-(Совершенствование)</v>
          </cell>
        </row>
        <row r="365">
          <cell r="A365">
            <v>0</v>
          </cell>
          <cell r="B365" t="str">
            <v>69-2000-2012 этап 03 ОКР База-М-(Совершенствование)</v>
          </cell>
        </row>
        <row r="366">
          <cell r="A366">
            <v>0</v>
          </cell>
          <cell r="B366" t="str">
            <v>69-2000-2012 этап 03 ОКР База-М-(Совершенствование)</v>
          </cell>
        </row>
        <row r="367">
          <cell r="A367">
            <v>0</v>
          </cell>
          <cell r="B367" t="str">
            <v>69-2000-2012 этап 03 ОКР База-М-(Совершенствование)</v>
          </cell>
        </row>
        <row r="368">
          <cell r="A368">
            <v>0</v>
          </cell>
          <cell r="B368" t="str">
            <v>69-2000-2012 этап 03 ОКР База-М-(Совершенствование)</v>
          </cell>
        </row>
        <row r="369">
          <cell r="A369">
            <v>0</v>
          </cell>
          <cell r="B369" t="str">
            <v>69-2000-2012 этап 03 ОКР База-М-(Совершенствование)</v>
          </cell>
        </row>
        <row r="370">
          <cell r="A370">
            <v>0</v>
          </cell>
          <cell r="B370" t="str">
            <v>69-2000-2012 этап 03 ОКР База-М-(Совершенствование)</v>
          </cell>
        </row>
        <row r="371">
          <cell r="A371">
            <v>0</v>
          </cell>
          <cell r="B371" t="str">
            <v>69-2000-2012 этап 03 ОКР База-М-(Совершенствование)</v>
          </cell>
        </row>
        <row r="372">
          <cell r="A372">
            <v>0</v>
          </cell>
          <cell r="B372" t="str">
            <v>69-2000-2012 этап 03 ОКР База-М-(Совершенствование)</v>
          </cell>
        </row>
        <row r="373">
          <cell r="A373">
            <v>0</v>
          </cell>
          <cell r="B373" t="str">
            <v>69-2000-2012 этап 03 ОКР База-М-(Совершенствование)</v>
          </cell>
        </row>
        <row r="374">
          <cell r="A374">
            <v>0</v>
          </cell>
          <cell r="B374" t="str">
            <v>69-2000-2012 этап 03 ОКР База-М-(Совершенствование)</v>
          </cell>
        </row>
        <row r="375">
          <cell r="A375">
            <v>0</v>
          </cell>
          <cell r="B375" t="str">
            <v>69-2000-2012 этап 03 ОКР База-М-(Совершенствование)</v>
          </cell>
        </row>
        <row r="376">
          <cell r="A376">
            <v>0</v>
          </cell>
          <cell r="B376" t="str">
            <v>69-2000-2012 этап 03 ОКР База-М-(Совершенствование)</v>
          </cell>
        </row>
        <row r="377">
          <cell r="A377">
            <v>0</v>
          </cell>
          <cell r="B377" t="str">
            <v>69-2000-2012 этап 03 ОКР База-М-(Совершенствование)</v>
          </cell>
        </row>
        <row r="378">
          <cell r="A378">
            <v>0</v>
          </cell>
          <cell r="B378" t="str">
            <v>69-2000-2012 этап 03 ОКР База-М-(Совершенствование)</v>
          </cell>
        </row>
        <row r="379">
          <cell r="A379">
            <v>0</v>
          </cell>
          <cell r="B379" t="str">
            <v>73-5551-2013 этап 01 СЧ ОКР изделие 14Ф145</v>
          </cell>
        </row>
        <row r="380">
          <cell r="A380">
            <v>0</v>
          </cell>
          <cell r="B380" t="str">
            <v>73-5551-2013 этап 01 СЧ ОКР изделие 14Ф145</v>
          </cell>
        </row>
        <row r="381">
          <cell r="A381">
            <v>0</v>
          </cell>
          <cell r="B381" t="str">
            <v>73-5551-2013 этап 01 СЧ ОКР изделие 14Ф145</v>
          </cell>
        </row>
        <row r="382">
          <cell r="A382">
            <v>0</v>
          </cell>
          <cell r="B382" t="str">
            <v>73-5551-2013 этап 01 СЧ ОКР изделие 14Ф145</v>
          </cell>
        </row>
        <row r="383">
          <cell r="A383">
            <v>0</v>
          </cell>
          <cell r="B383" t="str">
            <v>87-2206-2008 этап 14 ОКР Ангара</v>
          </cell>
        </row>
        <row r="384">
          <cell r="A384">
            <v>0</v>
          </cell>
          <cell r="B384" t="str">
            <v>87-2206-2008 этап 14 ОКР Ангара</v>
          </cell>
        </row>
        <row r="385">
          <cell r="A385">
            <v>0</v>
          </cell>
          <cell r="B385" t="str">
            <v>87-2206-2008 этап 14 ОКР Ангара</v>
          </cell>
        </row>
        <row r="386">
          <cell r="A386">
            <v>0</v>
          </cell>
          <cell r="B386" t="str">
            <v>87-2206-2008 этап 14 ОКР Ангара</v>
          </cell>
        </row>
        <row r="387">
          <cell r="A387">
            <v>0</v>
          </cell>
          <cell r="B387" t="str">
            <v>87-2206-2008 этап 14 ОКР Ангара</v>
          </cell>
        </row>
        <row r="388">
          <cell r="A388">
            <v>0</v>
          </cell>
          <cell r="B388" t="str">
            <v>87-2206-2008 этап 14 ОКР Ангара</v>
          </cell>
        </row>
        <row r="389">
          <cell r="A389">
            <v>0</v>
          </cell>
          <cell r="B389" t="str">
            <v>87-2206-2008 этап 14 ОКР Ангара</v>
          </cell>
        </row>
        <row r="390">
          <cell r="A390">
            <v>0</v>
          </cell>
          <cell r="B390" t="str">
            <v>87-2206-2008 этап 14 ОКР Ангара</v>
          </cell>
        </row>
        <row r="391">
          <cell r="A391">
            <v>41</v>
          </cell>
          <cell r="B391" t="str">
            <v>87-2206-2008 этап 16 ОКР Ангара</v>
          </cell>
        </row>
        <row r="392">
          <cell r="A392">
            <v>0</v>
          </cell>
          <cell r="B392" t="str">
            <v>87-2206-2008 этап 16 ОКР Ангара</v>
          </cell>
        </row>
        <row r="393">
          <cell r="A393">
            <v>0</v>
          </cell>
          <cell r="B393" t="str">
            <v>87-2206-2008 этап 16 ОКР Ангара</v>
          </cell>
        </row>
        <row r="394">
          <cell r="A394">
            <v>0</v>
          </cell>
          <cell r="B394" t="str">
            <v>87-2206-2008 этап 16 ОКР Ангара</v>
          </cell>
        </row>
        <row r="395">
          <cell r="A395">
            <v>0</v>
          </cell>
          <cell r="B395" t="str">
            <v>87-2206-2008 этап 16 ОКР Ангара</v>
          </cell>
        </row>
        <row r="396">
          <cell r="A396">
            <v>0</v>
          </cell>
          <cell r="B396" t="str">
            <v>87-2206-2008 этап 16 ОКР Ангара</v>
          </cell>
        </row>
        <row r="397">
          <cell r="A397">
            <v>0</v>
          </cell>
          <cell r="B397" t="str">
            <v>87-2206-2008 этап 16 ОКР Ангара</v>
          </cell>
        </row>
        <row r="398">
          <cell r="A398">
            <v>0</v>
          </cell>
          <cell r="B398" t="str">
            <v>87-2206-2008 этап 16 ОКР Ангара</v>
          </cell>
        </row>
        <row r="399">
          <cell r="A399">
            <v>42</v>
          </cell>
          <cell r="B399" t="str">
            <v>88-5552-2012 этап 02 СЧ ОКР 14Ф139</v>
          </cell>
        </row>
        <row r="400">
          <cell r="A400">
            <v>0</v>
          </cell>
          <cell r="B400" t="str">
            <v>88-5552-2012 этап 02 СЧ ОКР 14Ф139</v>
          </cell>
        </row>
        <row r="401">
          <cell r="A401">
            <v>0</v>
          </cell>
          <cell r="B401" t="str">
            <v>88-5552-2012 этап 02 СЧ ОКР 14Ф139</v>
          </cell>
        </row>
        <row r="402">
          <cell r="A402">
            <v>0</v>
          </cell>
          <cell r="B402" t="str">
            <v>88-5552-2012 этап 02 СЧ ОКР 14Ф139</v>
          </cell>
        </row>
        <row r="403">
          <cell r="A403">
            <v>43</v>
          </cell>
          <cell r="B403" t="str">
            <v>9-1201-2014 этап 01 СЧ ОКР Метеор-М</v>
          </cell>
        </row>
        <row r="404">
          <cell r="A404">
            <v>0</v>
          </cell>
          <cell r="B404" t="str">
            <v>9-1201-2014 этап 01 СЧ ОКР Метеор-М</v>
          </cell>
        </row>
        <row r="405">
          <cell r="A405">
            <v>0</v>
          </cell>
          <cell r="B405" t="str">
            <v>9-1201-2014 этап 01 СЧ ОКР Метеор-М</v>
          </cell>
        </row>
        <row r="406">
          <cell r="A406">
            <v>0</v>
          </cell>
          <cell r="B406" t="str">
            <v>9-1201-2014 этап 01 СЧ ОКР Метеор-М</v>
          </cell>
        </row>
        <row r="407">
          <cell r="A407">
            <v>44</v>
          </cell>
          <cell r="B407" t="str">
            <v>9-5551-2004 этап 25.1  ОКР Лиана</v>
          </cell>
        </row>
        <row r="408">
          <cell r="A408">
            <v>0</v>
          </cell>
          <cell r="B408" t="str">
            <v>9-5551-2004 этап 25.1  ОКР Лиана</v>
          </cell>
        </row>
        <row r="409">
          <cell r="A409">
            <v>0</v>
          </cell>
          <cell r="B409" t="str">
            <v>9-5551-2004 этап 25.1  ОКР Лиана</v>
          </cell>
        </row>
        <row r="410">
          <cell r="A410">
            <v>0</v>
          </cell>
          <cell r="B410" t="str">
            <v>9-5551-2004 этап 25.1  ОКР Лиана</v>
          </cell>
        </row>
        <row r="411">
          <cell r="A411">
            <v>0</v>
          </cell>
          <cell r="B411" t="str">
            <v>9-5551-2004 этап 25.1  ОКР Лиана</v>
          </cell>
        </row>
        <row r="412">
          <cell r="A412">
            <v>0</v>
          </cell>
          <cell r="B412" t="str">
            <v>9-5551-2004 этап 25.1  ОКР Лиана</v>
          </cell>
        </row>
        <row r="413">
          <cell r="A413">
            <v>0</v>
          </cell>
          <cell r="B413" t="str">
            <v>9-5551-2004 этап 25.1  ОКР Лиана</v>
          </cell>
        </row>
        <row r="414">
          <cell r="A414">
            <v>0</v>
          </cell>
          <cell r="B414" t="str">
            <v>9-5551-2004 этап 25.1  ОКР Лиана</v>
          </cell>
        </row>
        <row r="415">
          <cell r="A415">
            <v>0</v>
          </cell>
          <cell r="B415" t="str">
            <v>91-2107-2012 этап 02.2 ОКР АСиМО</v>
          </cell>
        </row>
        <row r="416">
          <cell r="A416">
            <v>0</v>
          </cell>
          <cell r="B416" t="str">
            <v>91-2107-2012 этап 02.2 ОКР АСиМО</v>
          </cell>
        </row>
        <row r="417">
          <cell r="A417">
            <v>0</v>
          </cell>
          <cell r="B417" t="str">
            <v>91-2107-2012 этап 02.2 ОКР АСиМО</v>
          </cell>
        </row>
        <row r="418">
          <cell r="A418">
            <v>0</v>
          </cell>
          <cell r="B418" t="str">
            <v>91-2107-2012 этап 02.2 ОКР АСиМО</v>
          </cell>
        </row>
        <row r="419">
          <cell r="A419">
            <v>45</v>
          </cell>
          <cell r="B419" t="str">
            <v>84-1031-2013 этап 01 СЧ ОКР Обзор-О</v>
          </cell>
        </row>
        <row r="420">
          <cell r="A420">
            <v>0</v>
          </cell>
          <cell r="B420" t="str">
            <v>84-1031-2013 этап 01 СЧ ОКР Обзор-О</v>
          </cell>
        </row>
        <row r="421">
          <cell r="A421">
            <v>0</v>
          </cell>
          <cell r="B421" t="str">
            <v>84-1031-2013 этап 01 СЧ ОКР Обзор-О</v>
          </cell>
        </row>
        <row r="422">
          <cell r="A422">
            <v>0</v>
          </cell>
          <cell r="B422" t="str">
            <v>84-1031-2013 этап 01 СЧ ОКР Обзор-О</v>
          </cell>
        </row>
        <row r="423">
          <cell r="A423">
            <v>0</v>
          </cell>
          <cell r="B423" t="str">
            <v>110-2000-2012 этап 24 НИР Эксперимент</v>
          </cell>
        </row>
        <row r="424">
          <cell r="A424">
            <v>0</v>
          </cell>
          <cell r="B424" t="str">
            <v>110-2000-2012 этап 24 НИР Эксперимент</v>
          </cell>
        </row>
        <row r="425">
          <cell r="A425">
            <v>0</v>
          </cell>
          <cell r="B425" t="str">
            <v>110-2000-2012 этап 24 НИР Эксперимент</v>
          </cell>
        </row>
        <row r="426">
          <cell r="A426">
            <v>0</v>
          </cell>
          <cell r="B426" t="str">
            <v>110-2000-2012 этап 24 НИР Эксперимент</v>
          </cell>
        </row>
        <row r="427">
          <cell r="A427">
            <v>0</v>
          </cell>
          <cell r="B427" t="str">
            <v>217-2100-2011 этап 07 ОКР Отработка-К</v>
          </cell>
        </row>
        <row r="428">
          <cell r="A428">
            <v>0</v>
          </cell>
          <cell r="B428" t="str">
            <v>217-2100-2011 этап 07 ОКР Отработка-К</v>
          </cell>
        </row>
        <row r="429">
          <cell r="A429">
            <v>0</v>
          </cell>
          <cell r="B429" t="str">
            <v>217-2100-2011 этап 07 ОКР Отработка-К</v>
          </cell>
        </row>
        <row r="430">
          <cell r="A430">
            <v>0</v>
          </cell>
          <cell r="B430" t="str">
            <v>217-2100-2011 этап 07 ОКР Отработка-К</v>
          </cell>
        </row>
        <row r="431">
          <cell r="A431">
            <v>0</v>
          </cell>
          <cell r="B431" t="str">
            <v>9-5551-2004 этап 25.1  ОКР Лиана</v>
          </cell>
        </row>
        <row r="432">
          <cell r="A432">
            <v>0</v>
          </cell>
          <cell r="B432" t="str">
            <v>9-5551-2004 этап 25.1  ОКР Лиана</v>
          </cell>
        </row>
        <row r="433">
          <cell r="A433">
            <v>0</v>
          </cell>
          <cell r="B433" t="str">
            <v>9-5551-2004 этап 25.1  ОКР Лиана</v>
          </cell>
        </row>
        <row r="434">
          <cell r="A434">
            <v>0</v>
          </cell>
          <cell r="B434" t="str">
            <v>9-5551-2004 этап 25.1  ОКР Лиана</v>
          </cell>
        </row>
        <row r="435">
          <cell r="A435">
            <v>46</v>
          </cell>
          <cell r="B435" t="str">
            <v>1-1201-2014 этап 01 СЧ ОКР Сентинел-1А</v>
          </cell>
        </row>
        <row r="436">
          <cell r="A436">
            <v>0</v>
          </cell>
          <cell r="B436" t="str">
            <v>1-1201-2014 этап 01 СЧ ОКР Сентинел-1А</v>
          </cell>
        </row>
        <row r="437">
          <cell r="A437">
            <v>0</v>
          </cell>
          <cell r="B437" t="str">
            <v>1-1201-2014 этап 01 СЧ ОКР Сентинел-1А</v>
          </cell>
        </row>
        <row r="438">
          <cell r="A438">
            <v>0</v>
          </cell>
          <cell r="B438" t="str">
            <v>1-1201-2014 этап 01 СЧ ОКР Сентинел-1А</v>
          </cell>
        </row>
        <row r="439">
          <cell r="A439">
            <v>0</v>
          </cell>
          <cell r="B439" t="str">
            <v>110-2000-2012 этап 23 НИР Эксперимент</v>
          </cell>
        </row>
        <row r="440">
          <cell r="A440">
            <v>0</v>
          </cell>
          <cell r="B440" t="str">
            <v>110-2000-2012 этап 23 НИР Эксперимент</v>
          </cell>
        </row>
        <row r="441">
          <cell r="A441">
            <v>0</v>
          </cell>
          <cell r="B441" t="str">
            <v>110-2000-2012 этап 23 НИР Эксперимент</v>
          </cell>
        </row>
        <row r="442">
          <cell r="A442">
            <v>0</v>
          </cell>
          <cell r="B442" t="str">
            <v>110-2000-2012 этап 23 НИР Эксперимент</v>
          </cell>
        </row>
        <row r="443">
          <cell r="A443">
            <v>0</v>
          </cell>
          <cell r="B443" t="str">
            <v>110-2000-2012 этап 25 НИР Эксперимент</v>
          </cell>
        </row>
        <row r="444">
          <cell r="A444">
            <v>0</v>
          </cell>
          <cell r="B444" t="str">
            <v>110-2000-2012 этап 25 НИР Эксперимент</v>
          </cell>
        </row>
        <row r="445">
          <cell r="A445">
            <v>0</v>
          </cell>
          <cell r="B445" t="str">
            <v>110-2000-2012 этап 25 НИР Эксперимент</v>
          </cell>
        </row>
        <row r="446">
          <cell r="A446">
            <v>0</v>
          </cell>
          <cell r="B446" t="str">
            <v>110-2000-2012 этап 25 НИР Эксперимент</v>
          </cell>
        </row>
        <row r="447">
          <cell r="A447">
            <v>0</v>
          </cell>
          <cell r="B447" t="str">
            <v xml:space="preserve">16-1313-2013 этап 12 CЧ ОКР МКС (Надежность-Наука) </v>
          </cell>
        </row>
        <row r="448">
          <cell r="A448">
            <v>0</v>
          </cell>
          <cell r="B448" t="str">
            <v xml:space="preserve">16-1313-2013 этап 12 CЧ ОКР МКС (Надежность-Наука) </v>
          </cell>
        </row>
        <row r="449">
          <cell r="A449">
            <v>0</v>
          </cell>
          <cell r="B449" t="str">
            <v xml:space="preserve">16-1313-2013 этап 12 CЧ ОКР МКС (Надежность-Наука) </v>
          </cell>
        </row>
        <row r="450">
          <cell r="A450">
            <v>0</v>
          </cell>
          <cell r="B450" t="str">
            <v xml:space="preserve">16-1313-2013 этап 12 CЧ ОКР МКС (Надежность-Наука) </v>
          </cell>
        </row>
        <row r="451">
          <cell r="A451">
            <v>0</v>
          </cell>
          <cell r="B451" t="str">
            <v>217-2100-2011 этап 07 ОКР Отработка-К</v>
          </cell>
        </row>
        <row r="452">
          <cell r="A452">
            <v>0</v>
          </cell>
          <cell r="B452" t="str">
            <v>217-2100-2011 этап 07 ОКР Отработка-К</v>
          </cell>
        </row>
        <row r="453">
          <cell r="A453">
            <v>0</v>
          </cell>
          <cell r="B453" t="str">
            <v>217-2100-2011 этап 07 ОКР Отработка-К</v>
          </cell>
        </row>
        <row r="454">
          <cell r="A454">
            <v>0</v>
          </cell>
          <cell r="B454" t="str">
            <v>217-2100-2011 этап 07 ОКР Отработка-К</v>
          </cell>
        </row>
        <row r="455">
          <cell r="A455">
            <v>0</v>
          </cell>
          <cell r="B455" t="str">
            <v xml:space="preserve">248-5554-2011 этап 06  ОКР "Прочность-ТРТ"  </v>
          </cell>
        </row>
        <row r="456">
          <cell r="A456">
            <v>0</v>
          </cell>
          <cell r="B456" t="str">
            <v xml:space="preserve">248-5554-2011 этап 06  ОКР "Прочность-ТРТ"  </v>
          </cell>
        </row>
        <row r="457">
          <cell r="A457">
            <v>0</v>
          </cell>
          <cell r="B457" t="str">
            <v xml:space="preserve">248-5554-2011 этап 06  ОКР "Прочность-ТРТ"  </v>
          </cell>
        </row>
        <row r="458">
          <cell r="A458">
            <v>0</v>
          </cell>
          <cell r="B458" t="str">
            <v xml:space="preserve">248-5554-2011 этап 06  ОКР "Прочность-ТРТ"  </v>
          </cell>
        </row>
        <row r="459">
          <cell r="A459">
            <v>0</v>
          </cell>
          <cell r="B459" t="str">
            <v>250-5554-2011 этап 06 ОКР ПОЖРД</v>
          </cell>
        </row>
        <row r="460">
          <cell r="A460">
            <v>0</v>
          </cell>
          <cell r="B460" t="str">
            <v>250-5554-2011 этап 06 ОКР ПОЖРД</v>
          </cell>
        </row>
        <row r="461">
          <cell r="A461">
            <v>0</v>
          </cell>
          <cell r="B461" t="str">
            <v>250-5554-2011 этап 06 ОКР ПОЖРД</v>
          </cell>
        </row>
        <row r="462">
          <cell r="A462">
            <v>0</v>
          </cell>
          <cell r="B462" t="str">
            <v>250-5554-2011 этап 06 ОКР ПОЖРД</v>
          </cell>
        </row>
        <row r="463">
          <cell r="A463">
            <v>0</v>
          </cell>
          <cell r="B463" t="str">
            <v>250-5554-2011 этап 07 ОКР ПОЖРД</v>
          </cell>
        </row>
        <row r="464">
          <cell r="A464">
            <v>0</v>
          </cell>
          <cell r="B464" t="str">
            <v>250-5554-2011 этап 07 ОКР ПОЖРД</v>
          </cell>
        </row>
        <row r="465">
          <cell r="A465">
            <v>0</v>
          </cell>
          <cell r="B465" t="str">
            <v>250-5554-2011 этап 07 ОКР ПОЖРД</v>
          </cell>
        </row>
        <row r="466">
          <cell r="A466">
            <v>0</v>
          </cell>
          <cell r="B466" t="str">
            <v>250-5554-2011 этап 07 ОКР ПОЖРД</v>
          </cell>
        </row>
        <row r="467">
          <cell r="A467">
            <v>0</v>
          </cell>
          <cell r="B467" t="str">
            <v>27-5550-2014 этап 01 СЧ ОКР LYBID</v>
          </cell>
        </row>
        <row r="468">
          <cell r="A468">
            <v>0</v>
          </cell>
          <cell r="B468" t="str">
            <v>27-5550-2014 этап 01 СЧ ОКР LYBID</v>
          </cell>
        </row>
        <row r="469">
          <cell r="A469">
            <v>0</v>
          </cell>
          <cell r="B469" t="str">
            <v>27-5550-2014 этап 01 СЧ ОКР LYBID</v>
          </cell>
        </row>
        <row r="470">
          <cell r="A470">
            <v>0</v>
          </cell>
          <cell r="B470" t="str">
            <v>27-5550-2014 этап 01 СЧ ОКР LYBID</v>
          </cell>
        </row>
        <row r="471">
          <cell r="A471">
            <v>0</v>
          </cell>
          <cell r="B471" t="str">
            <v>298-5551-2013 этап 01 СЧ ОКР изделие 14Ф145</v>
          </cell>
        </row>
        <row r="472">
          <cell r="A472">
            <v>0</v>
          </cell>
          <cell r="B472" t="str">
            <v>298-5551-2013 этап 01 СЧ ОКР изделие 14Ф145</v>
          </cell>
        </row>
        <row r="473">
          <cell r="A473">
            <v>0</v>
          </cell>
          <cell r="B473" t="str">
            <v>298-5551-2013 этап 01 СЧ ОКР изделие 14Ф145</v>
          </cell>
        </row>
        <row r="474">
          <cell r="A474">
            <v>0</v>
          </cell>
          <cell r="B474" t="str">
            <v>298-5551-2013 этап 01 СЧ ОКР изделие 14Ф145</v>
          </cell>
        </row>
        <row r="475">
          <cell r="A475">
            <v>47</v>
          </cell>
          <cell r="B475" t="str">
            <v>62-5551-2014 этап 01 Испытание образцов</v>
          </cell>
        </row>
        <row r="476">
          <cell r="A476">
            <v>0</v>
          </cell>
          <cell r="B476" t="str">
            <v>62-5551-2014 этап 01 Испытание образцов</v>
          </cell>
        </row>
        <row r="477">
          <cell r="A477">
            <v>0</v>
          </cell>
          <cell r="B477" t="str">
            <v>62-5551-2014 этап 01 Испытание образцов</v>
          </cell>
        </row>
        <row r="478">
          <cell r="A478">
            <v>0</v>
          </cell>
          <cell r="B478" t="str">
            <v>62-5551-2014 этап 01 Испытание образцов</v>
          </cell>
        </row>
        <row r="479">
          <cell r="A479">
            <v>0</v>
          </cell>
          <cell r="B479" t="str">
            <v>73-5551-2013 этап 01 СЧ ОКР изделие 14Ф145</v>
          </cell>
        </row>
        <row r="480">
          <cell r="A480">
            <v>0</v>
          </cell>
          <cell r="B480" t="str">
            <v>73-5551-2013 этап 01 СЧ ОКР изделие 14Ф145</v>
          </cell>
        </row>
        <row r="481">
          <cell r="A481">
            <v>0</v>
          </cell>
          <cell r="B481" t="str">
            <v>73-5551-2013 этап 01 СЧ ОКР изделие 14Ф145</v>
          </cell>
        </row>
        <row r="482">
          <cell r="A482">
            <v>0</v>
          </cell>
          <cell r="B482" t="str">
            <v>73-5551-2013 этап 01 СЧ ОКР изделие 14Ф145</v>
          </cell>
        </row>
        <row r="483">
          <cell r="A483">
            <v>48</v>
          </cell>
          <cell r="B483" t="str">
            <v>91-2107-2012 этап 03 ОКР АСиМО</v>
          </cell>
        </row>
        <row r="484">
          <cell r="A484">
            <v>0</v>
          </cell>
          <cell r="B484" t="str">
            <v>91-2107-2012 этап 03 ОКР АСиМО</v>
          </cell>
        </row>
        <row r="485">
          <cell r="A485">
            <v>0</v>
          </cell>
          <cell r="B485" t="str">
            <v>91-2107-2012 этап 03 ОКР АСиМО</v>
          </cell>
        </row>
        <row r="486">
          <cell r="A486">
            <v>0</v>
          </cell>
          <cell r="B486" t="str">
            <v>91-2107-2012 этап 03 ОКР АСиМО</v>
          </cell>
        </row>
        <row r="487">
          <cell r="A487">
            <v>0</v>
          </cell>
          <cell r="B487" t="str">
            <v>9-5551-2004 этап 25.1  ОКР Лиана</v>
          </cell>
        </row>
        <row r="488">
          <cell r="A488">
            <v>0</v>
          </cell>
          <cell r="B488" t="str">
            <v>9-5551-2004 этап 25.1  ОКР Лиана</v>
          </cell>
        </row>
        <row r="489">
          <cell r="A489">
            <v>0</v>
          </cell>
          <cell r="B489" t="str">
            <v>9-5551-2004 этап 25.1  ОКР Лиана</v>
          </cell>
        </row>
        <row r="490">
          <cell r="A490">
            <v>0</v>
          </cell>
          <cell r="B490" t="str">
            <v>9-5551-2004 этап 25.1  ОКР Лиана</v>
          </cell>
        </row>
        <row r="491">
          <cell r="A491">
            <v>0</v>
          </cell>
          <cell r="B491" t="str">
            <v>217-2100-2011 этап 07 ОКР Отработка-К</v>
          </cell>
        </row>
        <row r="492">
          <cell r="A492">
            <v>0</v>
          </cell>
          <cell r="B492" t="str">
            <v>217-2100-2011 этап 07 ОКР Отработка-К</v>
          </cell>
        </row>
        <row r="493">
          <cell r="A493">
            <v>0</v>
          </cell>
          <cell r="B493" t="str">
            <v>217-2100-2011 этап 07 ОКР Отработка-К</v>
          </cell>
        </row>
        <row r="494">
          <cell r="A494">
            <v>0</v>
          </cell>
          <cell r="B494" t="str">
            <v>217-2100-2011 этап 07 ОКР Отработка-К</v>
          </cell>
        </row>
        <row r="495">
          <cell r="A495">
            <v>0</v>
          </cell>
          <cell r="B495" t="str">
            <v>69-2000-2012 этап 03 ОКР База-М-(Совершенствование)</v>
          </cell>
        </row>
        <row r="496">
          <cell r="A496">
            <v>0</v>
          </cell>
          <cell r="B496" t="str">
            <v>69-2000-2012 этап 03 ОКР База-М-(Совершенствование)</v>
          </cell>
        </row>
        <row r="497">
          <cell r="A497">
            <v>0</v>
          </cell>
          <cell r="B497" t="str">
            <v>69-2000-2012 этап 03 ОКР База-М-(Совершенствование)</v>
          </cell>
        </row>
        <row r="498">
          <cell r="A498">
            <v>0</v>
          </cell>
          <cell r="B498" t="str">
            <v>69-2000-2012 этап 03 ОКР База-М-(Совершенствование)</v>
          </cell>
        </row>
        <row r="499">
          <cell r="A499">
            <v>0</v>
          </cell>
          <cell r="B499" t="str">
            <v>69-2000-2012 этап 03 ОКР База-М-(Совершенствование)</v>
          </cell>
        </row>
        <row r="500">
          <cell r="A500">
            <v>0</v>
          </cell>
          <cell r="B500" t="str">
            <v>69-2000-2012 этап 03 ОКР База-М-(Совершенствование)</v>
          </cell>
        </row>
        <row r="501">
          <cell r="A501">
            <v>0</v>
          </cell>
          <cell r="B501" t="str">
            <v>69-2000-2012 этап 03 ОКР База-М-(Совершенствование)</v>
          </cell>
        </row>
        <row r="502">
          <cell r="A502">
            <v>0</v>
          </cell>
          <cell r="B502" t="str">
            <v>69-2000-2012 этап 03 ОКР База-М-(Совершенствование)</v>
          </cell>
        </row>
        <row r="503">
          <cell r="A503">
            <v>0</v>
          </cell>
          <cell r="B503" t="str">
            <v>217-2100-2011 этап 07 ОКР Отработка-К</v>
          </cell>
        </row>
        <row r="504">
          <cell r="A504">
            <v>0</v>
          </cell>
          <cell r="B504" t="str">
            <v>217-2100-2011 этап 07 ОКР Отработка-К</v>
          </cell>
        </row>
        <row r="505">
          <cell r="A505">
            <v>0</v>
          </cell>
          <cell r="B505" t="str">
            <v>217-2100-2011 этап 07 ОКР Отработка-К</v>
          </cell>
        </row>
        <row r="506">
          <cell r="A506">
            <v>0</v>
          </cell>
          <cell r="B506" t="str">
            <v>217-2100-2011 этап 07 ОКР Отработка-К</v>
          </cell>
        </row>
        <row r="507">
          <cell r="A507">
            <v>0</v>
          </cell>
          <cell r="B507" t="str">
            <v>235-5556-2011 этап 04 ОКР КТКиСБ</v>
          </cell>
        </row>
        <row r="508">
          <cell r="A508">
            <v>0</v>
          </cell>
          <cell r="B508" t="str">
            <v>235-5556-2011 этап 04 ОКР КТКиСБ</v>
          </cell>
        </row>
        <row r="509">
          <cell r="A509">
            <v>0</v>
          </cell>
          <cell r="B509" t="str">
            <v>235-5556-2011 этап 04 ОКР КТКиСБ</v>
          </cell>
        </row>
        <row r="510">
          <cell r="A510">
            <v>0</v>
          </cell>
          <cell r="B510" t="str">
            <v>235-5556-2011 этап 04 ОКР КТКиСБ</v>
          </cell>
        </row>
        <row r="511">
          <cell r="A511">
            <v>0</v>
          </cell>
          <cell r="B511" t="str">
            <v>43-5556-2013 этап 02  СЧ ОКР САРМАТ</v>
          </cell>
        </row>
        <row r="512">
          <cell r="A512">
            <v>0</v>
          </cell>
          <cell r="B512" t="str">
            <v>43-5556-2013 этап 02  СЧ ОКР САРМАТ</v>
          </cell>
        </row>
        <row r="513">
          <cell r="A513">
            <v>0</v>
          </cell>
          <cell r="B513" t="str">
            <v>43-5556-2013 этап 02  СЧ ОКР САРМАТ</v>
          </cell>
        </row>
        <row r="514">
          <cell r="A514">
            <v>0</v>
          </cell>
          <cell r="B514" t="str">
            <v>43-5556-2013 этап 02  СЧ ОКР САРМАТ</v>
          </cell>
        </row>
        <row r="515">
          <cell r="A515">
            <v>0</v>
          </cell>
          <cell r="B515" t="str">
            <v>87-2206-2008 этап 14 ОКР Ангара</v>
          </cell>
        </row>
        <row r="516">
          <cell r="A516">
            <v>0</v>
          </cell>
          <cell r="B516" t="str">
            <v>87-2206-2008 этап 14 ОКР Ангара</v>
          </cell>
        </row>
        <row r="517">
          <cell r="A517">
            <v>0</v>
          </cell>
          <cell r="B517" t="str">
            <v>87-2206-2008 этап 14 ОКР Ангара</v>
          </cell>
        </row>
        <row r="518">
          <cell r="A518">
            <v>0</v>
          </cell>
          <cell r="B518" t="str">
            <v>87-2206-2008 этап 14 ОКР Ангара</v>
          </cell>
        </row>
        <row r="519">
          <cell r="A519">
            <v>0</v>
          </cell>
          <cell r="B519" t="str">
            <v>87-2206-2008 этап 16 ОКР Ангара</v>
          </cell>
        </row>
        <row r="520">
          <cell r="A520">
            <v>0</v>
          </cell>
          <cell r="B520" t="str">
            <v>87-2206-2008 этап 16 ОКР Ангара</v>
          </cell>
        </row>
        <row r="521">
          <cell r="A521">
            <v>0</v>
          </cell>
          <cell r="B521" t="str">
            <v>87-2206-2008 этап 16 ОКР Ангара</v>
          </cell>
        </row>
        <row r="522">
          <cell r="A522">
            <v>0</v>
          </cell>
          <cell r="B522" t="str">
            <v>87-2206-2008 этап 16 ОКР Ангара</v>
          </cell>
        </row>
        <row r="523">
          <cell r="A523">
            <v>0</v>
          </cell>
          <cell r="B523" t="str">
            <v xml:space="preserve">16-1313-2013 этап 14 CЧ ОКР МКС (Надежность-Наука) </v>
          </cell>
        </row>
        <row r="524">
          <cell r="A524">
            <v>0</v>
          </cell>
          <cell r="B524" t="str">
            <v xml:space="preserve">16-1313-2013 этап 14 CЧ ОКР МКС (Надежность-Наука) </v>
          </cell>
        </row>
        <row r="525">
          <cell r="A525">
            <v>0</v>
          </cell>
          <cell r="B525" t="str">
            <v xml:space="preserve">16-1313-2013 этап 14 CЧ ОКР МКС (Надежность-Наука) </v>
          </cell>
        </row>
        <row r="526">
          <cell r="A526">
            <v>0</v>
          </cell>
          <cell r="B526" t="str">
            <v xml:space="preserve">16-1313-2013 этап 14 CЧ ОКР МКС (Надежность-Наука) </v>
          </cell>
        </row>
        <row r="527">
          <cell r="A527">
            <v>0</v>
          </cell>
          <cell r="B527" t="str">
            <v>217-2100-2011 этап 07 ОКР Отработка-К</v>
          </cell>
        </row>
        <row r="528">
          <cell r="A528">
            <v>0</v>
          </cell>
          <cell r="B528" t="str">
            <v>217-2100-2011 этап 07 ОКР Отработка-К</v>
          </cell>
        </row>
        <row r="529">
          <cell r="A529">
            <v>0</v>
          </cell>
          <cell r="B529" t="str">
            <v>217-2100-2011 этап 07 ОКР Отработка-К</v>
          </cell>
        </row>
        <row r="530">
          <cell r="A530">
            <v>0</v>
          </cell>
          <cell r="B530" t="str">
            <v>217-2100-2011 этап 07 ОКР Отработка-К</v>
          </cell>
        </row>
        <row r="531">
          <cell r="A531">
            <v>0</v>
          </cell>
          <cell r="B531" t="str">
            <v>235-5556-2011 этап 06 ОКР КТКиСБ</v>
          </cell>
        </row>
        <row r="532">
          <cell r="A532">
            <v>0</v>
          </cell>
          <cell r="B532" t="str">
            <v>235-5556-2011 этап 06 ОКР КТКиСБ</v>
          </cell>
        </row>
        <row r="533">
          <cell r="A533">
            <v>0</v>
          </cell>
          <cell r="B533" t="str">
            <v>235-5556-2011 этап 06 ОКР КТКиСБ</v>
          </cell>
        </row>
        <row r="534">
          <cell r="A534">
            <v>0</v>
          </cell>
          <cell r="B534" t="str">
            <v>235-5556-2011 этап 06 ОКР КТКиСБ</v>
          </cell>
        </row>
        <row r="535">
          <cell r="A535">
            <v>0</v>
          </cell>
          <cell r="B535" t="str">
            <v>310-5557-2013 этап 01 СЧ ОКР САРМАТ</v>
          </cell>
        </row>
        <row r="536">
          <cell r="A536">
            <v>0</v>
          </cell>
          <cell r="B536" t="str">
            <v>310-5557-2013 этап 01 СЧ ОКР САРМАТ</v>
          </cell>
        </row>
        <row r="537">
          <cell r="A537">
            <v>0</v>
          </cell>
          <cell r="B537" t="str">
            <v>310-5557-2013 этап 01 СЧ ОКР САРМАТ</v>
          </cell>
        </row>
        <row r="538">
          <cell r="A538">
            <v>0</v>
          </cell>
          <cell r="B538" t="str">
            <v>310-5557-2013 этап 01 СЧ ОКР САРМАТ</v>
          </cell>
        </row>
        <row r="539">
          <cell r="A539">
            <v>49</v>
          </cell>
          <cell r="B539" t="str">
            <v>310-5557-2013 этап 02 СЧ ОКР САРМАТ</v>
          </cell>
        </row>
        <row r="540">
          <cell r="A540">
            <v>0</v>
          </cell>
          <cell r="B540" t="str">
            <v>310-5557-2013 этап 02 СЧ ОКР САРМАТ</v>
          </cell>
        </row>
        <row r="541">
          <cell r="A541">
            <v>0</v>
          </cell>
          <cell r="B541" t="str">
            <v>310-5557-2013 этап 02 СЧ ОКР САРМАТ</v>
          </cell>
        </row>
        <row r="542">
          <cell r="A542">
            <v>0</v>
          </cell>
          <cell r="B542" t="str">
            <v>310-5557-2013 этап 02 СЧ ОКР САРМАТ</v>
          </cell>
        </row>
        <row r="543">
          <cell r="A543">
            <v>50</v>
          </cell>
          <cell r="B543" t="str">
            <v>199-5558-2010 этап 04 НИР TOIS</v>
          </cell>
        </row>
        <row r="544">
          <cell r="A544">
            <v>0</v>
          </cell>
          <cell r="B544" t="str">
            <v>199-5558-2010 этап 04 НИР TOIS</v>
          </cell>
        </row>
        <row r="545">
          <cell r="A545">
            <v>0</v>
          </cell>
          <cell r="B545" t="str">
            <v>199-5558-2010 этап 04 НИР TOIS</v>
          </cell>
        </row>
        <row r="546">
          <cell r="A546">
            <v>0</v>
          </cell>
          <cell r="B546" t="str">
            <v>199-5558-2010 этап 04 НИР TOIS</v>
          </cell>
        </row>
        <row r="547">
          <cell r="A547">
            <v>0</v>
          </cell>
          <cell r="B547" t="str">
            <v>35-5558-2014 этап 01 СЧ ОКР DLA-2</v>
          </cell>
        </row>
        <row r="548">
          <cell r="A548">
            <v>0</v>
          </cell>
          <cell r="B548" t="str">
            <v>35-5558-2014 этап 01 СЧ ОКР DLA-2</v>
          </cell>
        </row>
        <row r="549">
          <cell r="A549">
            <v>0</v>
          </cell>
          <cell r="B549" t="str">
            <v>35-5558-2014 этап 01 СЧ ОКР DLA-2</v>
          </cell>
        </row>
        <row r="550">
          <cell r="A550">
            <v>0</v>
          </cell>
          <cell r="B550" t="str">
            <v>35-5558-2014 этап 01 СЧ ОКР DLA-2</v>
          </cell>
        </row>
        <row r="551">
          <cell r="A551">
            <v>0</v>
          </cell>
          <cell r="B551" t="str">
            <v>36-5558-2014 этап 01 СЧ ОКР DLA-2</v>
          </cell>
        </row>
        <row r="552">
          <cell r="A552">
            <v>0</v>
          </cell>
          <cell r="B552" t="str">
            <v>36-5558-2014 этап 01 СЧ ОКР DLA-2</v>
          </cell>
        </row>
        <row r="553">
          <cell r="A553">
            <v>0</v>
          </cell>
          <cell r="B553" t="str">
            <v>36-5558-2014 этап 01 СЧ ОКР DLA-2</v>
          </cell>
        </row>
        <row r="554">
          <cell r="A554">
            <v>0</v>
          </cell>
          <cell r="B554" t="str">
            <v>36-5558-2014 этап 01 СЧ ОКР DLA-2</v>
          </cell>
        </row>
        <row r="555">
          <cell r="A555">
            <v>51</v>
          </cell>
          <cell r="B555" t="str">
            <v>53-5558-2014 этап 01 СЧ НИР ГПВРД</v>
          </cell>
        </row>
        <row r="556">
          <cell r="A556">
            <v>0</v>
          </cell>
          <cell r="B556" t="str">
            <v>53-5558-2014 этап 01 СЧ НИР ГПВРД</v>
          </cell>
        </row>
        <row r="557">
          <cell r="A557">
            <v>0</v>
          </cell>
          <cell r="B557" t="str">
            <v>53-5558-2014 этап 01 СЧ НИР ГПВРД</v>
          </cell>
        </row>
        <row r="558">
          <cell r="A558">
            <v>0</v>
          </cell>
          <cell r="B558" t="str">
            <v>53-5558-2014 этап 01 СЧ НИР ГПВРД</v>
          </cell>
        </row>
        <row r="559">
          <cell r="A559">
            <v>52</v>
          </cell>
          <cell r="B559" t="str">
            <v>53-5558-2014 этап 02 СЧ НИР ГПВРД</v>
          </cell>
        </row>
        <row r="560">
          <cell r="A560">
            <v>0</v>
          </cell>
          <cell r="B560" t="str">
            <v>53-5558-2014 этап 02 СЧ НИР ГПВРД</v>
          </cell>
        </row>
        <row r="561">
          <cell r="A561">
            <v>0</v>
          </cell>
          <cell r="B561" t="str">
            <v>53-5558-2014 этап 02 СЧ НИР ГПВРД</v>
          </cell>
        </row>
        <row r="562">
          <cell r="A562">
            <v>0</v>
          </cell>
          <cell r="B562" t="str">
            <v>53-5558-2014 этап 02 СЧ НИР ГПВРД</v>
          </cell>
        </row>
        <row r="563">
          <cell r="A563">
            <v>0</v>
          </cell>
          <cell r="B563" t="str">
            <v>87-2206-2008 этап 14 ОКР Ангара</v>
          </cell>
        </row>
        <row r="564">
          <cell r="A564">
            <v>0</v>
          </cell>
          <cell r="B564" t="str">
            <v>87-2206-2008 этап 14 ОКР Ангара</v>
          </cell>
        </row>
        <row r="565">
          <cell r="A565">
            <v>0</v>
          </cell>
          <cell r="B565" t="str">
            <v>87-2206-2008 этап 14 ОКР Ангара</v>
          </cell>
        </row>
        <row r="566">
          <cell r="A566">
            <v>0</v>
          </cell>
          <cell r="B566" t="str">
            <v>87-2206-2008 этап 14 ОКР Ангара</v>
          </cell>
        </row>
        <row r="567">
          <cell r="A567">
            <v>0</v>
          </cell>
          <cell r="B567" t="str">
            <v>87-2206-2008 этап 16 ОКР Ангара</v>
          </cell>
        </row>
        <row r="568">
          <cell r="A568">
            <v>0</v>
          </cell>
          <cell r="B568" t="str">
            <v>87-2206-2008 этап 16 ОКР Ангара</v>
          </cell>
        </row>
        <row r="569">
          <cell r="A569">
            <v>0</v>
          </cell>
          <cell r="B569" t="str">
            <v>87-2206-2008 этап 16 ОКР Ангара</v>
          </cell>
        </row>
        <row r="570">
          <cell r="A570">
            <v>0</v>
          </cell>
          <cell r="B570" t="str">
            <v>87-2206-2008 этап 16 ОКР Ангара</v>
          </cell>
        </row>
        <row r="571">
          <cell r="A571">
            <v>0</v>
          </cell>
          <cell r="B571" t="str">
            <v>110-2000-2012 этап 27 НИР Эксперимент</v>
          </cell>
        </row>
        <row r="572">
          <cell r="A572">
            <v>0</v>
          </cell>
          <cell r="B572" t="str">
            <v>110-2000-2012 этап 27 НИР Эксперимент</v>
          </cell>
        </row>
        <row r="573">
          <cell r="A573">
            <v>0</v>
          </cell>
          <cell r="B573" t="str">
            <v>110-2000-2012 этап 27 НИР Эксперимент</v>
          </cell>
        </row>
        <row r="574">
          <cell r="A574">
            <v>0</v>
          </cell>
          <cell r="B574" t="str">
            <v>110-2000-2012 этап 27 НИР Эксперимент</v>
          </cell>
        </row>
        <row r="575">
          <cell r="A575">
            <v>0</v>
          </cell>
          <cell r="B575" t="str">
            <v>217-2100-2011 этап 07 ОКР Отработка-К</v>
          </cell>
        </row>
        <row r="576">
          <cell r="A576">
            <v>0</v>
          </cell>
          <cell r="B576" t="str">
            <v>217-2100-2011 этап 07 ОКР Отработка-К</v>
          </cell>
        </row>
        <row r="577">
          <cell r="A577">
            <v>0</v>
          </cell>
          <cell r="B577" t="str">
            <v>217-2100-2011 этап 07 ОКР Отработка-К</v>
          </cell>
        </row>
        <row r="578">
          <cell r="A578">
            <v>0</v>
          </cell>
          <cell r="B578" t="str">
            <v>217-2100-2011 этап 07 ОКР Отработка-К</v>
          </cell>
        </row>
        <row r="579">
          <cell r="A579">
            <v>0</v>
          </cell>
          <cell r="B579" t="str">
            <v>27-5550-2014 этап 01 СЧ ОКР LYBID</v>
          </cell>
        </row>
        <row r="580">
          <cell r="A580">
            <v>0</v>
          </cell>
          <cell r="B580" t="str">
            <v>27-5550-2014 этап 01 СЧ ОКР LYBID</v>
          </cell>
        </row>
        <row r="581">
          <cell r="A581">
            <v>0</v>
          </cell>
          <cell r="B581" t="str">
            <v>27-5550-2014 этап 01 СЧ ОКР LYBID</v>
          </cell>
        </row>
        <row r="582">
          <cell r="A582">
            <v>0</v>
          </cell>
          <cell r="B582" t="str">
            <v>27-5550-2014 этап 01 СЧ ОКР LYBID</v>
          </cell>
        </row>
        <row r="583">
          <cell r="A583">
            <v>0</v>
          </cell>
          <cell r="B583" t="str">
            <v>69-2000-2012 этап 03 ОКР База-М-(Совершенствование)</v>
          </cell>
        </row>
        <row r="584">
          <cell r="A584">
            <v>0</v>
          </cell>
          <cell r="B584" t="str">
            <v>69-2000-2012 этап 03 ОКР База-М-(Совершенствование)</v>
          </cell>
        </row>
        <row r="585">
          <cell r="A585">
            <v>0</v>
          </cell>
          <cell r="B585" t="str">
            <v>69-2000-2012 этап 03 ОКР База-М-(Совершенствование)</v>
          </cell>
        </row>
        <row r="586">
          <cell r="A586">
            <v>0</v>
          </cell>
          <cell r="B586" t="str">
            <v>69-2000-2012 этап 03 ОКР База-М-(Совершенствование)</v>
          </cell>
        </row>
        <row r="587">
          <cell r="A587">
            <v>0</v>
          </cell>
          <cell r="B587" t="str">
            <v>110-2000-2012 этап 24 НИР Эксперимент</v>
          </cell>
        </row>
        <row r="588">
          <cell r="A588">
            <v>0</v>
          </cell>
          <cell r="B588" t="str">
            <v>110-2000-2012 этап 24 НИР Эксперимент</v>
          </cell>
        </row>
        <row r="589">
          <cell r="A589">
            <v>0</v>
          </cell>
          <cell r="B589" t="str">
            <v>110-2000-2012 этап 24 НИР Эксперимент</v>
          </cell>
        </row>
        <row r="590">
          <cell r="A590">
            <v>0</v>
          </cell>
          <cell r="B590" t="str">
            <v>110-2000-2012 этап 24 НИР Эксперимент</v>
          </cell>
        </row>
        <row r="591">
          <cell r="A591">
            <v>0</v>
          </cell>
          <cell r="B591" t="str">
            <v>110-2000-2012 этап 28 НИР Эксперимент</v>
          </cell>
        </row>
        <row r="592">
          <cell r="A592">
            <v>0</v>
          </cell>
          <cell r="B592" t="str">
            <v>110-2000-2012 этап 28 НИР Эксперимент</v>
          </cell>
        </row>
        <row r="593">
          <cell r="A593">
            <v>0</v>
          </cell>
          <cell r="B593" t="str">
            <v>110-2000-2012 этап 28 НИР Эксперимент</v>
          </cell>
        </row>
        <row r="594">
          <cell r="A594">
            <v>0</v>
          </cell>
          <cell r="B594" t="str">
            <v>110-2000-2012 этап 28 НИР Эксперимент</v>
          </cell>
        </row>
        <row r="595">
          <cell r="A595">
            <v>0</v>
          </cell>
          <cell r="B595" t="str">
            <v xml:space="preserve">16-1313-2013 этап 11 CЧ ОКР МКС (Надежность-Наука) </v>
          </cell>
        </row>
        <row r="596">
          <cell r="A596">
            <v>0</v>
          </cell>
          <cell r="B596" t="str">
            <v xml:space="preserve">16-1313-2013 этап 11 CЧ ОКР МКС (Надежность-Наука) </v>
          </cell>
        </row>
        <row r="597">
          <cell r="A597">
            <v>0</v>
          </cell>
          <cell r="B597" t="str">
            <v xml:space="preserve">16-1313-2013 этап 11 CЧ ОКР МКС (Надежность-Наука) </v>
          </cell>
        </row>
        <row r="598">
          <cell r="A598">
            <v>0</v>
          </cell>
          <cell r="B598" t="str">
            <v xml:space="preserve">16-1313-2013 этап 11 CЧ ОКР МКС (Надежность-Наука) </v>
          </cell>
        </row>
        <row r="599">
          <cell r="A599">
            <v>0</v>
          </cell>
          <cell r="B599" t="str">
            <v xml:space="preserve">16-1313-2013 этап 12 CЧ ОКР МКС (Надежность-Наука) </v>
          </cell>
        </row>
        <row r="600">
          <cell r="A600">
            <v>0</v>
          </cell>
          <cell r="B600" t="str">
            <v xml:space="preserve">16-1313-2013 этап 12 CЧ ОКР МКС (Надежность-Наука) </v>
          </cell>
        </row>
        <row r="601">
          <cell r="A601">
            <v>0</v>
          </cell>
          <cell r="B601" t="str">
            <v xml:space="preserve">16-1313-2013 этап 12 CЧ ОКР МКС (Надежность-Наука) </v>
          </cell>
        </row>
        <row r="602">
          <cell r="A602">
            <v>0</v>
          </cell>
          <cell r="B602" t="str">
            <v xml:space="preserve">16-1313-2013 этап 12 CЧ ОКР МКС (Надежность-Наука) </v>
          </cell>
        </row>
        <row r="603">
          <cell r="A603">
            <v>0</v>
          </cell>
          <cell r="B603" t="str">
            <v xml:space="preserve">16-1313-2013 этап 18 CЧ ОКР МКС (Надежность-Наука) </v>
          </cell>
        </row>
        <row r="604">
          <cell r="A604">
            <v>0</v>
          </cell>
          <cell r="B604" t="str">
            <v xml:space="preserve">16-1313-2013 этап 18 CЧ ОКР МКС (Надежность-Наука) </v>
          </cell>
        </row>
        <row r="605">
          <cell r="A605">
            <v>0</v>
          </cell>
          <cell r="B605" t="str">
            <v xml:space="preserve">16-1313-2013 этап 18 CЧ ОКР МКС (Надежность-Наука) </v>
          </cell>
        </row>
        <row r="606">
          <cell r="A606">
            <v>0</v>
          </cell>
          <cell r="B606" t="str">
            <v xml:space="preserve">16-1313-2013 этап 18 CЧ ОКР МКС (Надежность-Наука) </v>
          </cell>
        </row>
        <row r="607">
          <cell r="A607">
            <v>0</v>
          </cell>
          <cell r="B607" t="str">
            <v>217-2100-2011 этап 07 ОКР Отработка-К</v>
          </cell>
        </row>
        <row r="608">
          <cell r="A608">
            <v>0</v>
          </cell>
          <cell r="B608" t="str">
            <v>217-2100-2011 этап 07 ОКР Отработка-К</v>
          </cell>
        </row>
        <row r="609">
          <cell r="A609">
            <v>0</v>
          </cell>
          <cell r="B609" t="str">
            <v>217-2100-2011 этап 07 ОКР Отработка-К</v>
          </cell>
        </row>
        <row r="610">
          <cell r="A610">
            <v>0</v>
          </cell>
          <cell r="B610" t="str">
            <v>217-2100-2011 этап 07 ОКР Отработка-К</v>
          </cell>
        </row>
        <row r="611">
          <cell r="A611">
            <v>0</v>
          </cell>
          <cell r="B611" t="str">
            <v xml:space="preserve">248-5554-2011 этап 06  ОКР "Прочность-ТРТ"  </v>
          </cell>
        </row>
        <row r="612">
          <cell r="A612">
            <v>0</v>
          </cell>
          <cell r="B612" t="str">
            <v xml:space="preserve">248-5554-2011 этап 06  ОКР "Прочность-ТРТ"  </v>
          </cell>
        </row>
        <row r="613">
          <cell r="A613">
            <v>0</v>
          </cell>
          <cell r="B613" t="str">
            <v xml:space="preserve">248-5554-2011 этап 06  ОКР "Прочность-ТРТ"  </v>
          </cell>
        </row>
        <row r="614">
          <cell r="A614">
            <v>0</v>
          </cell>
          <cell r="B614" t="str">
            <v xml:space="preserve">248-5554-2011 этап 06  ОКР "Прочность-ТРТ"  </v>
          </cell>
        </row>
        <row r="615">
          <cell r="A615">
            <v>0</v>
          </cell>
          <cell r="B615" t="str">
            <v>250-5554-2011 этап 07 ОКР ПОЖРД</v>
          </cell>
        </row>
        <row r="616">
          <cell r="A616">
            <v>0</v>
          </cell>
          <cell r="B616" t="str">
            <v>250-5554-2011 этап 07 ОКР ПОЖРД</v>
          </cell>
        </row>
        <row r="617">
          <cell r="A617">
            <v>0</v>
          </cell>
          <cell r="B617" t="str">
            <v>250-5554-2011 этап 07 ОКР ПОЖРД</v>
          </cell>
        </row>
        <row r="618">
          <cell r="A618">
            <v>0</v>
          </cell>
          <cell r="B618" t="str">
            <v>250-5554-2011 этап 07 ОКР ПОЖРД</v>
          </cell>
        </row>
        <row r="619">
          <cell r="A619">
            <v>0</v>
          </cell>
          <cell r="B619" t="str">
            <v>250-5554-2011 этап 07 ОКР ПОЖРД</v>
          </cell>
        </row>
        <row r="620">
          <cell r="A620">
            <v>0</v>
          </cell>
          <cell r="B620" t="str">
            <v>250-5554-2011 этап 07 ОКР ПОЖРД</v>
          </cell>
        </row>
        <row r="621">
          <cell r="A621">
            <v>0</v>
          </cell>
          <cell r="B621" t="str">
            <v>250-5554-2011 этап 07 ОКР ПОЖРД</v>
          </cell>
        </row>
        <row r="622">
          <cell r="A622">
            <v>0</v>
          </cell>
          <cell r="B622" t="str">
            <v>250-5554-2011 этап 07 ОКР ПОЖРД</v>
          </cell>
        </row>
        <row r="623">
          <cell r="A623">
            <v>0</v>
          </cell>
          <cell r="B623" t="str">
            <v>277-5551-2013 этап 01 СЧ ОКР изделие 14Ф148</v>
          </cell>
        </row>
        <row r="624">
          <cell r="A624">
            <v>0</v>
          </cell>
          <cell r="B624" t="str">
            <v>277-5551-2013 этап 01 СЧ ОКР изделие 14Ф148</v>
          </cell>
        </row>
        <row r="625">
          <cell r="A625">
            <v>0</v>
          </cell>
          <cell r="B625" t="str">
            <v>277-5551-2013 этап 01 СЧ ОКР изделие 14Ф148</v>
          </cell>
        </row>
        <row r="626">
          <cell r="A626">
            <v>0</v>
          </cell>
          <cell r="B626" t="str">
            <v>277-5551-2013 этап 01 СЧ ОКР изделие 14Ф148</v>
          </cell>
        </row>
        <row r="627">
          <cell r="A627">
            <v>0</v>
          </cell>
          <cell r="B627" t="str">
            <v>298-5551-2013 этап 01 СЧ ОКР изделие 14Ф145</v>
          </cell>
        </row>
        <row r="628">
          <cell r="A628">
            <v>0</v>
          </cell>
          <cell r="B628" t="str">
            <v>298-5551-2013 этап 01 СЧ ОКР изделие 14Ф145</v>
          </cell>
        </row>
        <row r="629">
          <cell r="A629">
            <v>0</v>
          </cell>
          <cell r="B629" t="str">
            <v>298-5551-2013 этап 01 СЧ ОКР изделие 14Ф145</v>
          </cell>
        </row>
        <row r="630">
          <cell r="A630">
            <v>0</v>
          </cell>
          <cell r="B630" t="str">
            <v>298-5551-2013 этап 01 СЧ ОКР изделие 14Ф145</v>
          </cell>
        </row>
        <row r="631">
          <cell r="A631">
            <v>53</v>
          </cell>
          <cell r="B631" t="str">
            <v>85-4222-2012 этап 03 ОКР Надежность КА и СВ</v>
          </cell>
        </row>
        <row r="632">
          <cell r="A632">
            <v>0</v>
          </cell>
          <cell r="B632" t="str">
            <v>85-4222-2012 этап 03 ОКР Надежность КА и СВ</v>
          </cell>
        </row>
        <row r="633">
          <cell r="A633">
            <v>0</v>
          </cell>
          <cell r="B633" t="str">
            <v>85-4222-2012 этап 03 ОКР Надежность КА и СВ</v>
          </cell>
        </row>
        <row r="634">
          <cell r="A634">
            <v>0</v>
          </cell>
          <cell r="B634" t="str">
            <v>85-4222-2012 этап 03 ОКР Надежность КА и СВ</v>
          </cell>
        </row>
        <row r="635">
          <cell r="A635">
            <v>0</v>
          </cell>
          <cell r="B635" t="str">
            <v>110-2000-2012 этап 25 НИР Эксперимент</v>
          </cell>
        </row>
        <row r="636">
          <cell r="A636">
            <v>0</v>
          </cell>
          <cell r="B636" t="str">
            <v>110-2000-2012 этап 25 НИР Эксперимент</v>
          </cell>
        </row>
        <row r="637">
          <cell r="A637">
            <v>0</v>
          </cell>
          <cell r="B637" t="str">
            <v>110-2000-2012 этап 25 НИР Эксперимент</v>
          </cell>
        </row>
        <row r="638">
          <cell r="A638">
            <v>0</v>
          </cell>
          <cell r="B638" t="str">
            <v>110-2000-2012 этап 25 НИР Эксперимент</v>
          </cell>
        </row>
        <row r="639">
          <cell r="A639">
            <v>0</v>
          </cell>
          <cell r="B639" t="str">
            <v>110-2000-2012 этап 28 НИР Эксперимент</v>
          </cell>
        </row>
        <row r="640">
          <cell r="A640">
            <v>0</v>
          </cell>
          <cell r="B640" t="str">
            <v>110-2000-2012 этап 28 НИР Эксперимент</v>
          </cell>
        </row>
        <row r="641">
          <cell r="A641">
            <v>0</v>
          </cell>
          <cell r="B641" t="str">
            <v>110-2000-2012 этап 28 НИР Эксперимент</v>
          </cell>
        </row>
        <row r="642">
          <cell r="A642">
            <v>0</v>
          </cell>
          <cell r="B642" t="str">
            <v>110-2000-2012 этап 28 НИР Эксперимент</v>
          </cell>
        </row>
        <row r="643">
          <cell r="A643">
            <v>0</v>
          </cell>
          <cell r="B643" t="str">
            <v>69-2000-2012 этап 03 ОКР База-М-(Совершенствование)</v>
          </cell>
        </row>
        <row r="644">
          <cell r="A644">
            <v>0</v>
          </cell>
          <cell r="B644" t="str">
            <v>69-2000-2012 этап 03 ОКР База-М-(Совершенствование)</v>
          </cell>
        </row>
        <row r="645">
          <cell r="A645">
            <v>0</v>
          </cell>
          <cell r="B645" t="str">
            <v>69-2000-2012 этап 03 ОКР База-М-(Совершенствование)</v>
          </cell>
        </row>
        <row r="646">
          <cell r="A646">
            <v>0</v>
          </cell>
          <cell r="B646" t="str">
            <v>69-2000-2012 этап 03 ОКР База-М-(Совершенствование)</v>
          </cell>
        </row>
        <row r="647">
          <cell r="A647">
            <v>0</v>
          </cell>
          <cell r="B647" t="str">
            <v>9-5551-2004 этап 25.1  ОКР Лиана</v>
          </cell>
        </row>
        <row r="648">
          <cell r="A648">
            <v>0</v>
          </cell>
          <cell r="B648" t="str">
            <v>9-5551-2004 этап 25.1  ОКР Лиана</v>
          </cell>
        </row>
        <row r="649">
          <cell r="A649">
            <v>0</v>
          </cell>
          <cell r="B649" t="str">
            <v>9-5551-2004 этап 25.1  ОКР Лиана</v>
          </cell>
        </row>
        <row r="650">
          <cell r="A650">
            <v>0</v>
          </cell>
          <cell r="B650" t="str">
            <v>9-5551-2004 этап 25.1  ОКР Лиана</v>
          </cell>
        </row>
        <row r="651">
          <cell r="A651">
            <v>0</v>
          </cell>
          <cell r="B651" t="str">
            <v>217-2100-2011 этап 07 ОКР Отработка-К</v>
          </cell>
        </row>
        <row r="652">
          <cell r="A652">
            <v>0</v>
          </cell>
          <cell r="B652" t="str">
            <v>217-2100-2011 этап 07 ОКР Отработка-К</v>
          </cell>
        </row>
        <row r="653">
          <cell r="A653">
            <v>0</v>
          </cell>
          <cell r="B653" t="str">
            <v>217-2100-2011 этап 07 ОКР Отработка-К</v>
          </cell>
        </row>
        <row r="654">
          <cell r="A654">
            <v>0</v>
          </cell>
          <cell r="B654" t="str">
            <v>217-2100-2011 этап 07 ОКР Отработка-К</v>
          </cell>
        </row>
        <row r="655">
          <cell r="A655">
            <v>0</v>
          </cell>
          <cell r="B655" t="str">
            <v>69-2000-2012 этап 03 ОКР База-М-(Совершенствование)</v>
          </cell>
        </row>
        <row r="656">
          <cell r="A656">
            <v>0</v>
          </cell>
          <cell r="B656" t="str">
            <v>69-2000-2012 этап 03 ОКР База-М-(Совершенствование)</v>
          </cell>
        </row>
        <row r="657">
          <cell r="A657">
            <v>0</v>
          </cell>
          <cell r="B657" t="str">
            <v>69-2000-2012 этап 03 ОКР База-М-(Совершенствование)</v>
          </cell>
        </row>
        <row r="658">
          <cell r="A658">
            <v>0</v>
          </cell>
          <cell r="B658" t="str">
            <v>69-2000-2012 этап 03 ОКР База-М-(Совершенствование)</v>
          </cell>
        </row>
        <row r="659">
          <cell r="A659">
            <v>0</v>
          </cell>
          <cell r="B659" t="str">
            <v>235-5556-2011 этап 04 ОКР КТКиСБ</v>
          </cell>
        </row>
        <row r="660">
          <cell r="A660">
            <v>0</v>
          </cell>
          <cell r="B660" t="str">
            <v>235-5556-2011 этап 04 ОКР КТКиСБ</v>
          </cell>
        </row>
        <row r="661">
          <cell r="A661">
            <v>0</v>
          </cell>
          <cell r="B661" t="str">
            <v>235-5556-2011 этап 04 ОКР КТКиСБ</v>
          </cell>
        </row>
        <row r="662">
          <cell r="A662">
            <v>0</v>
          </cell>
          <cell r="B662" t="str">
            <v>235-5556-2011 этап 04 ОКР КТКиСБ</v>
          </cell>
        </row>
        <row r="663">
          <cell r="A663">
            <v>0</v>
          </cell>
          <cell r="B663" t="str">
            <v>43-5556-2013 этап 02  СЧ ОКР САРМАТ</v>
          </cell>
        </row>
        <row r="664">
          <cell r="A664">
            <v>0</v>
          </cell>
          <cell r="B664" t="str">
            <v>43-5556-2013 этап 02  СЧ ОКР САРМАТ</v>
          </cell>
        </row>
        <row r="665">
          <cell r="A665">
            <v>0</v>
          </cell>
          <cell r="B665" t="str">
            <v>43-5556-2013 этап 02  СЧ ОКР САРМАТ</v>
          </cell>
        </row>
        <row r="666">
          <cell r="A666">
            <v>0</v>
          </cell>
          <cell r="B666" t="str">
            <v>43-5556-2013 этап 02  СЧ ОКР САРМАТ</v>
          </cell>
        </row>
        <row r="667">
          <cell r="A667">
            <v>0</v>
          </cell>
          <cell r="B667" t="str">
            <v>69-2000-2012 этап 03 ОКР База-М-(Совершенствование)</v>
          </cell>
        </row>
        <row r="668">
          <cell r="A668">
            <v>0</v>
          </cell>
          <cell r="B668" t="str">
            <v>69-2000-2012 этап 03 ОКР База-М-(Совершенствование)</v>
          </cell>
        </row>
        <row r="669">
          <cell r="A669">
            <v>0</v>
          </cell>
          <cell r="B669" t="str">
            <v>69-2000-2012 этап 03 ОКР База-М-(Совершенствование)</v>
          </cell>
        </row>
        <row r="670">
          <cell r="A670">
            <v>0</v>
          </cell>
          <cell r="B670" t="str">
            <v>69-2000-2012 этап 03 ОКР База-М-(Совершенствование)</v>
          </cell>
        </row>
        <row r="671">
          <cell r="A671">
            <v>0</v>
          </cell>
          <cell r="B671" t="str">
            <v>87-2206-2008 этап 14 ОКР Ангара</v>
          </cell>
        </row>
        <row r="672">
          <cell r="A672">
            <v>0</v>
          </cell>
          <cell r="B672" t="str">
            <v>87-2206-2008 этап 14 ОКР Ангара</v>
          </cell>
        </row>
        <row r="673">
          <cell r="A673">
            <v>0</v>
          </cell>
          <cell r="B673" t="str">
            <v>87-2206-2008 этап 14 ОКР Ангара</v>
          </cell>
        </row>
        <row r="674">
          <cell r="A674">
            <v>0</v>
          </cell>
          <cell r="B674" t="str">
            <v>87-2206-2008 этап 14 ОКР Ангара</v>
          </cell>
        </row>
        <row r="675">
          <cell r="A675">
            <v>0</v>
          </cell>
          <cell r="B675" t="str">
            <v>87-2206-2008 этап 17 ОКР Ангара</v>
          </cell>
        </row>
        <row r="676">
          <cell r="A676">
            <v>0</v>
          </cell>
          <cell r="B676" t="str">
            <v>87-2206-2008 этап 17 ОКР Ангара</v>
          </cell>
        </row>
        <row r="677">
          <cell r="A677">
            <v>0</v>
          </cell>
          <cell r="B677" t="str">
            <v>87-2206-2008 этап 17 ОКР Ангара</v>
          </cell>
        </row>
        <row r="678">
          <cell r="A678">
            <v>0</v>
          </cell>
          <cell r="B678" t="str">
            <v>87-2206-2008 этап 17 ОКР Ангара</v>
          </cell>
        </row>
        <row r="679">
          <cell r="A679">
            <v>0</v>
          </cell>
          <cell r="B679" t="str">
            <v>130-5557-2012 этап 02 СЧ ОКР Пробой-Трансформ</v>
          </cell>
        </row>
        <row r="680">
          <cell r="A680">
            <v>0</v>
          </cell>
          <cell r="B680" t="str">
            <v>130-5557-2012 этап 02 СЧ ОКР Пробой-Трансформ</v>
          </cell>
        </row>
        <row r="681">
          <cell r="A681">
            <v>0</v>
          </cell>
          <cell r="B681" t="str">
            <v>130-5557-2012 этап 02 СЧ ОКР Пробой-Трансформ</v>
          </cell>
        </row>
        <row r="682">
          <cell r="A682">
            <v>0</v>
          </cell>
          <cell r="B682" t="str">
            <v>130-5557-2012 этап 02 СЧ ОКР Пробой-Трансформ</v>
          </cell>
        </row>
        <row r="683">
          <cell r="A683">
            <v>0</v>
          </cell>
          <cell r="B683" t="str">
            <v xml:space="preserve">16-1313-2013 этап 14 CЧ ОКР МКС (Надежность-Наука) </v>
          </cell>
        </row>
        <row r="684">
          <cell r="A684">
            <v>0</v>
          </cell>
          <cell r="B684" t="str">
            <v xml:space="preserve">16-1313-2013 этап 14 CЧ ОКР МКС (Надежность-Наука) </v>
          </cell>
        </row>
        <row r="685">
          <cell r="A685">
            <v>0</v>
          </cell>
          <cell r="B685" t="str">
            <v xml:space="preserve">16-1313-2013 этап 14 CЧ ОКР МКС (Надежность-Наука) </v>
          </cell>
        </row>
        <row r="686">
          <cell r="A686">
            <v>0</v>
          </cell>
          <cell r="B686" t="str">
            <v xml:space="preserve">16-1313-2013 этап 14 CЧ ОКР МКС (Надежность-Наука) </v>
          </cell>
        </row>
        <row r="687">
          <cell r="A687">
            <v>0</v>
          </cell>
          <cell r="B687" t="str">
            <v>217-2100-2011 этап 07 ОКР Отработка-К</v>
          </cell>
        </row>
        <row r="688">
          <cell r="A688">
            <v>0</v>
          </cell>
          <cell r="B688" t="str">
            <v>217-2100-2011 этап 07 ОКР Отработка-К</v>
          </cell>
        </row>
        <row r="689">
          <cell r="A689">
            <v>0</v>
          </cell>
          <cell r="B689" t="str">
            <v>217-2100-2011 этап 07 ОКР Отработка-К</v>
          </cell>
        </row>
        <row r="690">
          <cell r="A690">
            <v>0</v>
          </cell>
          <cell r="B690" t="str">
            <v>217-2100-2011 этап 07 ОКР Отработка-К</v>
          </cell>
        </row>
        <row r="691">
          <cell r="A691">
            <v>0</v>
          </cell>
          <cell r="B691" t="str">
            <v>235-5556-2011 этап 06 ОКР КТКиСБ</v>
          </cell>
        </row>
        <row r="692">
          <cell r="A692">
            <v>0</v>
          </cell>
          <cell r="B692" t="str">
            <v>235-5556-2011 этап 06 ОКР КТКиСБ</v>
          </cell>
        </row>
        <row r="693">
          <cell r="A693">
            <v>0</v>
          </cell>
          <cell r="B693" t="str">
            <v>235-5556-2011 этап 06 ОКР КТКиСБ</v>
          </cell>
        </row>
        <row r="694">
          <cell r="A694">
            <v>0</v>
          </cell>
          <cell r="B694" t="str">
            <v>235-5556-2011 этап 06 ОКР КТКиСБ</v>
          </cell>
        </row>
        <row r="695">
          <cell r="A695">
            <v>0</v>
          </cell>
          <cell r="B695" t="str">
            <v>69-2000-2012 этап 03 ОКР База-М-(Совершенствование)</v>
          </cell>
        </row>
        <row r="696">
          <cell r="A696">
            <v>0</v>
          </cell>
          <cell r="B696" t="str">
            <v>69-2000-2012 этап 03 ОКР База-М-(Совершенствование)</v>
          </cell>
        </row>
        <row r="697">
          <cell r="A697">
            <v>0</v>
          </cell>
          <cell r="B697" t="str">
            <v>69-2000-2012 этап 03 ОКР База-М-(Совершенствование)</v>
          </cell>
        </row>
        <row r="698">
          <cell r="A698">
            <v>0</v>
          </cell>
          <cell r="B698" t="str">
            <v>69-2000-2012 этап 03 ОКР База-М-(Совершенствование)</v>
          </cell>
        </row>
        <row r="699">
          <cell r="A699">
            <v>0</v>
          </cell>
          <cell r="B699" t="str">
            <v>91-2107-2012 этап 03 ОКР АСиМО</v>
          </cell>
        </row>
        <row r="700">
          <cell r="A700">
            <v>0</v>
          </cell>
          <cell r="B700" t="str">
            <v>91-2107-2012 этап 03 ОКР АСиМО</v>
          </cell>
        </row>
        <row r="701">
          <cell r="A701">
            <v>0</v>
          </cell>
          <cell r="B701" t="str">
            <v>91-2107-2012 этап 03 ОКР АСиМО</v>
          </cell>
        </row>
        <row r="702">
          <cell r="A702">
            <v>0</v>
          </cell>
          <cell r="B702" t="str">
            <v>91-2107-2012 этап 03 ОКР АСиМО</v>
          </cell>
        </row>
        <row r="703">
          <cell r="A703">
            <v>0</v>
          </cell>
          <cell r="B703" t="str">
            <v xml:space="preserve">16-1313-2013 этап 17 CЧ ОКР МКС (Надежность-Наука) </v>
          </cell>
        </row>
        <row r="704">
          <cell r="A704">
            <v>0</v>
          </cell>
          <cell r="B704" t="str">
            <v xml:space="preserve">16-1313-2013 этап 17 CЧ ОКР МКС (Надежность-Наука) </v>
          </cell>
        </row>
        <row r="705">
          <cell r="A705">
            <v>0</v>
          </cell>
          <cell r="B705" t="str">
            <v xml:space="preserve">16-1313-2013 этап 17 CЧ ОКР МКС (Надежность-Наука) </v>
          </cell>
        </row>
        <row r="706">
          <cell r="A706">
            <v>0</v>
          </cell>
          <cell r="B706" t="str">
            <v xml:space="preserve">16-1313-2013 этап 17 CЧ ОКР МКС (Надежность-Наука) </v>
          </cell>
        </row>
        <row r="707">
          <cell r="A707">
            <v>0</v>
          </cell>
          <cell r="B707" t="str">
            <v>36-5558-2014 этап 01 СЧ ОКР DLA-2</v>
          </cell>
        </row>
        <row r="708">
          <cell r="A708">
            <v>0</v>
          </cell>
          <cell r="B708" t="str">
            <v>36-5558-2014 этап 01 СЧ ОКР DLA-2</v>
          </cell>
        </row>
        <row r="709">
          <cell r="A709">
            <v>0</v>
          </cell>
          <cell r="B709" t="str">
            <v>36-5558-2014 этап 01 СЧ ОКР DLA-2</v>
          </cell>
        </row>
        <row r="710">
          <cell r="A710">
            <v>0</v>
          </cell>
          <cell r="B710" t="str">
            <v>36-5558-2014 этап 01 СЧ ОКР DLA-2</v>
          </cell>
        </row>
        <row r="711">
          <cell r="A711">
            <v>0</v>
          </cell>
          <cell r="B711" t="str">
            <v>53-5558-2014 этап 01 СЧ НИР ГПВРД</v>
          </cell>
        </row>
        <row r="712">
          <cell r="A712">
            <v>0</v>
          </cell>
          <cell r="B712" t="str">
            <v>53-5558-2014 этап 01 СЧ НИР ГПВРД</v>
          </cell>
        </row>
        <row r="713">
          <cell r="A713">
            <v>0</v>
          </cell>
          <cell r="B713" t="str">
            <v>53-5558-2014 этап 01 СЧ НИР ГПВРД</v>
          </cell>
        </row>
        <row r="714">
          <cell r="A714">
            <v>0</v>
          </cell>
          <cell r="B714" t="str">
            <v>53-5558-2014 этап 01 СЧ НИР ГПВРД</v>
          </cell>
        </row>
        <row r="715">
          <cell r="A715">
            <v>0</v>
          </cell>
          <cell r="B715" t="str">
            <v>53-5558-2014 этап 02 СЧ НИР ГПВРД</v>
          </cell>
        </row>
        <row r="716">
          <cell r="A716">
            <v>0</v>
          </cell>
          <cell r="B716" t="str">
            <v>53-5558-2014 этап 02 СЧ НИР ГПВРД</v>
          </cell>
        </row>
        <row r="717">
          <cell r="A717">
            <v>0</v>
          </cell>
          <cell r="B717" t="str">
            <v>53-5558-2014 этап 02 СЧ НИР ГПВРД</v>
          </cell>
        </row>
        <row r="718">
          <cell r="A718">
            <v>0</v>
          </cell>
          <cell r="B718" t="str">
            <v>53-5558-2014 этап 02 СЧ НИР ГПВРД</v>
          </cell>
        </row>
        <row r="719">
          <cell r="A719">
            <v>0</v>
          </cell>
          <cell r="B719" t="str">
            <v>87-2206-2008 этап 17 ОКР Ангара</v>
          </cell>
        </row>
        <row r="720">
          <cell r="A720">
            <v>0</v>
          </cell>
          <cell r="B720" t="str">
            <v>87-2206-2008 этап 17 ОКР Ангара</v>
          </cell>
        </row>
        <row r="721">
          <cell r="A721">
            <v>0</v>
          </cell>
          <cell r="B721" t="str">
            <v>87-2206-2008 этап 17 ОКР Ангара</v>
          </cell>
        </row>
        <row r="722">
          <cell r="A722">
            <v>0</v>
          </cell>
          <cell r="B722" t="str">
            <v>87-2206-2008 этап 17 ОКР Ангара</v>
          </cell>
        </row>
        <row r="723">
          <cell r="A723">
            <v>0</v>
          </cell>
          <cell r="B723" t="str">
            <v xml:space="preserve">16-1313-2013 этап 17 CЧ ОКР МКС (Надежность-Наука) </v>
          </cell>
        </row>
        <row r="724">
          <cell r="A724">
            <v>0</v>
          </cell>
          <cell r="B724" t="str">
            <v xml:space="preserve">16-1313-2013 этап 17 CЧ ОКР МКС (Надежность-Наука) </v>
          </cell>
        </row>
        <row r="725">
          <cell r="A725">
            <v>0</v>
          </cell>
          <cell r="B725" t="str">
            <v xml:space="preserve">16-1313-2013 этап 17 CЧ ОКР МКС (Надежность-Наука) </v>
          </cell>
        </row>
        <row r="726">
          <cell r="A726">
            <v>0</v>
          </cell>
          <cell r="B726" t="str">
            <v xml:space="preserve">16-1313-2013 этап 17 CЧ ОКР МКС (Надежность-Наука) </v>
          </cell>
        </row>
        <row r="727">
          <cell r="A727">
            <v>0</v>
          </cell>
          <cell r="B727" t="str">
            <v>69-2000-2012 этап 03 ОКР База-М-(Совершенствование)</v>
          </cell>
        </row>
        <row r="728">
          <cell r="A728">
            <v>0</v>
          </cell>
          <cell r="B728" t="str">
            <v>69-2000-2012 этап 03 ОКР База-М-(Совершенствование)</v>
          </cell>
        </row>
        <row r="729">
          <cell r="A729">
            <v>0</v>
          </cell>
          <cell r="B729" t="str">
            <v>69-2000-2012 этап 03 ОКР База-М-(Совершенствование)</v>
          </cell>
        </row>
        <row r="730">
          <cell r="A730">
            <v>0</v>
          </cell>
          <cell r="B730" t="str">
            <v>69-2000-2012 этап 03 ОКР База-М-(Совершенствование)</v>
          </cell>
        </row>
        <row r="731">
          <cell r="A731">
            <v>54</v>
          </cell>
          <cell r="B731" t="str">
            <v>104-4231-2012 этап 01 ОКР Ангара</v>
          </cell>
        </row>
        <row r="732">
          <cell r="A732">
            <v>0</v>
          </cell>
          <cell r="B732" t="str">
            <v>104-4231-2012 этап 01 ОКР Ангара</v>
          </cell>
        </row>
        <row r="733">
          <cell r="A733">
            <v>0</v>
          </cell>
          <cell r="B733" t="str">
            <v>104-4231-2012 этап 01 ОКР Ангара</v>
          </cell>
        </row>
        <row r="734">
          <cell r="A734">
            <v>0</v>
          </cell>
          <cell r="B734" t="str">
            <v>104-4231-2012 этап 01 ОКР Ангара</v>
          </cell>
        </row>
        <row r="735">
          <cell r="A735">
            <v>0</v>
          </cell>
          <cell r="B735" t="str">
            <v>110-2000-2012 этап 25 НИР Эксперимент</v>
          </cell>
        </row>
        <row r="736">
          <cell r="A736">
            <v>0</v>
          </cell>
          <cell r="B736" t="str">
            <v>110-2000-2012 этап 25 НИР Эксперимент</v>
          </cell>
        </row>
        <row r="737">
          <cell r="A737">
            <v>0</v>
          </cell>
          <cell r="B737" t="str">
            <v>110-2000-2012 этап 25 НИР Эксперимент</v>
          </cell>
        </row>
        <row r="738">
          <cell r="A738">
            <v>0</v>
          </cell>
          <cell r="B738" t="str">
            <v>110-2000-2012 этап 25 НИР Эксперимент</v>
          </cell>
        </row>
        <row r="739">
          <cell r="A739">
            <v>0</v>
          </cell>
          <cell r="B739" t="str">
            <v>110-2000-2012 этап 28 НИР Эксперимент</v>
          </cell>
        </row>
        <row r="740">
          <cell r="A740">
            <v>0</v>
          </cell>
          <cell r="B740" t="str">
            <v>110-2000-2012 этап 28 НИР Эксперимент</v>
          </cell>
        </row>
        <row r="741">
          <cell r="A741">
            <v>0</v>
          </cell>
          <cell r="B741" t="str">
            <v>110-2000-2012 этап 28 НИР Эксперимент</v>
          </cell>
        </row>
        <row r="742">
          <cell r="A742">
            <v>0</v>
          </cell>
          <cell r="B742" t="str">
            <v>110-2000-2012 этап 28 НИР Эксперимент</v>
          </cell>
        </row>
        <row r="743">
          <cell r="A743">
            <v>0</v>
          </cell>
          <cell r="B743" t="str">
            <v xml:space="preserve">16-1313-2013 этап 12 CЧ ОКР МКС (Надежность-Наука) </v>
          </cell>
        </row>
        <row r="744">
          <cell r="A744">
            <v>0</v>
          </cell>
          <cell r="B744" t="str">
            <v xml:space="preserve">16-1313-2013 этап 12 CЧ ОКР МКС (Надежность-Наука) </v>
          </cell>
        </row>
        <row r="745">
          <cell r="A745">
            <v>0</v>
          </cell>
          <cell r="B745" t="str">
            <v xml:space="preserve">16-1313-2013 этап 12 CЧ ОКР МКС (Надежность-Наука) </v>
          </cell>
        </row>
        <row r="746">
          <cell r="A746">
            <v>0</v>
          </cell>
          <cell r="B746" t="str">
            <v xml:space="preserve">16-1313-2013 этап 12 CЧ ОКР МКС (Надежность-Наука) </v>
          </cell>
        </row>
        <row r="747">
          <cell r="A747">
            <v>0</v>
          </cell>
          <cell r="B747" t="str">
            <v>217-2100-2011 этап 07 ОКР Отработка-К</v>
          </cell>
        </row>
        <row r="748">
          <cell r="A748">
            <v>0</v>
          </cell>
          <cell r="B748" t="str">
            <v>217-2100-2011 этап 07 ОКР Отработка-К</v>
          </cell>
        </row>
        <row r="749">
          <cell r="A749">
            <v>0</v>
          </cell>
          <cell r="B749" t="str">
            <v>217-2100-2011 этап 07 ОКР Отработка-К</v>
          </cell>
        </row>
        <row r="750">
          <cell r="A750">
            <v>0</v>
          </cell>
          <cell r="B750" t="str">
            <v>217-2100-2011 этап 07 ОКР Отработка-К</v>
          </cell>
        </row>
        <row r="751">
          <cell r="A751">
            <v>0</v>
          </cell>
          <cell r="B751" t="str">
            <v xml:space="preserve">248-5554-2011 этап 06  ОКР "Прочность-ТРТ"  </v>
          </cell>
        </row>
        <row r="752">
          <cell r="A752">
            <v>0</v>
          </cell>
          <cell r="B752" t="str">
            <v xml:space="preserve">248-5554-2011 этап 06  ОКР "Прочность-ТРТ"  </v>
          </cell>
        </row>
        <row r="753">
          <cell r="A753">
            <v>0</v>
          </cell>
          <cell r="B753" t="str">
            <v xml:space="preserve">248-5554-2011 этап 06  ОКР "Прочность-ТРТ"  </v>
          </cell>
        </row>
        <row r="754">
          <cell r="A754">
            <v>0</v>
          </cell>
          <cell r="B754" t="str">
            <v xml:space="preserve">248-5554-2011 этап 06  ОКР "Прочность-ТРТ"  </v>
          </cell>
        </row>
        <row r="755">
          <cell r="A755">
            <v>0</v>
          </cell>
          <cell r="B755" t="str">
            <v>250-5554-2011 этап 07 ОКР ПОЖРД</v>
          </cell>
        </row>
        <row r="756">
          <cell r="A756">
            <v>0</v>
          </cell>
          <cell r="B756" t="str">
            <v>250-5554-2011 этап 07 ОКР ПОЖРД</v>
          </cell>
        </row>
        <row r="757">
          <cell r="A757">
            <v>0</v>
          </cell>
          <cell r="B757" t="str">
            <v>250-5554-2011 этап 07 ОКР ПОЖРД</v>
          </cell>
        </row>
        <row r="758">
          <cell r="A758">
            <v>0</v>
          </cell>
          <cell r="B758" t="str">
            <v>250-5554-2011 этап 07 ОКР ПОЖРД</v>
          </cell>
        </row>
        <row r="759">
          <cell r="A759">
            <v>0</v>
          </cell>
          <cell r="B759" t="str">
            <v>298-5551-2013 этап 01 СЧ ОКР изделие 14Ф145</v>
          </cell>
        </row>
        <row r="760">
          <cell r="A760">
            <v>0</v>
          </cell>
          <cell r="B760" t="str">
            <v>298-5551-2013 этап 01 СЧ ОКР изделие 14Ф145</v>
          </cell>
        </row>
        <row r="761">
          <cell r="A761">
            <v>0</v>
          </cell>
          <cell r="B761" t="str">
            <v>298-5551-2013 этап 01 СЧ ОКР изделие 14Ф145</v>
          </cell>
        </row>
        <row r="762">
          <cell r="A762">
            <v>0</v>
          </cell>
          <cell r="B762" t="str">
            <v>298-5551-2013 этап 01 СЧ ОКР изделие 14Ф145</v>
          </cell>
        </row>
        <row r="763">
          <cell r="A763">
            <v>55</v>
          </cell>
          <cell r="B763" t="str">
            <v>31-1021-2014 этап 01 СЧ ОКР Гонец-М-Экспертиза</v>
          </cell>
        </row>
        <row r="764">
          <cell r="A764">
            <v>0</v>
          </cell>
          <cell r="B764" t="str">
            <v>31-1021-2014 этап 01 СЧ ОКР Гонец-М-Экспертиза</v>
          </cell>
        </row>
        <row r="765">
          <cell r="A765">
            <v>0</v>
          </cell>
          <cell r="B765" t="str">
            <v>31-1021-2014 этап 01 СЧ ОКР Гонец-М-Экспертиза</v>
          </cell>
        </row>
        <row r="766">
          <cell r="A766">
            <v>0</v>
          </cell>
          <cell r="B766" t="str">
            <v>31-1021-2014 этап 01 СЧ ОКР Гонец-М-Экспертиза</v>
          </cell>
        </row>
        <row r="767">
          <cell r="A767">
            <v>0</v>
          </cell>
          <cell r="B767" t="str">
            <v>69-2000-2012 этап 03 ОКР База-М-(Совершенствование)</v>
          </cell>
        </row>
        <row r="768">
          <cell r="A768">
            <v>0</v>
          </cell>
          <cell r="B768" t="str">
            <v>69-2000-2012 этап 03 ОКР База-М-(Совершенствование)</v>
          </cell>
        </row>
        <row r="769">
          <cell r="A769">
            <v>0</v>
          </cell>
          <cell r="B769" t="str">
            <v>69-2000-2012 этап 03 ОКР База-М-(Совершенствование)</v>
          </cell>
        </row>
        <row r="770">
          <cell r="A770">
            <v>0</v>
          </cell>
          <cell r="B770" t="str">
            <v>69-2000-2012 этап 03 ОКР База-М-(Совершенствование)</v>
          </cell>
        </row>
        <row r="771">
          <cell r="A771">
            <v>56</v>
          </cell>
          <cell r="B771" t="str">
            <v>81-1201-2014 этап 01 СЧ ОКР Ямал-401</v>
          </cell>
        </row>
        <row r="772">
          <cell r="A772">
            <v>0</v>
          </cell>
          <cell r="B772" t="str">
            <v>81-1201-2014 этап 01 СЧ ОКР Ямал-401</v>
          </cell>
        </row>
        <row r="773">
          <cell r="A773">
            <v>0</v>
          </cell>
          <cell r="B773" t="str">
            <v>81-1201-2014 этап 01 СЧ ОКР Ямал-401</v>
          </cell>
        </row>
        <row r="774">
          <cell r="A774">
            <v>0</v>
          </cell>
          <cell r="B774" t="str">
            <v>81-1201-2014 этап 01 СЧ ОКР Ямал-401</v>
          </cell>
        </row>
        <row r="775">
          <cell r="A775">
            <v>0</v>
          </cell>
          <cell r="B775" t="str">
            <v>110-2000-2012 этап 24 НИР Эксперимент</v>
          </cell>
        </row>
        <row r="776">
          <cell r="A776">
            <v>0</v>
          </cell>
          <cell r="B776" t="str">
            <v>110-2000-2012 этап 24 НИР Эксперимент</v>
          </cell>
        </row>
        <row r="777">
          <cell r="A777">
            <v>0</v>
          </cell>
          <cell r="B777" t="str">
            <v>110-2000-2012 этап 24 НИР Эксперимент</v>
          </cell>
        </row>
        <row r="778">
          <cell r="A778">
            <v>0</v>
          </cell>
          <cell r="B778" t="str">
            <v>110-2000-2012 этап 24 НИР Эксперимент</v>
          </cell>
        </row>
        <row r="779">
          <cell r="A779">
            <v>0</v>
          </cell>
          <cell r="B779" t="str">
            <v>110-2000-2012 этап 27 НИР Эксперимент</v>
          </cell>
        </row>
        <row r="780">
          <cell r="A780">
            <v>0</v>
          </cell>
          <cell r="B780" t="str">
            <v>110-2000-2012 этап 27 НИР Эксперимент</v>
          </cell>
        </row>
        <row r="781">
          <cell r="A781">
            <v>0</v>
          </cell>
          <cell r="B781" t="str">
            <v>110-2000-2012 этап 27 НИР Эксперимент</v>
          </cell>
        </row>
        <row r="782">
          <cell r="A782">
            <v>0</v>
          </cell>
          <cell r="B782" t="str">
            <v>110-2000-2012 этап 27 НИР Эксперимент</v>
          </cell>
        </row>
        <row r="783">
          <cell r="A783">
            <v>0</v>
          </cell>
          <cell r="B783" t="str">
            <v>69-2000-2012 этап 03 ОКР База-М-(Совершенствование)</v>
          </cell>
        </row>
        <row r="784">
          <cell r="A784">
            <v>0</v>
          </cell>
          <cell r="B784" t="str">
            <v>69-2000-2012 этап 03 ОКР База-М-(Совершенствование)</v>
          </cell>
        </row>
        <row r="785">
          <cell r="A785">
            <v>0</v>
          </cell>
          <cell r="B785" t="str">
            <v>69-2000-2012 этап 03 ОКР База-М-(Совершенствование)</v>
          </cell>
        </row>
        <row r="786">
          <cell r="A786">
            <v>0</v>
          </cell>
          <cell r="B786" t="str">
            <v>69-2000-2012 этап 03 ОКР База-М-(Совершенствование)</v>
          </cell>
        </row>
        <row r="787">
          <cell r="A787">
            <v>57</v>
          </cell>
          <cell r="B787" t="str">
            <v>9-5551-2004 этап 23  ОКР Лиана</v>
          </cell>
        </row>
        <row r="788">
          <cell r="A788">
            <v>0</v>
          </cell>
          <cell r="B788" t="str">
            <v>9-5551-2004 этап 23  ОКР Лиана</v>
          </cell>
        </row>
        <row r="789">
          <cell r="A789">
            <v>0</v>
          </cell>
          <cell r="B789" t="str">
            <v>9-5551-2004 этап 23  ОКР Лиана</v>
          </cell>
        </row>
        <row r="790">
          <cell r="A790">
            <v>0</v>
          </cell>
          <cell r="B790" t="str">
            <v>9-5551-2004 этап 23  ОКР Лиана</v>
          </cell>
        </row>
        <row r="791">
          <cell r="A791">
            <v>0</v>
          </cell>
          <cell r="B791" t="str">
            <v>9-5551-2004 этап 25.1  ОКР Лиана</v>
          </cell>
        </row>
        <row r="792">
          <cell r="A792">
            <v>0</v>
          </cell>
          <cell r="B792" t="str">
            <v>9-5551-2004 этап 25.1  ОКР Лиана</v>
          </cell>
        </row>
        <row r="793">
          <cell r="A793">
            <v>0</v>
          </cell>
          <cell r="B793" t="str">
            <v>9-5551-2004 этап 25.1  ОКР Лиана</v>
          </cell>
        </row>
        <row r="794">
          <cell r="A794">
            <v>0</v>
          </cell>
          <cell r="B794" t="str">
            <v>9-5551-2004 этап 25.1  ОКР Лиана</v>
          </cell>
        </row>
        <row r="795">
          <cell r="A795">
            <v>58</v>
          </cell>
          <cell r="B795" t="str">
            <v>96-4014-2014 этап 01 ОКР Ударение</v>
          </cell>
        </row>
        <row r="796">
          <cell r="A796">
            <v>0</v>
          </cell>
          <cell r="B796" t="str">
            <v>96-4014-2014 этап 01 ОКР Ударение</v>
          </cell>
        </row>
        <row r="797">
          <cell r="A797">
            <v>0</v>
          </cell>
          <cell r="B797" t="str">
            <v>96-4014-2014 этап 01 ОКР Ударение</v>
          </cell>
        </row>
        <row r="798">
          <cell r="A798">
            <v>0</v>
          </cell>
          <cell r="B798" t="str">
            <v>96-4014-2014 этап 01 ОКР Ударение</v>
          </cell>
        </row>
        <row r="799">
          <cell r="A799">
            <v>0</v>
          </cell>
          <cell r="B799" t="str">
            <v>217-2100-2011 этап 07 ОКР Отработка-К</v>
          </cell>
        </row>
        <row r="800">
          <cell r="A800">
            <v>0</v>
          </cell>
          <cell r="B800" t="str">
            <v>217-2100-2011 этап 07 ОКР Отработка-К</v>
          </cell>
        </row>
        <row r="801">
          <cell r="A801">
            <v>0</v>
          </cell>
          <cell r="B801" t="str">
            <v>217-2100-2011 этап 07 ОКР Отработка-К</v>
          </cell>
        </row>
        <row r="802">
          <cell r="A802">
            <v>0</v>
          </cell>
          <cell r="B802" t="str">
            <v>217-2100-2011 этап 07 ОКР Отработка-К</v>
          </cell>
        </row>
        <row r="803">
          <cell r="A803">
            <v>0</v>
          </cell>
          <cell r="B803" t="str">
            <v>69-2000-2012 этап 03 ОКР База-М-(Совершенствование)</v>
          </cell>
        </row>
        <row r="804">
          <cell r="A804">
            <v>0</v>
          </cell>
          <cell r="B804" t="str">
            <v>69-2000-2012 этап 03 ОКР База-М-(Совершенствование)</v>
          </cell>
        </row>
        <row r="805">
          <cell r="A805">
            <v>0</v>
          </cell>
          <cell r="B805" t="str">
            <v>69-2000-2012 этап 03 ОКР База-М-(Совершенствование)</v>
          </cell>
        </row>
        <row r="806">
          <cell r="A806">
            <v>0</v>
          </cell>
          <cell r="B806" t="str">
            <v>69-2000-2012 этап 03 ОКР База-М-(Совершенствование)</v>
          </cell>
        </row>
        <row r="807">
          <cell r="A807">
            <v>0</v>
          </cell>
          <cell r="B807" t="str">
            <v>217-2100-2011 этап 07 ОКР Отработка-К</v>
          </cell>
        </row>
        <row r="808">
          <cell r="A808">
            <v>0</v>
          </cell>
          <cell r="B808" t="str">
            <v>217-2100-2011 этап 07 ОКР Отработка-К</v>
          </cell>
        </row>
        <row r="809">
          <cell r="A809">
            <v>0</v>
          </cell>
          <cell r="B809" t="str">
            <v>217-2100-2011 этап 07 ОКР Отработка-К</v>
          </cell>
        </row>
        <row r="810">
          <cell r="A810">
            <v>0</v>
          </cell>
          <cell r="B810" t="str">
            <v>217-2100-2011 этап 07 ОКР Отработка-К</v>
          </cell>
        </row>
        <row r="811">
          <cell r="A811">
            <v>0</v>
          </cell>
          <cell r="B811" t="str">
            <v>110-2000-2012 этап 30 НИР Эксперимент</v>
          </cell>
        </row>
        <row r="812">
          <cell r="A812">
            <v>0</v>
          </cell>
          <cell r="B812" t="str">
            <v>110-2000-2012 этап 30 НИР Эксперимент</v>
          </cell>
        </row>
        <row r="813">
          <cell r="A813">
            <v>0</v>
          </cell>
          <cell r="B813" t="str">
            <v>110-2000-2012 этап 30 НИР Эксперимент</v>
          </cell>
        </row>
        <row r="814">
          <cell r="A814">
            <v>0</v>
          </cell>
          <cell r="B814" t="str">
            <v>110-2000-2012 этап 30 НИР Эксперимент</v>
          </cell>
        </row>
        <row r="815">
          <cell r="A815">
            <v>0</v>
          </cell>
          <cell r="B815" t="str">
            <v>235-5556-2011 этап 04 ОКР КТКиСБ</v>
          </cell>
        </row>
        <row r="816">
          <cell r="A816">
            <v>0</v>
          </cell>
          <cell r="B816" t="str">
            <v>235-5556-2011 этап 04 ОКР КТКиСБ</v>
          </cell>
        </row>
        <row r="817">
          <cell r="A817">
            <v>0</v>
          </cell>
          <cell r="B817" t="str">
            <v>235-5556-2011 этап 04 ОКР КТКиСБ</v>
          </cell>
        </row>
        <row r="818">
          <cell r="A818">
            <v>0</v>
          </cell>
          <cell r="B818" t="str">
            <v>235-5556-2011 этап 04 ОКР КТКиСБ</v>
          </cell>
        </row>
        <row r="819">
          <cell r="A819">
            <v>0</v>
          </cell>
          <cell r="B819" t="str">
            <v>69-2000-2012 этап 03 ОКР База-М-(Совершенствование)</v>
          </cell>
        </row>
        <row r="820">
          <cell r="A820">
            <v>0</v>
          </cell>
          <cell r="B820" t="str">
            <v>69-2000-2012 этап 03 ОКР База-М-(Совершенствование)</v>
          </cell>
        </row>
        <row r="821">
          <cell r="A821">
            <v>0</v>
          </cell>
          <cell r="B821" t="str">
            <v>69-2000-2012 этап 03 ОКР База-М-(Совершенствование)</v>
          </cell>
        </row>
        <row r="822">
          <cell r="A822">
            <v>0</v>
          </cell>
          <cell r="B822" t="str">
            <v>69-2000-2012 этап 03 ОКР База-М-(Совершенствование)</v>
          </cell>
        </row>
        <row r="823">
          <cell r="A823">
            <v>0</v>
          </cell>
          <cell r="B823" t="str">
            <v>87-2206-2008 этап 14 ОКР Ангара</v>
          </cell>
        </row>
        <row r="824">
          <cell r="A824">
            <v>0</v>
          </cell>
          <cell r="B824" t="str">
            <v>87-2206-2008 этап 14 ОКР Ангара</v>
          </cell>
        </row>
        <row r="825">
          <cell r="A825">
            <v>0</v>
          </cell>
          <cell r="B825" t="str">
            <v>87-2206-2008 этап 14 ОКР Ангара</v>
          </cell>
        </row>
        <row r="826">
          <cell r="A826">
            <v>0</v>
          </cell>
          <cell r="B826" t="str">
            <v>87-2206-2008 этап 14 ОКР Ангара</v>
          </cell>
        </row>
        <row r="827">
          <cell r="A827">
            <v>59</v>
          </cell>
          <cell r="B827" t="str">
            <v>Ц-5556/2011 этап 04 ОКР КТКиСб-Ц</v>
          </cell>
        </row>
        <row r="828">
          <cell r="A828">
            <v>0</v>
          </cell>
          <cell r="B828" t="str">
            <v>Ц-5556/2011 этап 04 ОКР КТКиСб-Ц</v>
          </cell>
        </row>
        <row r="829">
          <cell r="A829">
            <v>0</v>
          </cell>
          <cell r="B829" t="str">
            <v>Ц-5556/2011 этап 04 ОКР КТКиСб-Ц</v>
          </cell>
        </row>
        <row r="830">
          <cell r="A830">
            <v>0</v>
          </cell>
          <cell r="B830" t="str">
            <v>Ц-5556/2011 этап 04 ОКР КТКиСб-Ц</v>
          </cell>
        </row>
        <row r="831">
          <cell r="A831">
            <v>0</v>
          </cell>
          <cell r="B831" t="str">
            <v>110-2000-2012 этап 30 НИР Эксперимент</v>
          </cell>
        </row>
        <row r="832">
          <cell r="A832">
            <v>0</v>
          </cell>
          <cell r="B832" t="str">
            <v>110-2000-2012 этап 30 НИР Эксперимент</v>
          </cell>
        </row>
        <row r="833">
          <cell r="A833">
            <v>0</v>
          </cell>
          <cell r="B833" t="str">
            <v>110-2000-2012 этап 30 НИР Эксперимент</v>
          </cell>
        </row>
        <row r="834">
          <cell r="A834">
            <v>0</v>
          </cell>
          <cell r="B834" t="str">
            <v>110-2000-2012 этап 30 НИР Эксперимент</v>
          </cell>
        </row>
        <row r="835">
          <cell r="A835">
            <v>0</v>
          </cell>
          <cell r="B835" t="str">
            <v>130-5557-2012 этап 02 СЧ ОКР Пробой-Трансформ</v>
          </cell>
        </row>
        <row r="836">
          <cell r="A836">
            <v>0</v>
          </cell>
          <cell r="B836" t="str">
            <v>130-5557-2012 этап 02 СЧ ОКР Пробой-Трансформ</v>
          </cell>
        </row>
        <row r="837">
          <cell r="A837">
            <v>0</v>
          </cell>
          <cell r="B837" t="str">
            <v>130-5557-2012 этап 02 СЧ ОКР Пробой-Трансформ</v>
          </cell>
        </row>
        <row r="838">
          <cell r="A838">
            <v>0</v>
          </cell>
          <cell r="B838" t="str">
            <v>130-5557-2012 этап 02 СЧ ОКР Пробой-Трансформ</v>
          </cell>
        </row>
        <row r="839">
          <cell r="A839">
            <v>0</v>
          </cell>
          <cell r="B839" t="str">
            <v xml:space="preserve">16-1313-2013 этап 14 CЧ ОКР МКС (Надежность-Наука) </v>
          </cell>
        </row>
        <row r="840">
          <cell r="A840">
            <v>0</v>
          </cell>
          <cell r="B840" t="str">
            <v xml:space="preserve">16-1313-2013 этап 14 CЧ ОКР МКС (Надежность-Наука) </v>
          </cell>
        </row>
        <row r="841">
          <cell r="A841">
            <v>0</v>
          </cell>
          <cell r="B841" t="str">
            <v xml:space="preserve">16-1313-2013 этап 14 CЧ ОКР МКС (Надежность-Наука) </v>
          </cell>
        </row>
        <row r="842">
          <cell r="A842">
            <v>0</v>
          </cell>
          <cell r="B842" t="str">
            <v xml:space="preserve">16-1313-2013 этап 14 CЧ ОКР МКС (Надежность-Наука) </v>
          </cell>
        </row>
        <row r="843">
          <cell r="A843">
            <v>0</v>
          </cell>
          <cell r="B843" t="str">
            <v>217-2100-2011 этап 07 ОКР Отработка-К</v>
          </cell>
        </row>
        <row r="844">
          <cell r="A844">
            <v>0</v>
          </cell>
          <cell r="B844" t="str">
            <v>217-2100-2011 этап 07 ОКР Отработка-К</v>
          </cell>
        </row>
        <row r="845">
          <cell r="A845">
            <v>0</v>
          </cell>
          <cell r="B845" t="str">
            <v>217-2100-2011 этап 07 ОКР Отработка-К</v>
          </cell>
        </row>
        <row r="846">
          <cell r="A846">
            <v>0</v>
          </cell>
          <cell r="B846" t="str">
            <v>217-2100-2011 этап 07 ОКР Отработка-К</v>
          </cell>
        </row>
        <row r="847">
          <cell r="A847">
            <v>0</v>
          </cell>
          <cell r="B847" t="str">
            <v>235-5556-2011 этап 06 ОКР КТКиСБ</v>
          </cell>
        </row>
        <row r="848">
          <cell r="A848">
            <v>0</v>
          </cell>
          <cell r="B848" t="str">
            <v>235-5556-2011 этап 06 ОКР КТКиСБ</v>
          </cell>
        </row>
        <row r="849">
          <cell r="A849">
            <v>0</v>
          </cell>
          <cell r="B849" t="str">
            <v>235-5556-2011 этап 06 ОКР КТКиСБ</v>
          </cell>
        </row>
        <row r="850">
          <cell r="A850">
            <v>0</v>
          </cell>
          <cell r="B850" t="str">
            <v>235-5556-2011 этап 06 ОКР КТКиСБ</v>
          </cell>
        </row>
        <row r="851">
          <cell r="A851">
            <v>0</v>
          </cell>
          <cell r="B851" t="str">
            <v>310-5557-2013 этап 01 СЧ ОКР САРМАТ</v>
          </cell>
        </row>
        <row r="852">
          <cell r="A852">
            <v>0</v>
          </cell>
          <cell r="B852" t="str">
            <v>310-5557-2013 этап 01 СЧ ОКР САРМАТ</v>
          </cell>
        </row>
        <row r="853">
          <cell r="A853">
            <v>0</v>
          </cell>
          <cell r="B853" t="str">
            <v>310-5557-2013 этап 01 СЧ ОКР САРМАТ</v>
          </cell>
        </row>
        <row r="854">
          <cell r="A854">
            <v>0</v>
          </cell>
          <cell r="B854" t="str">
            <v>310-5557-2013 этап 01 СЧ ОКР САРМАТ</v>
          </cell>
        </row>
        <row r="855">
          <cell r="A855">
            <v>0</v>
          </cell>
          <cell r="B855" t="str">
            <v>310-5557-2013 этап 02 СЧ ОКР САРМАТ</v>
          </cell>
        </row>
        <row r="856">
          <cell r="A856">
            <v>0</v>
          </cell>
          <cell r="B856" t="str">
            <v>310-5557-2013 этап 02 СЧ ОКР САРМАТ</v>
          </cell>
        </row>
        <row r="857">
          <cell r="A857">
            <v>0</v>
          </cell>
          <cell r="B857" t="str">
            <v>310-5557-2013 этап 02 СЧ ОКР САРМАТ</v>
          </cell>
        </row>
        <row r="858">
          <cell r="A858">
            <v>0</v>
          </cell>
          <cell r="B858" t="str">
            <v>310-5557-2013 этап 02 СЧ ОКР САРМАТ</v>
          </cell>
        </row>
        <row r="859">
          <cell r="A859">
            <v>0</v>
          </cell>
          <cell r="B859" t="str">
            <v>91-2107-2012 этап 03 ОКР АСиМО</v>
          </cell>
        </row>
        <row r="860">
          <cell r="A860">
            <v>0</v>
          </cell>
          <cell r="B860" t="str">
            <v>91-2107-2012 этап 03 ОКР АСиМО</v>
          </cell>
        </row>
        <row r="861">
          <cell r="A861">
            <v>0</v>
          </cell>
          <cell r="B861" t="str">
            <v>91-2107-2012 этап 03 ОКР АСиМО</v>
          </cell>
        </row>
        <row r="862">
          <cell r="A862">
            <v>0</v>
          </cell>
          <cell r="B862" t="str">
            <v>91-2107-2012 этап 03 ОКР АСиМО</v>
          </cell>
        </row>
        <row r="863">
          <cell r="A863">
            <v>60</v>
          </cell>
          <cell r="B863" t="str">
            <v>130-5558-2014 этап 01 СЧ ОКР РН Ангара 1.2</v>
          </cell>
        </row>
        <row r="864">
          <cell r="A864">
            <v>0</v>
          </cell>
          <cell r="B864" t="str">
            <v>130-5558-2014 этап 01 СЧ ОКР РН Ангара 1.2</v>
          </cell>
        </row>
        <row r="865">
          <cell r="A865">
            <v>0</v>
          </cell>
          <cell r="B865" t="str">
            <v>130-5558-2014 этап 01 СЧ ОКР РН Ангара 1.2</v>
          </cell>
        </row>
        <row r="866">
          <cell r="A866">
            <v>0</v>
          </cell>
          <cell r="B866" t="str">
            <v>130-5558-2014 этап 01 СЧ ОКР РН Ангара 1.2</v>
          </cell>
        </row>
        <row r="867">
          <cell r="A867">
            <v>0</v>
          </cell>
          <cell r="B867" t="str">
            <v xml:space="preserve">16-1313-2013 этап 17 CЧ ОКР МКС (Надежность-Наука) </v>
          </cell>
        </row>
        <row r="868">
          <cell r="A868">
            <v>0</v>
          </cell>
          <cell r="B868" t="str">
            <v xml:space="preserve">16-1313-2013 этап 17 CЧ ОКР МКС (Надежность-Наука) </v>
          </cell>
        </row>
        <row r="869">
          <cell r="A869">
            <v>0</v>
          </cell>
          <cell r="B869" t="str">
            <v xml:space="preserve">16-1313-2013 этап 17 CЧ ОКР МКС (Надежность-Наука) </v>
          </cell>
        </row>
        <row r="870">
          <cell r="A870">
            <v>0</v>
          </cell>
          <cell r="B870" t="str">
            <v xml:space="preserve">16-1313-2013 этап 17 CЧ ОКР МКС (Надежность-Наука) </v>
          </cell>
        </row>
        <row r="871">
          <cell r="A871">
            <v>61</v>
          </cell>
          <cell r="B871" t="str">
            <v>31-5558-2013 этап 02 СЧ ОКР РБ КВТК</v>
          </cell>
        </row>
        <row r="872">
          <cell r="A872">
            <v>0</v>
          </cell>
          <cell r="B872" t="str">
            <v>31-5558-2013 этап 02 СЧ ОКР РБ КВТК</v>
          </cell>
        </row>
        <row r="873">
          <cell r="A873">
            <v>0</v>
          </cell>
          <cell r="B873" t="str">
            <v>31-5558-2013 этап 02 СЧ ОКР РБ КВТК</v>
          </cell>
        </row>
        <row r="874">
          <cell r="A874">
            <v>0</v>
          </cell>
          <cell r="B874" t="str">
            <v>31-5558-2013 этап 02 СЧ ОКР РБ КВТК</v>
          </cell>
        </row>
        <row r="875">
          <cell r="A875">
            <v>0</v>
          </cell>
          <cell r="B875" t="str">
            <v>53-5558-2014 этап 01 СЧ НИР ГПВРД</v>
          </cell>
        </row>
        <row r="876">
          <cell r="A876">
            <v>0</v>
          </cell>
          <cell r="B876" t="str">
            <v>53-5558-2014 этап 01 СЧ НИР ГПВРД</v>
          </cell>
        </row>
        <row r="877">
          <cell r="A877">
            <v>0</v>
          </cell>
          <cell r="B877" t="str">
            <v>53-5558-2014 этап 01 СЧ НИР ГПВРД</v>
          </cell>
        </row>
        <row r="878">
          <cell r="A878">
            <v>0</v>
          </cell>
          <cell r="B878" t="str">
            <v>53-5558-2014 этап 01 СЧ НИР ГПВРД</v>
          </cell>
        </row>
        <row r="879">
          <cell r="A879">
            <v>0</v>
          </cell>
          <cell r="B879" t="str">
            <v>53-5558-2014 этап 02 СЧ НИР ГПВРД</v>
          </cell>
        </row>
        <row r="880">
          <cell r="A880">
            <v>0</v>
          </cell>
          <cell r="B880" t="str">
            <v>53-5558-2014 этап 02 СЧ НИР ГПВРД</v>
          </cell>
        </row>
        <row r="881">
          <cell r="A881">
            <v>0</v>
          </cell>
          <cell r="B881" t="str">
            <v>53-5558-2014 этап 02 СЧ НИР ГПВРД</v>
          </cell>
        </row>
        <row r="882">
          <cell r="A882">
            <v>0</v>
          </cell>
          <cell r="B882" t="str">
            <v>53-5558-2014 этап 02 СЧ НИР ГПВРД</v>
          </cell>
        </row>
        <row r="883">
          <cell r="A883">
            <v>0</v>
          </cell>
          <cell r="B883" t="str">
            <v>87-2206-2008 этап 17 ОКР Ангара</v>
          </cell>
        </row>
        <row r="884">
          <cell r="A884">
            <v>0</v>
          </cell>
          <cell r="B884" t="str">
            <v>87-2206-2008 этап 17 ОКР Ангара</v>
          </cell>
        </row>
        <row r="885">
          <cell r="A885">
            <v>0</v>
          </cell>
          <cell r="B885" t="str">
            <v>87-2206-2008 этап 17 ОКР Ангара</v>
          </cell>
        </row>
        <row r="886">
          <cell r="A886">
            <v>0</v>
          </cell>
          <cell r="B886" t="str">
            <v>87-2206-2008 этап 17 ОКР Ангара</v>
          </cell>
        </row>
        <row r="887">
          <cell r="A887">
            <v>62</v>
          </cell>
          <cell r="B887" t="str">
            <v>132-2000-2014 этап 01 СЧ ОКР База-М (Совершенствование 2)</v>
          </cell>
        </row>
        <row r="888">
          <cell r="A888">
            <v>0</v>
          </cell>
          <cell r="B888" t="str">
            <v>132-2000-2014 этап 01 СЧ ОКР База-М (Совершенствование 2)</v>
          </cell>
        </row>
        <row r="889">
          <cell r="A889">
            <v>0</v>
          </cell>
          <cell r="B889" t="str">
            <v>132-2000-2014 этап 01 СЧ ОКР База-М (Совершенствование 2)</v>
          </cell>
        </row>
        <row r="890">
          <cell r="A890">
            <v>0</v>
          </cell>
          <cell r="B890" t="str">
            <v>132-2000-2014 этап 01 СЧ ОКР База-М (Совершенствование 2)</v>
          </cell>
        </row>
        <row r="891">
          <cell r="A891">
            <v>0</v>
          </cell>
          <cell r="B891" t="str">
            <v xml:space="preserve">16-1313-2013 этап 17 CЧ ОКР МКС (Надежность-Наука) </v>
          </cell>
        </row>
        <row r="892">
          <cell r="A892">
            <v>0</v>
          </cell>
          <cell r="B892" t="str">
            <v xml:space="preserve">16-1313-2013 этап 17 CЧ ОКР МКС (Надежность-Наука) </v>
          </cell>
        </row>
        <row r="893">
          <cell r="A893">
            <v>0</v>
          </cell>
          <cell r="B893" t="str">
            <v xml:space="preserve">16-1313-2013 этап 17 CЧ ОКР МКС (Надежность-Наука) </v>
          </cell>
        </row>
        <row r="894">
          <cell r="A894">
            <v>0</v>
          </cell>
          <cell r="B894" t="str">
            <v xml:space="preserve">16-1313-2013 этап 17 CЧ ОКР МКС (Надежность-Наука) </v>
          </cell>
        </row>
        <row r="895">
          <cell r="A895">
            <v>0</v>
          </cell>
          <cell r="B895" t="str">
            <v>132-2000-2014 этап 01 СЧ ОКР База-М (Совершенствование 2)</v>
          </cell>
        </row>
        <row r="896">
          <cell r="A896">
            <v>0</v>
          </cell>
          <cell r="B896" t="str">
            <v>132-2000-2014 этап 01 СЧ ОКР База-М (Совершенствование 2)</v>
          </cell>
        </row>
        <row r="897">
          <cell r="A897">
            <v>0</v>
          </cell>
          <cell r="B897" t="str">
            <v>132-2000-2014 этап 01 СЧ ОКР База-М (Совершенствование 2)</v>
          </cell>
        </row>
        <row r="898">
          <cell r="A898">
            <v>0</v>
          </cell>
          <cell r="B898" t="str">
            <v>132-2000-2014 этап 01 СЧ ОКР База-М (Совершенствование 2)</v>
          </cell>
        </row>
        <row r="899">
          <cell r="A899">
            <v>0</v>
          </cell>
          <cell r="B899" t="str">
            <v xml:space="preserve">16-1313-2013 этап 12 CЧ ОКР МКС (Надежность-Наука) </v>
          </cell>
        </row>
        <row r="900">
          <cell r="A900">
            <v>0</v>
          </cell>
          <cell r="B900" t="str">
            <v xml:space="preserve">16-1313-2013 этап 12 CЧ ОКР МКС (Надежность-Наука) </v>
          </cell>
        </row>
        <row r="901">
          <cell r="A901">
            <v>0</v>
          </cell>
          <cell r="B901" t="str">
            <v xml:space="preserve">16-1313-2013 этап 12 CЧ ОКР МКС (Надежность-Наука) </v>
          </cell>
        </row>
        <row r="902">
          <cell r="A902">
            <v>0</v>
          </cell>
          <cell r="B902" t="str">
            <v xml:space="preserve">16-1313-2013 этап 12 CЧ ОКР МКС (Надежность-Наука) </v>
          </cell>
        </row>
        <row r="903">
          <cell r="A903">
            <v>0</v>
          </cell>
          <cell r="B903" t="str">
            <v xml:space="preserve">16-1313-2013 этап 18 CЧ ОКР МКС (Надежность-Наука) </v>
          </cell>
        </row>
        <row r="904">
          <cell r="A904">
            <v>0</v>
          </cell>
          <cell r="B904" t="str">
            <v xml:space="preserve">16-1313-2013 этап 18 CЧ ОКР МКС (Надежность-Наука) </v>
          </cell>
        </row>
        <row r="905">
          <cell r="A905">
            <v>0</v>
          </cell>
          <cell r="B905" t="str">
            <v xml:space="preserve">16-1313-2013 этап 18 CЧ ОКР МКС (Надежность-Наука) </v>
          </cell>
        </row>
        <row r="906">
          <cell r="A906">
            <v>0</v>
          </cell>
          <cell r="B906" t="str">
            <v xml:space="preserve">16-1313-2013 этап 18 CЧ ОКР МКС (Надежность-Наука) </v>
          </cell>
        </row>
        <row r="907">
          <cell r="A907">
            <v>63</v>
          </cell>
          <cell r="B907" t="str">
            <v xml:space="preserve">248-5554-2011 этап 07 ОКР Прочность-ТРТ  </v>
          </cell>
        </row>
        <row r="908">
          <cell r="A908">
            <v>0</v>
          </cell>
          <cell r="B908" t="str">
            <v xml:space="preserve">248-5554-2011 этап 07 ОКР Прочность-ТРТ  </v>
          </cell>
        </row>
        <row r="909">
          <cell r="A909">
            <v>0</v>
          </cell>
          <cell r="B909" t="str">
            <v xml:space="preserve">248-5554-2011 этап 07 ОКР Прочность-ТРТ  </v>
          </cell>
        </row>
        <row r="910">
          <cell r="A910">
            <v>0</v>
          </cell>
          <cell r="B910" t="str">
            <v xml:space="preserve">248-5554-2011 этап 07 ОКР Прочность-ТРТ  </v>
          </cell>
        </row>
        <row r="911">
          <cell r="A911">
            <v>0</v>
          </cell>
          <cell r="B911" t="str">
            <v>250-5554-2011 этап 07 ОКР ПОЖРД</v>
          </cell>
        </row>
        <row r="912">
          <cell r="A912">
            <v>0</v>
          </cell>
          <cell r="B912" t="str">
            <v>250-5554-2011 этап 07 ОКР ПОЖРД</v>
          </cell>
        </row>
        <row r="913">
          <cell r="A913">
            <v>0</v>
          </cell>
          <cell r="B913" t="str">
            <v>250-5554-2011 этап 07 ОКР ПОЖРД</v>
          </cell>
        </row>
        <row r="914">
          <cell r="A914">
            <v>0</v>
          </cell>
          <cell r="B914" t="str">
            <v>250-5554-2011 этап 07 ОКР ПОЖРД</v>
          </cell>
        </row>
        <row r="915">
          <cell r="A915">
            <v>0</v>
          </cell>
          <cell r="B915" t="str">
            <v xml:space="preserve">275-5551-2013 этап 01 СЧ ОКР изделие 196КС    </v>
          </cell>
        </row>
        <row r="916">
          <cell r="A916">
            <v>0</v>
          </cell>
          <cell r="B916" t="str">
            <v xml:space="preserve">275-5551-2013 этап 01 СЧ ОКР изделие 196КС    </v>
          </cell>
        </row>
        <row r="917">
          <cell r="A917">
            <v>0</v>
          </cell>
          <cell r="B917" t="str">
            <v xml:space="preserve">275-5551-2013 этап 01 СЧ ОКР изделие 196КС    </v>
          </cell>
        </row>
        <row r="918">
          <cell r="A918">
            <v>0</v>
          </cell>
          <cell r="B918" t="str">
            <v xml:space="preserve">275-5551-2013 этап 01 СЧ ОКР изделие 196КС    </v>
          </cell>
        </row>
        <row r="919">
          <cell r="A919">
            <v>0</v>
          </cell>
          <cell r="B919" t="str">
            <v>298-5551-2013 этап 01 СЧ ОКР изделие 14Ф145</v>
          </cell>
        </row>
        <row r="920">
          <cell r="A920">
            <v>0</v>
          </cell>
          <cell r="B920" t="str">
            <v>298-5551-2013 этап 01 СЧ ОКР изделие 14Ф145</v>
          </cell>
        </row>
        <row r="921">
          <cell r="A921">
            <v>0</v>
          </cell>
          <cell r="B921" t="str">
            <v>298-5551-2013 этап 01 СЧ ОКР изделие 14Ф145</v>
          </cell>
        </row>
        <row r="922">
          <cell r="A922">
            <v>0</v>
          </cell>
          <cell r="B922" t="str">
            <v>298-5551-2013 этап 01 СЧ ОКР изделие 14Ф145</v>
          </cell>
        </row>
        <row r="923">
          <cell r="A923">
            <v>64</v>
          </cell>
          <cell r="B923" t="str">
            <v>41-1201-2014 этап 01 СЧ ОКР Фотон-М</v>
          </cell>
        </row>
        <row r="924">
          <cell r="A924">
            <v>0</v>
          </cell>
          <cell r="B924" t="str">
            <v>41-1201-2014 этап 01 СЧ ОКР Фотон-М</v>
          </cell>
        </row>
        <row r="925">
          <cell r="A925">
            <v>0</v>
          </cell>
          <cell r="B925" t="str">
            <v>41-1201-2014 этап 01 СЧ ОКР Фотон-М</v>
          </cell>
        </row>
        <row r="926">
          <cell r="A926">
            <v>0</v>
          </cell>
          <cell r="B926" t="str">
            <v>41-1201-2014 этап 01 СЧ ОКР Фотон-М</v>
          </cell>
        </row>
        <row r="927">
          <cell r="A927">
            <v>65</v>
          </cell>
          <cell r="B927" t="str">
            <v>65-2201-2009 этап 02 ОКР Канопус-СТ</v>
          </cell>
        </row>
        <row r="928">
          <cell r="A928">
            <v>0</v>
          </cell>
          <cell r="B928" t="str">
            <v>65-2201-2009 этап 02 ОКР Канопус-СТ</v>
          </cell>
        </row>
        <row r="929">
          <cell r="A929">
            <v>0</v>
          </cell>
          <cell r="B929" t="str">
            <v>65-2201-2009 этап 02 ОКР Канопус-СТ</v>
          </cell>
        </row>
        <row r="930">
          <cell r="A930">
            <v>0</v>
          </cell>
          <cell r="B930" t="str">
            <v>65-2201-2009 этап 02 ОКР Канопус-СТ</v>
          </cell>
        </row>
        <row r="931">
          <cell r="A931">
            <v>66</v>
          </cell>
          <cell r="B931" t="str">
            <v>80-1201-2014 этап 01 СЧ ОКР Экспресс-АМ7</v>
          </cell>
        </row>
        <row r="932">
          <cell r="A932">
            <v>0</v>
          </cell>
          <cell r="B932" t="str">
            <v>80-1201-2014 этап 01 СЧ ОКР Экспресс-АМ7</v>
          </cell>
        </row>
        <row r="933">
          <cell r="A933">
            <v>0</v>
          </cell>
          <cell r="B933" t="str">
            <v>80-1201-2014 этап 01 СЧ ОКР Экспресс-АМ7</v>
          </cell>
        </row>
        <row r="934">
          <cell r="A934">
            <v>0</v>
          </cell>
          <cell r="B934" t="str">
            <v>80-1201-2014 этап 01 СЧ ОКР Экспресс-АМ7</v>
          </cell>
        </row>
        <row r="935">
          <cell r="A935">
            <v>0</v>
          </cell>
          <cell r="B935" t="str">
            <v>85-4222-2012 этап 03 ОКР Надежность КА и СВ</v>
          </cell>
        </row>
        <row r="936">
          <cell r="A936">
            <v>0</v>
          </cell>
          <cell r="B936" t="str">
            <v>85-4222-2012 этап 03 ОКР Надежность КА и СВ</v>
          </cell>
        </row>
        <row r="937">
          <cell r="A937">
            <v>0</v>
          </cell>
          <cell r="B937" t="str">
            <v>85-4222-2012 этап 03 ОКР Надежность КА и СВ</v>
          </cell>
        </row>
        <row r="938">
          <cell r="A938">
            <v>0</v>
          </cell>
          <cell r="B938" t="str">
            <v>85-4222-2012 этап 03 ОКР Надежность КА и СВ</v>
          </cell>
        </row>
        <row r="939">
          <cell r="A939">
            <v>0</v>
          </cell>
          <cell r="B939" t="str">
            <v>110-2000-2012 этап 27 НИР Эксперимент</v>
          </cell>
        </row>
        <row r="940">
          <cell r="A940">
            <v>0</v>
          </cell>
          <cell r="B940" t="str">
            <v>110-2000-2012 этап 27 НИР Эксперимент</v>
          </cell>
        </row>
        <row r="941">
          <cell r="A941">
            <v>0</v>
          </cell>
          <cell r="B941" t="str">
            <v>110-2000-2012 этап 27 НИР Эксперимент</v>
          </cell>
        </row>
        <row r="942">
          <cell r="A942">
            <v>0</v>
          </cell>
          <cell r="B942" t="str">
            <v>110-2000-2012 этап 27 НИР Эксперимент</v>
          </cell>
        </row>
        <row r="943">
          <cell r="A943">
            <v>0</v>
          </cell>
          <cell r="B943" t="str">
            <v>132-2000-2014 этап 01 СЧ ОКР База-М (Совершенствование 2)</v>
          </cell>
        </row>
        <row r="944">
          <cell r="A944">
            <v>0</v>
          </cell>
          <cell r="B944" t="str">
            <v>132-2000-2014 этап 01 СЧ ОКР База-М (Совершенствование 2)</v>
          </cell>
        </row>
        <row r="945">
          <cell r="A945">
            <v>0</v>
          </cell>
          <cell r="B945" t="str">
            <v>132-2000-2014 этап 01 СЧ ОКР База-М (Совершенствование 2)</v>
          </cell>
        </row>
        <row r="946">
          <cell r="A946">
            <v>0</v>
          </cell>
          <cell r="B946" t="str">
            <v>132-2000-2014 этап 01 СЧ ОКР База-М (Совершенствование 2)</v>
          </cell>
        </row>
        <row r="947">
          <cell r="A947">
            <v>0</v>
          </cell>
          <cell r="B947" t="str">
            <v>217-2100-2011 этап 07 ОКР Отработка-К</v>
          </cell>
        </row>
        <row r="948">
          <cell r="A948">
            <v>0</v>
          </cell>
          <cell r="B948" t="str">
            <v>217-2100-2011 этап 07 ОКР Отработка-К</v>
          </cell>
        </row>
        <row r="949">
          <cell r="A949">
            <v>0</v>
          </cell>
          <cell r="B949" t="str">
            <v>217-2100-2011 этап 07 ОКР Отработка-К</v>
          </cell>
        </row>
        <row r="950">
          <cell r="A950">
            <v>0</v>
          </cell>
          <cell r="B950" t="str">
            <v>217-2100-2011 этап 07 ОКР Отработка-К</v>
          </cell>
        </row>
        <row r="951">
          <cell r="A951">
            <v>0</v>
          </cell>
          <cell r="B951" t="str">
            <v>9-5551-2004 этап 25.1  ОКР Лиана</v>
          </cell>
        </row>
        <row r="952">
          <cell r="A952">
            <v>0</v>
          </cell>
          <cell r="B952" t="str">
            <v>9-5551-2004 этап 25.1  ОКР Лиана</v>
          </cell>
        </row>
        <row r="953">
          <cell r="A953">
            <v>0</v>
          </cell>
          <cell r="B953" t="str">
            <v>9-5551-2004 этап 25.1  ОКР Лиана</v>
          </cell>
        </row>
        <row r="954">
          <cell r="A954">
            <v>0</v>
          </cell>
          <cell r="B954" t="str">
            <v>9-5551-2004 этап 25.1  ОКР Лиана</v>
          </cell>
        </row>
        <row r="955">
          <cell r="A955">
            <v>0</v>
          </cell>
          <cell r="B955" t="str">
            <v>217-2100-2011 этап 07 ОКР Отработка-К</v>
          </cell>
        </row>
        <row r="956">
          <cell r="A956">
            <v>0</v>
          </cell>
          <cell r="B956" t="str">
            <v>217-2100-2011 этап 07 ОКР Отработка-К</v>
          </cell>
        </row>
        <row r="957">
          <cell r="A957">
            <v>0</v>
          </cell>
          <cell r="B957" t="str">
            <v>217-2100-2011 этап 07 ОКР Отработка-К</v>
          </cell>
        </row>
        <row r="958">
          <cell r="A958">
            <v>0</v>
          </cell>
          <cell r="B958" t="str">
            <v>217-2100-2011 этап 07 ОКР Отработка-К</v>
          </cell>
        </row>
        <row r="959">
          <cell r="A959">
            <v>0</v>
          </cell>
          <cell r="B959" t="str">
            <v>69-2000-2012 этап 03 ОКР База-М-(Совершенствование)</v>
          </cell>
        </row>
        <row r="960">
          <cell r="A960">
            <v>0</v>
          </cell>
          <cell r="B960" t="str">
            <v>69-2000-2012 этап 03 ОКР База-М-(Совершенствование)</v>
          </cell>
        </row>
        <row r="961">
          <cell r="A961">
            <v>0</v>
          </cell>
          <cell r="B961" t="str">
            <v>69-2000-2012 этап 03 ОКР База-М-(Совершенствование)</v>
          </cell>
        </row>
        <row r="962">
          <cell r="A962">
            <v>0</v>
          </cell>
          <cell r="B962" t="str">
            <v>69-2000-2012 этап 03 ОКР База-М-(Совершенствование)</v>
          </cell>
        </row>
        <row r="963">
          <cell r="A963">
            <v>0</v>
          </cell>
          <cell r="B963" t="str">
            <v>217-2100-2011 этап 07 ОКР Отработка-К</v>
          </cell>
        </row>
        <row r="964">
          <cell r="A964">
            <v>0</v>
          </cell>
          <cell r="B964" t="str">
            <v>217-2100-2011 этап 07 ОКР Отработка-К</v>
          </cell>
        </row>
        <row r="965">
          <cell r="A965">
            <v>0</v>
          </cell>
          <cell r="B965" t="str">
            <v>217-2100-2011 этап 07 ОКР Отработка-К</v>
          </cell>
        </row>
        <row r="966">
          <cell r="A966">
            <v>0</v>
          </cell>
          <cell r="B966" t="str">
            <v>217-2100-2011 этап 07 ОКР Отработка-К</v>
          </cell>
        </row>
        <row r="967">
          <cell r="A967">
            <v>0</v>
          </cell>
          <cell r="B967" t="str">
            <v>217-2100-2011 этап 07 ОКР Отработка-К</v>
          </cell>
        </row>
        <row r="968">
          <cell r="A968">
            <v>0</v>
          </cell>
          <cell r="B968" t="str">
            <v>217-2100-2011 этап 07 ОКР Отработка-К</v>
          </cell>
        </row>
        <row r="969">
          <cell r="A969">
            <v>0</v>
          </cell>
          <cell r="B969" t="str">
            <v>217-2100-2011 этап 07 ОКР Отработка-К</v>
          </cell>
        </row>
        <row r="970">
          <cell r="A970">
            <v>0</v>
          </cell>
          <cell r="B970" t="str">
            <v>217-2100-2011 этап 07 ОКР Отработка-К</v>
          </cell>
        </row>
        <row r="971">
          <cell r="A971">
            <v>0</v>
          </cell>
          <cell r="B971" t="str">
            <v>235-5556-2011 этап 04 ОКР КТКиСБ</v>
          </cell>
        </row>
        <row r="972">
          <cell r="A972">
            <v>0</v>
          </cell>
          <cell r="B972" t="str">
            <v>235-5556-2011 этап 04 ОКР КТКиСБ</v>
          </cell>
        </row>
        <row r="973">
          <cell r="A973">
            <v>0</v>
          </cell>
          <cell r="B973" t="str">
            <v>235-5556-2011 этап 04 ОКР КТКиСБ</v>
          </cell>
        </row>
        <row r="974">
          <cell r="A974">
            <v>0</v>
          </cell>
          <cell r="B974" t="str">
            <v>235-5556-2011 этап 04 ОКР КТКиСБ</v>
          </cell>
        </row>
        <row r="975">
          <cell r="A975">
            <v>0</v>
          </cell>
          <cell r="B975" t="str">
            <v>87-2206-2008 этап 14 ОКР Ангара</v>
          </cell>
        </row>
        <row r="976">
          <cell r="A976">
            <v>0</v>
          </cell>
          <cell r="B976" t="str">
            <v>87-2206-2008 этап 14 ОКР Ангара</v>
          </cell>
        </row>
        <row r="977">
          <cell r="A977">
            <v>0</v>
          </cell>
          <cell r="B977" t="str">
            <v>87-2206-2008 этап 14 ОКР Ангара</v>
          </cell>
        </row>
        <row r="978">
          <cell r="A978">
            <v>0</v>
          </cell>
          <cell r="B978" t="str">
            <v>87-2206-2008 этап 14 ОКР Ангара</v>
          </cell>
        </row>
        <row r="979">
          <cell r="A979">
            <v>0</v>
          </cell>
          <cell r="B979" t="str">
            <v>87-2206-2008 этап 17 ОКР Ангара</v>
          </cell>
        </row>
        <row r="980">
          <cell r="A980">
            <v>0</v>
          </cell>
          <cell r="B980" t="str">
            <v>87-2206-2008 этап 17 ОКР Ангара</v>
          </cell>
        </row>
        <row r="981">
          <cell r="A981">
            <v>0</v>
          </cell>
          <cell r="B981" t="str">
            <v>87-2206-2008 этап 17 ОКР Ангара</v>
          </cell>
        </row>
        <row r="982">
          <cell r="A982">
            <v>0</v>
          </cell>
          <cell r="B982" t="str">
            <v>87-2206-2008 этап 17 ОКР Ангара</v>
          </cell>
        </row>
        <row r="983">
          <cell r="A983">
            <v>67</v>
          </cell>
          <cell r="B983" t="str">
            <v>94-4152-2014 этап 01 СЧ ОКР Фрегат-МТ</v>
          </cell>
        </row>
        <row r="984">
          <cell r="A984">
            <v>0</v>
          </cell>
          <cell r="B984" t="str">
            <v>94-4152-2014 этап 01 СЧ ОКР Фрегат-МТ</v>
          </cell>
        </row>
        <row r="985">
          <cell r="A985">
            <v>0</v>
          </cell>
          <cell r="B985" t="str">
            <v>94-4152-2014 этап 01 СЧ ОКР Фрегат-МТ</v>
          </cell>
        </row>
        <row r="986">
          <cell r="A986">
            <v>0</v>
          </cell>
          <cell r="B986" t="str">
            <v>94-4152-2014 этап 01 СЧ ОКР Фрегат-МТ</v>
          </cell>
        </row>
        <row r="987">
          <cell r="A987">
            <v>0</v>
          </cell>
          <cell r="B987" t="str">
            <v>Ц-5556/2011 этап 04 ОКР КТКиСб-Ц</v>
          </cell>
        </row>
        <row r="988">
          <cell r="A988">
            <v>0</v>
          </cell>
          <cell r="B988" t="str">
            <v>Ц-5556/2011 этап 04 ОКР КТКиСб-Ц</v>
          </cell>
        </row>
        <row r="989">
          <cell r="A989">
            <v>0</v>
          </cell>
          <cell r="B989" t="str">
            <v>Ц-5556/2011 этап 04 ОКР КТКиСб-Ц</v>
          </cell>
        </row>
        <row r="990">
          <cell r="A990">
            <v>0</v>
          </cell>
          <cell r="B990" t="str">
            <v>Ц-5556/2011 этап 04 ОКР КТКиСб-Ц</v>
          </cell>
        </row>
        <row r="991">
          <cell r="A991">
            <v>68</v>
          </cell>
          <cell r="B991" t="str">
            <v xml:space="preserve">16-1313-2013 этап 15 CЧ ОКР МКС (Надежность-Наука) </v>
          </cell>
        </row>
        <row r="992">
          <cell r="A992">
            <v>0</v>
          </cell>
          <cell r="B992" t="str">
            <v xml:space="preserve">16-1313-2013 этап 15 CЧ ОКР МКС (Надежность-Наука) </v>
          </cell>
        </row>
        <row r="993">
          <cell r="A993">
            <v>0</v>
          </cell>
          <cell r="B993" t="str">
            <v xml:space="preserve">16-1313-2013 этап 15 CЧ ОКР МКС (Надежность-Наука) </v>
          </cell>
        </row>
        <row r="994">
          <cell r="A994">
            <v>0</v>
          </cell>
          <cell r="B994" t="str">
            <v xml:space="preserve">16-1313-2013 этап 15 CЧ ОКР МКС (Надежность-Наука) </v>
          </cell>
        </row>
        <row r="995">
          <cell r="A995">
            <v>69</v>
          </cell>
          <cell r="B995" t="str">
            <v>175-2100-2014 этап 08 ОКР Гиперзвук РКТ</v>
          </cell>
        </row>
        <row r="996">
          <cell r="A996">
            <v>0</v>
          </cell>
          <cell r="B996" t="str">
            <v>175-2100-2014 этап 08 ОКР Гиперзвук РКТ</v>
          </cell>
        </row>
        <row r="997">
          <cell r="A997">
            <v>0</v>
          </cell>
          <cell r="B997" t="str">
            <v>175-2100-2014 этап 08 ОКР Гиперзвук РКТ</v>
          </cell>
        </row>
        <row r="998">
          <cell r="A998">
            <v>0</v>
          </cell>
          <cell r="B998" t="str">
            <v>175-2100-2014 этап 08 ОКР Гиперзвук РКТ</v>
          </cell>
        </row>
        <row r="999">
          <cell r="A999">
            <v>0</v>
          </cell>
          <cell r="B999" t="str">
            <v>310-5557-2013 этап 01 СЧ ОКР САРМАТ</v>
          </cell>
        </row>
        <row r="1000">
          <cell r="A1000">
            <v>0</v>
          </cell>
          <cell r="B1000" t="str">
            <v>310-5557-2013 этап 01 СЧ ОКР САРМАТ</v>
          </cell>
        </row>
        <row r="1001">
          <cell r="A1001">
            <v>0</v>
          </cell>
          <cell r="B1001" t="str">
            <v>310-5557-2013 этап 01 СЧ ОКР САРМАТ</v>
          </cell>
        </row>
        <row r="1002">
          <cell r="A1002">
            <v>0</v>
          </cell>
          <cell r="B1002" t="str">
            <v>310-5557-2013 этап 01 СЧ ОКР САРМАТ</v>
          </cell>
        </row>
        <row r="1003">
          <cell r="A1003">
            <v>0</v>
          </cell>
          <cell r="B1003" t="str">
            <v>91-2107-2012 этап 03 ОКР АСиМО</v>
          </cell>
        </row>
        <row r="1004">
          <cell r="A1004">
            <v>0</v>
          </cell>
          <cell r="B1004" t="str">
            <v>91-2107-2012 этап 03 ОКР АСиМО</v>
          </cell>
        </row>
        <row r="1005">
          <cell r="A1005">
            <v>0</v>
          </cell>
          <cell r="B1005" t="str">
            <v>91-2107-2012 этап 03 ОКР АСиМО</v>
          </cell>
        </row>
        <row r="1006">
          <cell r="A1006">
            <v>0</v>
          </cell>
          <cell r="B1006" t="str">
            <v>91-2107-2012 этап 03 ОКР АСиМО</v>
          </cell>
        </row>
        <row r="1007">
          <cell r="A1007">
            <v>0</v>
          </cell>
          <cell r="B1007" t="str">
            <v>96-4014-2014 этап 01 ОКР Ударение</v>
          </cell>
        </row>
        <row r="1008">
          <cell r="A1008">
            <v>0</v>
          </cell>
          <cell r="B1008" t="str">
            <v>96-4014-2014 этап 01 ОКР Ударение</v>
          </cell>
        </row>
        <row r="1009">
          <cell r="A1009">
            <v>0</v>
          </cell>
          <cell r="B1009" t="str">
            <v>96-4014-2014 этап 01 ОКР Ударение</v>
          </cell>
        </row>
        <row r="1010">
          <cell r="A1010">
            <v>0</v>
          </cell>
          <cell r="B1010" t="str">
            <v>96-4014-2014 этап 01 ОКР Ударение</v>
          </cell>
        </row>
        <row r="1011">
          <cell r="A1011">
            <v>70</v>
          </cell>
          <cell r="B1011" t="str">
            <v>120-5558-2014 этап 01 СЧ ОКР Союз-Восток</v>
          </cell>
        </row>
        <row r="1012">
          <cell r="A1012">
            <v>0</v>
          </cell>
          <cell r="B1012" t="str">
            <v>120-5558-2014 этап 01 СЧ ОКР Союз-Восток</v>
          </cell>
        </row>
        <row r="1013">
          <cell r="A1013">
            <v>0</v>
          </cell>
          <cell r="B1013" t="str">
            <v>120-5558-2014 этап 01 СЧ ОКР Союз-Восток</v>
          </cell>
        </row>
        <row r="1014">
          <cell r="A1014">
            <v>0</v>
          </cell>
          <cell r="B1014" t="str">
            <v>120-5558-2014 этап 01 СЧ ОКР Союз-Восток</v>
          </cell>
        </row>
        <row r="1015">
          <cell r="A1015">
            <v>71</v>
          </cell>
          <cell r="B1015" t="str">
            <v>121-5558-2014 этап 01 СЧ ОКР Союз-Восток</v>
          </cell>
        </row>
        <row r="1016">
          <cell r="A1016">
            <v>0</v>
          </cell>
          <cell r="B1016" t="str">
            <v>121-5558-2014 этап 01 СЧ ОКР Союз-Восток</v>
          </cell>
        </row>
        <row r="1017">
          <cell r="A1017">
            <v>0</v>
          </cell>
          <cell r="B1017" t="str">
            <v>121-5558-2014 этап 01 СЧ ОКР Союз-Восток</v>
          </cell>
        </row>
        <row r="1018">
          <cell r="A1018">
            <v>0</v>
          </cell>
          <cell r="B1018" t="str">
            <v>121-5558-2014 этап 01 СЧ ОКР Союз-Восток</v>
          </cell>
        </row>
        <row r="1019">
          <cell r="A1019">
            <v>72</v>
          </cell>
          <cell r="B1019" t="str">
            <v>122-5558-2014 этап 01 СЧ ОКР Союз-Восток</v>
          </cell>
        </row>
        <row r="1020">
          <cell r="A1020">
            <v>0</v>
          </cell>
          <cell r="B1020" t="str">
            <v>122-5558-2014 этап 01 СЧ ОКР Союз-Восток</v>
          </cell>
        </row>
        <row r="1021">
          <cell r="A1021">
            <v>0</v>
          </cell>
          <cell r="B1021" t="str">
            <v>122-5558-2014 этап 01 СЧ ОКР Союз-Восток</v>
          </cell>
        </row>
        <row r="1022">
          <cell r="A1022">
            <v>0</v>
          </cell>
          <cell r="B1022" t="str">
            <v>122-5558-2014 этап 01 СЧ ОКР Союз-Восток</v>
          </cell>
        </row>
        <row r="1023">
          <cell r="A1023">
            <v>73</v>
          </cell>
          <cell r="B1023" t="str">
            <v xml:space="preserve">123-5558-2014  этап 01 СЧ ОКР Союз-Восток </v>
          </cell>
        </row>
        <row r="1024">
          <cell r="A1024">
            <v>0</v>
          </cell>
          <cell r="B1024" t="str">
            <v xml:space="preserve">123-5558-2014  этап 01 СЧ ОКР Союз-Восток </v>
          </cell>
        </row>
        <row r="1025">
          <cell r="A1025">
            <v>0</v>
          </cell>
          <cell r="B1025" t="str">
            <v xml:space="preserve">123-5558-2014  этап 01 СЧ ОКР Союз-Восток </v>
          </cell>
        </row>
        <row r="1026">
          <cell r="A1026">
            <v>0</v>
          </cell>
          <cell r="B1026" t="str">
            <v xml:space="preserve">123-5558-2014  этап 01 СЧ ОКР Союз-Восток </v>
          </cell>
        </row>
        <row r="1027">
          <cell r="A1027">
            <v>0</v>
          </cell>
          <cell r="B1027" t="str">
            <v>130-5558-2014 этап 01 СЧ ОКР РН Ангара 1.2</v>
          </cell>
        </row>
        <row r="1028">
          <cell r="A1028">
            <v>0</v>
          </cell>
          <cell r="B1028" t="str">
            <v>130-5558-2014 этап 01 СЧ ОКР РН Ангара 1.2</v>
          </cell>
        </row>
        <row r="1029">
          <cell r="A1029">
            <v>0</v>
          </cell>
          <cell r="B1029" t="str">
            <v>130-5558-2014 этап 01 СЧ ОКР РН Ангара 1.2</v>
          </cell>
        </row>
        <row r="1030">
          <cell r="A1030">
            <v>0</v>
          </cell>
          <cell r="B1030" t="str">
            <v>130-5558-2014 этап 01 СЧ ОКР РН Ангара 1.2</v>
          </cell>
        </row>
        <row r="1031">
          <cell r="A1031">
            <v>0</v>
          </cell>
          <cell r="B1031" t="str">
            <v>53-5558-2014 этап 02 СЧ НИР ГПВРД</v>
          </cell>
        </row>
        <row r="1032">
          <cell r="A1032">
            <v>0</v>
          </cell>
          <cell r="B1032" t="str">
            <v>53-5558-2014 этап 02 СЧ НИР ГПВРД</v>
          </cell>
        </row>
        <row r="1033">
          <cell r="A1033">
            <v>0</v>
          </cell>
          <cell r="B1033" t="str">
            <v>53-5558-2014 этап 02 СЧ НИР ГПВРД</v>
          </cell>
        </row>
        <row r="1034">
          <cell r="A1034">
            <v>0</v>
          </cell>
          <cell r="B1034" t="str">
            <v>53-5558-2014 этап 02 СЧ НИР ГПВРД</v>
          </cell>
        </row>
        <row r="1035">
          <cell r="A1035">
            <v>0</v>
          </cell>
          <cell r="B1035" t="str">
            <v>130-5558-2014 этап 01 СЧ ОКР РН Ангара 1.2</v>
          </cell>
        </row>
        <row r="1036">
          <cell r="A1036">
            <v>0</v>
          </cell>
          <cell r="B1036" t="str">
            <v>130-5558-2014 этап 01 СЧ ОКР РН Ангара 1.2</v>
          </cell>
        </row>
        <row r="1037">
          <cell r="A1037">
            <v>0</v>
          </cell>
          <cell r="B1037" t="str">
            <v>130-5558-2014 этап 01 СЧ ОКР РН Ангара 1.2</v>
          </cell>
        </row>
        <row r="1038">
          <cell r="A1038">
            <v>0</v>
          </cell>
          <cell r="B1038" t="str">
            <v>130-5558-2014 этап 01 СЧ ОКР РН Ангара 1.2</v>
          </cell>
        </row>
        <row r="1039">
          <cell r="A1039">
            <v>0</v>
          </cell>
          <cell r="B1039" t="str">
            <v>53-5558-2014 этап 02 СЧ НИР ГПВРД</v>
          </cell>
        </row>
        <row r="1040">
          <cell r="A1040">
            <v>0</v>
          </cell>
          <cell r="B1040" t="str">
            <v>53-5558-2014 этап 02 СЧ НИР ГПВРД</v>
          </cell>
        </row>
        <row r="1041">
          <cell r="A1041">
            <v>0</v>
          </cell>
          <cell r="B1041" t="str">
            <v>53-5558-2014 этап 02 СЧ НИР ГПВРД</v>
          </cell>
        </row>
        <row r="1042">
          <cell r="A1042">
            <v>0</v>
          </cell>
          <cell r="B1042" t="str">
            <v>53-5558-2014 этап 02 СЧ НИР ГПВРД</v>
          </cell>
        </row>
        <row r="1043">
          <cell r="A1043">
            <v>0</v>
          </cell>
          <cell r="B1043" t="str">
            <v>69-2000-2012 этап 03 ОКР База-М-(Совершенствование)</v>
          </cell>
        </row>
        <row r="1044">
          <cell r="A1044">
            <v>0</v>
          </cell>
          <cell r="B1044" t="str">
            <v>69-2000-2012 этап 03 ОКР База-М-(Совершенствование)</v>
          </cell>
        </row>
        <row r="1045">
          <cell r="A1045">
            <v>0</v>
          </cell>
          <cell r="B1045" t="str">
            <v>69-2000-2012 этап 03 ОКР База-М-(Совершенствование)</v>
          </cell>
        </row>
        <row r="1046">
          <cell r="A1046">
            <v>0</v>
          </cell>
          <cell r="B1046" t="str">
            <v>69-2000-2012 этап 03 ОКР База-М-(Совершенствование)</v>
          </cell>
        </row>
        <row r="1047">
          <cell r="A1047">
            <v>74</v>
          </cell>
          <cell r="B1047" t="str">
            <v xml:space="preserve">118-4151-2014 этап 01 СЧ ОКР Союз-СТ КА ОЗВ №2 </v>
          </cell>
        </row>
        <row r="1048">
          <cell r="A1048">
            <v>0</v>
          </cell>
          <cell r="B1048" t="str">
            <v xml:space="preserve">118-4151-2014 этап 01 СЧ ОКР Союз-СТ КА ОЗВ №2 </v>
          </cell>
        </row>
        <row r="1049">
          <cell r="A1049">
            <v>0</v>
          </cell>
          <cell r="B1049" t="str">
            <v xml:space="preserve">118-4151-2014 этап 01 СЧ ОКР Союз-СТ КА ОЗВ №2 </v>
          </cell>
        </row>
        <row r="1050">
          <cell r="A1050">
            <v>0</v>
          </cell>
          <cell r="B1050" t="str">
            <v xml:space="preserve">118-4151-2014 этап 01 СЧ ОКР Союз-СТ КА ОЗВ №2 </v>
          </cell>
        </row>
        <row r="1051">
          <cell r="A1051">
            <v>0</v>
          </cell>
          <cell r="B1051" t="str">
            <v>120-5558-2014 этап 01 СЧ ОКР Союз-Восток</v>
          </cell>
        </row>
        <row r="1052">
          <cell r="A1052">
            <v>0</v>
          </cell>
          <cell r="B1052" t="str">
            <v>120-5558-2014 этап 01 СЧ ОКР Союз-Восток</v>
          </cell>
        </row>
        <row r="1053">
          <cell r="A1053">
            <v>0</v>
          </cell>
          <cell r="B1053" t="str">
            <v>120-5558-2014 этап 01 СЧ ОКР Союз-Восток</v>
          </cell>
        </row>
        <row r="1054">
          <cell r="A1054">
            <v>0</v>
          </cell>
          <cell r="B1054" t="str">
            <v>120-5558-2014 этап 01 СЧ ОКР Союз-Восток</v>
          </cell>
        </row>
        <row r="1055">
          <cell r="A1055">
            <v>75</v>
          </cell>
          <cell r="B1055" t="str">
            <v>138-5551-2014 этап 01 СЧ ОКР Выносливость</v>
          </cell>
        </row>
        <row r="1056">
          <cell r="A1056">
            <v>0</v>
          </cell>
          <cell r="B1056" t="str">
            <v>138-5551-2014 этап 01 СЧ ОКР Выносливость</v>
          </cell>
        </row>
        <row r="1057">
          <cell r="A1057">
            <v>0</v>
          </cell>
          <cell r="B1057" t="str">
            <v>138-5551-2014 этап 01 СЧ ОКР Выносливость</v>
          </cell>
        </row>
        <row r="1058">
          <cell r="A1058">
            <v>0</v>
          </cell>
          <cell r="B1058" t="str">
            <v>138-5551-2014 этап 01 СЧ ОКР Выносливость</v>
          </cell>
        </row>
        <row r="1059">
          <cell r="A1059">
            <v>76</v>
          </cell>
          <cell r="B1059" t="str">
            <v>148-5551-2014 этап 01 СЧ ОКР КМ24-02-000</v>
          </cell>
        </row>
        <row r="1060">
          <cell r="A1060">
            <v>0</v>
          </cell>
          <cell r="B1060" t="str">
            <v>148-5551-2014 этап 01 СЧ ОКР КМ24-02-000</v>
          </cell>
        </row>
        <row r="1061">
          <cell r="A1061">
            <v>0</v>
          </cell>
          <cell r="B1061" t="str">
            <v>148-5551-2014 этап 01 СЧ ОКР КМ24-02-000</v>
          </cell>
        </row>
        <row r="1062">
          <cell r="A1062">
            <v>0</v>
          </cell>
          <cell r="B1062" t="str">
            <v>148-5551-2014 этап 01 СЧ ОКР КМ24-02-000</v>
          </cell>
        </row>
        <row r="1063">
          <cell r="A1063">
            <v>77</v>
          </cell>
          <cell r="B1063" t="str">
            <v>153-1035-2014 этап 02 СЧ НИР Магистраль (Задел-АКА)</v>
          </cell>
        </row>
        <row r="1064">
          <cell r="A1064">
            <v>0</v>
          </cell>
          <cell r="B1064" t="str">
            <v>153-1035-2014 этап 02 СЧ НИР Магистраль (Задел-АКА)</v>
          </cell>
        </row>
        <row r="1065">
          <cell r="A1065">
            <v>0</v>
          </cell>
          <cell r="B1065" t="str">
            <v>153-1035-2014 этап 02 СЧ НИР Магистраль (Задел-АКА)</v>
          </cell>
        </row>
        <row r="1066">
          <cell r="A1066">
            <v>0</v>
          </cell>
          <cell r="B1066" t="str">
            <v>153-1035-2014 этап 02 СЧ НИР Магистраль (Задел-АКА)</v>
          </cell>
        </row>
        <row r="1067">
          <cell r="A1067">
            <v>0</v>
          </cell>
          <cell r="B1067" t="str">
            <v xml:space="preserve">16-1313-2013 этап 11 CЧ ОКР МКС (Надежность-Наука) </v>
          </cell>
        </row>
        <row r="1068">
          <cell r="A1068">
            <v>0</v>
          </cell>
          <cell r="B1068" t="str">
            <v xml:space="preserve">16-1313-2013 этап 11 CЧ ОКР МКС (Надежность-Наука) </v>
          </cell>
        </row>
        <row r="1069">
          <cell r="A1069">
            <v>0</v>
          </cell>
          <cell r="B1069" t="str">
            <v xml:space="preserve">16-1313-2013 этап 11 CЧ ОКР МКС (Надежность-Наука) </v>
          </cell>
        </row>
        <row r="1070">
          <cell r="A1070">
            <v>0</v>
          </cell>
          <cell r="B1070" t="str">
            <v xml:space="preserve">16-1313-2013 этап 11 CЧ ОКР МКС (Надежность-Наука) </v>
          </cell>
        </row>
        <row r="1071">
          <cell r="A1071">
            <v>0</v>
          </cell>
          <cell r="B1071" t="str">
            <v xml:space="preserve">16-1313-2013 этап 12 CЧ ОКР МКС (Надежность-Наука) </v>
          </cell>
        </row>
        <row r="1072">
          <cell r="A1072">
            <v>0</v>
          </cell>
          <cell r="B1072" t="str">
            <v xml:space="preserve">16-1313-2013 этап 12 CЧ ОКР МКС (Надежность-Наука) </v>
          </cell>
        </row>
        <row r="1073">
          <cell r="A1073">
            <v>0</v>
          </cell>
          <cell r="B1073" t="str">
            <v xml:space="preserve">16-1313-2013 этап 12 CЧ ОКР МКС (Надежность-Наука) </v>
          </cell>
        </row>
        <row r="1074">
          <cell r="A1074">
            <v>0</v>
          </cell>
          <cell r="B1074" t="str">
            <v xml:space="preserve">16-1313-2013 этап 12 CЧ ОКР МКС (Надежность-Наука) </v>
          </cell>
        </row>
        <row r="1075">
          <cell r="A1075">
            <v>78</v>
          </cell>
          <cell r="B1075" t="str">
            <v>323-4152-2013 этап 01 ОКР КА Экспресс-АМ8</v>
          </cell>
        </row>
        <row r="1076">
          <cell r="A1076">
            <v>0</v>
          </cell>
          <cell r="B1076" t="str">
            <v>323-4152-2013 этап 01 ОКР КА Экспресс-АМ8</v>
          </cell>
        </row>
        <row r="1077">
          <cell r="A1077">
            <v>0</v>
          </cell>
          <cell r="B1077" t="str">
            <v>323-4152-2013 этап 01 ОКР КА Экспресс-АМ8</v>
          </cell>
        </row>
        <row r="1078">
          <cell r="A1078">
            <v>0</v>
          </cell>
          <cell r="B1078" t="str">
            <v>323-4152-2013 этап 01 ОКР КА Экспресс-АМ8</v>
          </cell>
        </row>
        <row r="1079">
          <cell r="A1079">
            <v>79</v>
          </cell>
          <cell r="B1079" t="str">
            <v>63-1324-2013 этап 01 СЧ ОКР Спектр-М-С2</v>
          </cell>
        </row>
        <row r="1080">
          <cell r="A1080">
            <v>0</v>
          </cell>
          <cell r="B1080" t="str">
            <v>63-1324-2013 этап 01 СЧ ОКР Спектр-М-С2</v>
          </cell>
        </row>
        <row r="1081">
          <cell r="A1081">
            <v>0</v>
          </cell>
          <cell r="B1081" t="str">
            <v>63-1324-2013 этап 01 СЧ ОКР Спектр-М-С2</v>
          </cell>
        </row>
        <row r="1082">
          <cell r="A1082">
            <v>0</v>
          </cell>
          <cell r="B1082" t="str">
            <v>63-1324-2013 этап 01 СЧ ОКР Спектр-М-С2</v>
          </cell>
        </row>
        <row r="1083">
          <cell r="A1083">
            <v>0</v>
          </cell>
          <cell r="B1083" t="str">
            <v>85-4222-2012 этап 03 ОКР Надежность КА и СВ</v>
          </cell>
        </row>
        <row r="1084">
          <cell r="A1084">
            <v>0</v>
          </cell>
          <cell r="B1084" t="str">
            <v>85-4222-2012 этап 03 ОКР Надежность КА и СВ</v>
          </cell>
        </row>
        <row r="1085">
          <cell r="A1085">
            <v>0</v>
          </cell>
          <cell r="B1085" t="str">
            <v>85-4222-2012 этап 03 ОКР Надежность КА и СВ</v>
          </cell>
        </row>
        <row r="1086">
          <cell r="A1086">
            <v>0</v>
          </cell>
          <cell r="B1086" t="str">
            <v>85-4222-2012 этап 03 ОКР Надежность КА и СВ</v>
          </cell>
        </row>
        <row r="1087">
          <cell r="A1087">
            <v>0</v>
          </cell>
          <cell r="B1087" t="str">
            <v>121-5558-2014 этап 01 СЧ ОКР Союз-Восток</v>
          </cell>
        </row>
        <row r="1088">
          <cell r="A1088">
            <v>0</v>
          </cell>
          <cell r="B1088" t="str">
            <v>121-5558-2014 этап 01 СЧ ОКР Союз-Восток</v>
          </cell>
        </row>
        <row r="1089">
          <cell r="A1089">
            <v>0</v>
          </cell>
          <cell r="B1089" t="str">
            <v>121-5558-2014 этап 01 СЧ ОКР Союз-Восток</v>
          </cell>
        </row>
        <row r="1090">
          <cell r="A1090">
            <v>0</v>
          </cell>
          <cell r="B1090" t="str">
            <v>121-5558-2014 этап 01 СЧ ОКР Союз-Восток</v>
          </cell>
        </row>
        <row r="1091">
          <cell r="A1091">
            <v>80</v>
          </cell>
          <cell r="B1091" t="str">
            <v>159-1201-2014 этап 01 СЧ ОКР Астра-2Ж</v>
          </cell>
        </row>
        <row r="1092">
          <cell r="A1092">
            <v>0</v>
          </cell>
          <cell r="B1092" t="str">
            <v>159-1201-2014 этап 01 СЧ ОКР Астра-2Ж</v>
          </cell>
        </row>
        <row r="1093">
          <cell r="A1093">
            <v>0</v>
          </cell>
          <cell r="B1093" t="str">
            <v>159-1201-2014 этап 01 СЧ ОКР Астра-2Ж</v>
          </cell>
        </row>
        <row r="1094">
          <cell r="A1094">
            <v>0</v>
          </cell>
          <cell r="B1094" t="str">
            <v>159-1201-2014 этап 01 СЧ ОКР Астра-2Ж</v>
          </cell>
        </row>
        <row r="1095">
          <cell r="A1095">
            <v>81</v>
          </cell>
          <cell r="B1095" t="str">
            <v>181-5558-2014 этап 01 СЧ ОКР Союз-Восток</v>
          </cell>
        </row>
        <row r="1096">
          <cell r="A1096">
            <v>0</v>
          </cell>
          <cell r="B1096" t="str">
            <v>181-5558-2014 этап 01 СЧ ОКР Союз-Восток</v>
          </cell>
        </row>
        <row r="1097">
          <cell r="A1097">
            <v>0</v>
          </cell>
          <cell r="B1097" t="str">
            <v>181-5558-2014 этап 01 СЧ ОКР Союз-Восток</v>
          </cell>
        </row>
        <row r="1098">
          <cell r="A1098">
            <v>0</v>
          </cell>
          <cell r="B1098" t="str">
            <v>181-5558-2014 этап 01 СЧ ОКР Союз-Восток</v>
          </cell>
        </row>
        <row r="1099">
          <cell r="A1099">
            <v>82</v>
          </cell>
          <cell r="B1099" t="str">
            <v>187-1201-2014 этап 01 СЧ ОКР РКК с ТПК и ТГК-Экспертиза-ЦНИИмаш</v>
          </cell>
        </row>
        <row r="1100">
          <cell r="A1100">
            <v>0</v>
          </cell>
          <cell r="B1100" t="str">
            <v>187-1201-2014 этап 01 СЧ ОКР РКК с ТПК и ТГК-Экспертиза-ЦНИИмаш</v>
          </cell>
        </row>
        <row r="1101">
          <cell r="A1101">
            <v>0</v>
          </cell>
          <cell r="B1101" t="str">
            <v>187-1201-2014 этап 01 СЧ ОКР РКК с ТПК и ТГК-Экспертиза-ЦНИИмаш</v>
          </cell>
        </row>
        <row r="1102">
          <cell r="A1102">
            <v>0</v>
          </cell>
          <cell r="B1102" t="str">
            <v>187-1201-2014 этап 01 СЧ ОКР РКК с ТПК и ТГК-Экспертиза-ЦНИИмаш</v>
          </cell>
        </row>
        <row r="1103">
          <cell r="A1103">
            <v>0</v>
          </cell>
          <cell r="B1103" t="str">
            <v>69-2000-2012 этап 03 ОКР База-М-(Совершенствование)</v>
          </cell>
        </row>
        <row r="1104">
          <cell r="A1104">
            <v>0</v>
          </cell>
          <cell r="B1104" t="str">
            <v>69-2000-2012 этап 03 ОКР База-М-(Совершенствование)</v>
          </cell>
        </row>
        <row r="1105">
          <cell r="A1105">
            <v>0</v>
          </cell>
          <cell r="B1105" t="str">
            <v>69-2000-2012 этап 03 ОКР База-М-(Совершенствование)</v>
          </cell>
        </row>
        <row r="1106">
          <cell r="A1106">
            <v>0</v>
          </cell>
          <cell r="B1106" t="str">
            <v>69-2000-2012 этап 03 ОКР База-М-(Совершенствование)</v>
          </cell>
        </row>
        <row r="1107">
          <cell r="A1107">
            <v>83</v>
          </cell>
          <cell r="B1107" t="str">
            <v>89-5550-2014 этап 01 СЧ ОКР Экспресс-АМ8</v>
          </cell>
        </row>
        <row r="1108">
          <cell r="A1108">
            <v>0</v>
          </cell>
          <cell r="B1108" t="str">
            <v>89-5550-2014 этап 01 СЧ ОКР Экспресс-АМ8</v>
          </cell>
        </row>
        <row r="1109">
          <cell r="A1109">
            <v>0</v>
          </cell>
          <cell r="B1109" t="str">
            <v>89-5550-2014 этап 01 СЧ ОКР Экспресс-АМ8</v>
          </cell>
        </row>
        <row r="1110">
          <cell r="A1110">
            <v>0</v>
          </cell>
          <cell r="B1110" t="str">
            <v>89-5550-2014 этап 01 СЧ ОКР Экспресс-АМ8</v>
          </cell>
        </row>
        <row r="1111">
          <cell r="A1111">
            <v>0</v>
          </cell>
          <cell r="B1111" t="str">
            <v>9-5551-2004 этап 23  ОКР Лиана</v>
          </cell>
        </row>
        <row r="1112">
          <cell r="A1112">
            <v>0</v>
          </cell>
          <cell r="B1112" t="str">
            <v>9-5551-2004 этап 23  ОКР Лиана</v>
          </cell>
        </row>
        <row r="1113">
          <cell r="A1113">
            <v>0</v>
          </cell>
          <cell r="B1113" t="str">
            <v>9-5551-2004 этап 23  ОКР Лиана</v>
          </cell>
        </row>
        <row r="1114">
          <cell r="A1114">
            <v>0</v>
          </cell>
          <cell r="B1114" t="str">
            <v>9-5551-2004 этап 23  ОКР Лиана</v>
          </cell>
        </row>
        <row r="1115">
          <cell r="A1115">
            <v>0</v>
          </cell>
          <cell r="B1115" t="str">
            <v>9-5551-2004 этап 25.1  ОКР Лиана</v>
          </cell>
        </row>
        <row r="1116">
          <cell r="A1116">
            <v>0</v>
          </cell>
          <cell r="B1116" t="str">
            <v>9-5551-2004 этап 25.1  ОКР Лиана</v>
          </cell>
        </row>
        <row r="1117">
          <cell r="A1117">
            <v>0</v>
          </cell>
          <cell r="B1117" t="str">
            <v>9-5551-2004 этап 25.1  ОКР Лиана</v>
          </cell>
        </row>
        <row r="1118">
          <cell r="A1118">
            <v>0</v>
          </cell>
          <cell r="B1118" t="str">
            <v>9-5551-2004 этап 25.1  ОКР Лиана</v>
          </cell>
        </row>
        <row r="1119">
          <cell r="A1119">
            <v>84</v>
          </cell>
          <cell r="B1119" t="str">
            <v>9-5551-2004 этап 25.2 ОКР Лиана</v>
          </cell>
        </row>
        <row r="1120">
          <cell r="A1120">
            <v>0</v>
          </cell>
          <cell r="B1120" t="str">
            <v>9-5551-2004 этап 25.2 ОКР Лиана</v>
          </cell>
        </row>
        <row r="1121">
          <cell r="A1121">
            <v>0</v>
          </cell>
          <cell r="B1121" t="str">
            <v>9-5551-2004 этап 25.2 ОКР Лиана</v>
          </cell>
        </row>
        <row r="1122">
          <cell r="A1122">
            <v>0</v>
          </cell>
          <cell r="B1122" t="str">
            <v>9-5551-2004 этап 25.2 ОКР Лиана</v>
          </cell>
        </row>
        <row r="1123">
          <cell r="A1123">
            <v>0</v>
          </cell>
          <cell r="B1123" t="str">
            <v>110-2000-2012 этап 27 НИР Эксперимент</v>
          </cell>
        </row>
        <row r="1124">
          <cell r="A1124">
            <v>0</v>
          </cell>
          <cell r="B1124" t="str">
            <v>110-2000-2012 этап 27 НИР Эксперимент</v>
          </cell>
        </row>
        <row r="1125">
          <cell r="A1125">
            <v>0</v>
          </cell>
          <cell r="B1125" t="str">
            <v>110-2000-2012 этап 27 НИР Эксперимент</v>
          </cell>
        </row>
        <row r="1126">
          <cell r="A1126">
            <v>0</v>
          </cell>
          <cell r="B1126" t="str">
            <v>110-2000-2012 этап 27 НИР Эксперимент</v>
          </cell>
        </row>
        <row r="1127">
          <cell r="A1127">
            <v>0</v>
          </cell>
          <cell r="B1127" t="str">
            <v>217-2100-2011 этап 07 ОКР Отработка-К</v>
          </cell>
        </row>
        <row r="1128">
          <cell r="A1128">
            <v>0</v>
          </cell>
          <cell r="B1128" t="str">
            <v>217-2100-2011 этап 07 ОКР Отработка-К</v>
          </cell>
        </row>
        <row r="1129">
          <cell r="A1129">
            <v>0</v>
          </cell>
          <cell r="B1129" t="str">
            <v>217-2100-2011 этап 07 ОКР Отработка-К</v>
          </cell>
        </row>
        <row r="1130">
          <cell r="A1130">
            <v>0</v>
          </cell>
          <cell r="B1130" t="str">
            <v>217-2100-2011 этап 07 ОКР Отработка-К</v>
          </cell>
        </row>
        <row r="1131">
          <cell r="A1131">
            <v>0</v>
          </cell>
          <cell r="B1131" t="str">
            <v>69-2000-2012 этап 03 ОКР База-М-(Совершенствование)</v>
          </cell>
        </row>
        <row r="1132">
          <cell r="A1132">
            <v>0</v>
          </cell>
          <cell r="B1132" t="str">
            <v>69-2000-2012 этап 03 ОКР База-М-(Совершенствование)</v>
          </cell>
        </row>
        <row r="1133">
          <cell r="A1133">
            <v>0</v>
          </cell>
          <cell r="B1133" t="str">
            <v>69-2000-2012 этап 03 ОКР База-М-(Совершенствование)</v>
          </cell>
        </row>
        <row r="1134">
          <cell r="A1134">
            <v>0</v>
          </cell>
          <cell r="B1134" t="str">
            <v>69-2000-2012 этап 03 ОКР База-М-(Совершенствование)</v>
          </cell>
        </row>
        <row r="1135">
          <cell r="A1135">
            <v>0</v>
          </cell>
          <cell r="B1135" t="str">
            <v>217-2100-2011 этап 07 ОКР Отработка-К</v>
          </cell>
        </row>
        <row r="1136">
          <cell r="A1136">
            <v>0</v>
          </cell>
          <cell r="B1136" t="str">
            <v>217-2100-2011 этап 07 ОКР Отработка-К</v>
          </cell>
        </row>
        <row r="1137">
          <cell r="A1137">
            <v>0</v>
          </cell>
          <cell r="B1137" t="str">
            <v>217-2100-2011 этап 07 ОКР Отработка-К</v>
          </cell>
        </row>
        <row r="1138">
          <cell r="A1138">
            <v>0</v>
          </cell>
          <cell r="B1138" t="str">
            <v>217-2100-2011 этап 07 ОКР Отработка-К</v>
          </cell>
        </row>
        <row r="1139">
          <cell r="A1139">
            <v>85</v>
          </cell>
          <cell r="B1139" t="str">
            <v>153-1035-2014 этап 01 СЧ НИР Магистраль (Задел-АКА)</v>
          </cell>
        </row>
        <row r="1140">
          <cell r="A1140">
            <v>0</v>
          </cell>
          <cell r="B1140" t="str">
            <v>153-1035-2014 этап 01 СЧ НИР Магистраль (Задел-АКА)</v>
          </cell>
        </row>
        <row r="1141">
          <cell r="A1141">
            <v>0</v>
          </cell>
          <cell r="B1141" t="str">
            <v>153-1035-2014 этап 01 СЧ НИР Магистраль (Задел-АКА)</v>
          </cell>
        </row>
        <row r="1142">
          <cell r="A1142">
            <v>0</v>
          </cell>
          <cell r="B1142" t="str">
            <v>153-1035-2014 этап 01 СЧ НИР Магистраль (Задел-АКА)</v>
          </cell>
        </row>
        <row r="1143">
          <cell r="A1143">
            <v>0</v>
          </cell>
          <cell r="B1143" t="str">
            <v>235-5556-2011 этап 04 ОКР КТКиСБ</v>
          </cell>
        </row>
        <row r="1144">
          <cell r="A1144">
            <v>0</v>
          </cell>
          <cell r="B1144" t="str">
            <v>235-5556-2011 этап 04 ОКР КТКиСБ</v>
          </cell>
        </row>
        <row r="1145">
          <cell r="A1145">
            <v>0</v>
          </cell>
          <cell r="B1145" t="str">
            <v>235-5556-2011 этап 04 ОКР КТКиСБ</v>
          </cell>
        </row>
        <row r="1146">
          <cell r="A1146">
            <v>0</v>
          </cell>
          <cell r="B1146" t="str">
            <v>235-5556-2011 этап 04 ОКР КТКиСБ</v>
          </cell>
        </row>
        <row r="1147">
          <cell r="A1147">
            <v>0</v>
          </cell>
          <cell r="B1147" t="str">
            <v>85-4222-2012 этап 03 ОКР Надежность КА и СВ</v>
          </cell>
        </row>
        <row r="1148">
          <cell r="A1148">
            <v>0</v>
          </cell>
          <cell r="B1148" t="str">
            <v>85-4222-2012 этап 03 ОКР Надежность КА и СВ</v>
          </cell>
        </row>
        <row r="1149">
          <cell r="A1149">
            <v>0</v>
          </cell>
          <cell r="B1149" t="str">
            <v>85-4222-2012 этап 03 ОКР Надежность КА и СВ</v>
          </cell>
        </row>
        <row r="1150">
          <cell r="A1150">
            <v>0</v>
          </cell>
          <cell r="B1150" t="str">
            <v>85-4222-2012 этап 03 ОКР Надежность КА и СВ</v>
          </cell>
        </row>
        <row r="1151">
          <cell r="A1151">
            <v>0</v>
          </cell>
          <cell r="B1151" t="str">
            <v>87-2206-2008 этап 14 ОКР Ангара</v>
          </cell>
        </row>
        <row r="1152">
          <cell r="A1152">
            <v>0</v>
          </cell>
          <cell r="B1152" t="str">
            <v>87-2206-2008 этап 14 ОКР Ангара</v>
          </cell>
        </row>
        <row r="1153">
          <cell r="A1153">
            <v>0</v>
          </cell>
          <cell r="B1153" t="str">
            <v>87-2206-2008 этап 14 ОКР Ангара</v>
          </cell>
        </row>
        <row r="1154">
          <cell r="A1154">
            <v>0</v>
          </cell>
          <cell r="B1154" t="str">
            <v>87-2206-2008 этап 14 ОКР Ангара</v>
          </cell>
        </row>
        <row r="1155">
          <cell r="A1155">
            <v>0</v>
          </cell>
          <cell r="B1155" t="str">
            <v>87-2206-2008 этап 17 ОКР Ангара</v>
          </cell>
        </row>
        <row r="1156">
          <cell r="A1156">
            <v>0</v>
          </cell>
          <cell r="B1156" t="str">
            <v>87-2206-2008 этап 17 ОКР Ангара</v>
          </cell>
        </row>
        <row r="1157">
          <cell r="A1157">
            <v>0</v>
          </cell>
          <cell r="B1157" t="str">
            <v>87-2206-2008 этап 17 ОКР Ангара</v>
          </cell>
        </row>
        <row r="1158">
          <cell r="A1158">
            <v>0</v>
          </cell>
          <cell r="B1158" t="str">
            <v>87-2206-2008 этап 17 ОКР Ангара</v>
          </cell>
        </row>
        <row r="1159">
          <cell r="A1159">
            <v>86</v>
          </cell>
          <cell r="B1159" t="str">
            <v>98-5556-2013 этап 01 ОКР КА Резонанс</v>
          </cell>
        </row>
        <row r="1160">
          <cell r="A1160">
            <v>0</v>
          </cell>
          <cell r="B1160" t="str">
            <v>98-5556-2013 этап 01 ОКР КА Резонанс</v>
          </cell>
        </row>
        <row r="1161">
          <cell r="A1161">
            <v>0</v>
          </cell>
          <cell r="B1161" t="str">
            <v>98-5556-2013 этап 01 ОКР КА Резонанс</v>
          </cell>
        </row>
        <row r="1162">
          <cell r="A1162">
            <v>0</v>
          </cell>
          <cell r="B1162" t="str">
            <v>98-5556-2013 этап 01 ОКР КА Резонанс</v>
          </cell>
        </row>
        <row r="1163">
          <cell r="A1163">
            <v>0</v>
          </cell>
          <cell r="B1163" t="str">
            <v xml:space="preserve">16-1313-2013 этап 15 CЧ ОКР МКС (Надежность-Наука) </v>
          </cell>
        </row>
        <row r="1164">
          <cell r="A1164">
            <v>0</v>
          </cell>
          <cell r="B1164" t="str">
            <v xml:space="preserve">16-1313-2013 этап 15 CЧ ОКР МКС (Надежность-Наука) </v>
          </cell>
        </row>
        <row r="1165">
          <cell r="A1165">
            <v>0</v>
          </cell>
          <cell r="B1165" t="str">
            <v xml:space="preserve">16-1313-2013 этап 15 CЧ ОКР МКС (Надежность-Наука) </v>
          </cell>
        </row>
        <row r="1166">
          <cell r="A1166">
            <v>0</v>
          </cell>
          <cell r="B1166" t="str">
            <v xml:space="preserve">16-1313-2013 этап 15 CЧ ОКР МКС (Надежность-Наука) </v>
          </cell>
        </row>
        <row r="1167">
          <cell r="A1167">
            <v>0</v>
          </cell>
          <cell r="B1167" t="str">
            <v>175-2100-2014 этап 08 ОКР Гиперзвук РКТ</v>
          </cell>
        </row>
        <row r="1168">
          <cell r="A1168">
            <v>0</v>
          </cell>
          <cell r="B1168" t="str">
            <v>175-2100-2014 этап 08 ОКР Гиперзвук РКТ</v>
          </cell>
        </row>
        <row r="1169">
          <cell r="A1169">
            <v>0</v>
          </cell>
          <cell r="B1169" t="str">
            <v>175-2100-2014 этап 08 ОКР Гиперзвук РКТ</v>
          </cell>
        </row>
        <row r="1170">
          <cell r="A1170">
            <v>0</v>
          </cell>
          <cell r="B1170" t="str">
            <v>175-2100-2014 этап 08 ОКР Гиперзвук РКТ</v>
          </cell>
        </row>
        <row r="1171">
          <cell r="A1171">
            <v>0</v>
          </cell>
          <cell r="B1171" t="str">
            <v>310-5557-2013 этап 01 СЧ ОКР САРМАТ</v>
          </cell>
        </row>
        <row r="1172">
          <cell r="A1172">
            <v>0</v>
          </cell>
          <cell r="B1172" t="str">
            <v>310-5557-2013 этап 01 СЧ ОКР САРМАТ</v>
          </cell>
        </row>
        <row r="1173">
          <cell r="A1173">
            <v>0</v>
          </cell>
          <cell r="B1173" t="str">
            <v>310-5557-2013 этап 01 СЧ ОКР САРМАТ</v>
          </cell>
        </row>
        <row r="1174">
          <cell r="A1174">
            <v>0</v>
          </cell>
          <cell r="B1174" t="str">
            <v>310-5557-2013 этап 01 СЧ ОКР САРМАТ</v>
          </cell>
        </row>
        <row r="1175">
          <cell r="A1175">
            <v>0</v>
          </cell>
          <cell r="B1175" t="str">
            <v>91-2107-2012 этап 03 ОКР АСиМО</v>
          </cell>
        </row>
        <row r="1176">
          <cell r="A1176">
            <v>0</v>
          </cell>
          <cell r="B1176" t="str">
            <v>91-2107-2012 этап 03 ОКР АСиМО</v>
          </cell>
        </row>
        <row r="1177">
          <cell r="A1177">
            <v>0</v>
          </cell>
          <cell r="B1177" t="str">
            <v>91-2107-2012 этап 03 ОКР АСиМО</v>
          </cell>
        </row>
        <row r="1178">
          <cell r="A1178">
            <v>0</v>
          </cell>
          <cell r="B1178" t="str">
            <v>91-2107-2012 этап 03 ОКР АСиМО</v>
          </cell>
        </row>
        <row r="1179">
          <cell r="A1179">
            <v>0</v>
          </cell>
          <cell r="B1179" t="str">
            <v>96-4014-2014 этап 01 ОКР Ударение</v>
          </cell>
        </row>
        <row r="1180">
          <cell r="A1180">
            <v>0</v>
          </cell>
          <cell r="B1180" t="str">
            <v>96-4014-2014 этап 01 ОКР Ударение</v>
          </cell>
        </row>
        <row r="1181">
          <cell r="A1181">
            <v>0</v>
          </cell>
          <cell r="B1181" t="str">
            <v>96-4014-2014 этап 01 ОКР Ударение</v>
          </cell>
        </row>
        <row r="1182">
          <cell r="A1182">
            <v>0</v>
          </cell>
          <cell r="B1182" t="str">
            <v>96-4014-2014 этап 01 ОКР Ударение</v>
          </cell>
        </row>
        <row r="1183">
          <cell r="A1183">
            <v>0</v>
          </cell>
          <cell r="B1183" t="str">
            <v>122-5558-2014 этап 01 СЧ ОКР Союз-Восток</v>
          </cell>
        </row>
        <row r="1184">
          <cell r="A1184">
            <v>0</v>
          </cell>
          <cell r="B1184" t="str">
            <v>122-5558-2014 этап 01 СЧ ОКР Союз-Восток</v>
          </cell>
        </row>
        <row r="1185">
          <cell r="A1185">
            <v>0</v>
          </cell>
          <cell r="B1185" t="str">
            <v>122-5558-2014 этап 01 СЧ ОКР Союз-Восток</v>
          </cell>
        </row>
        <row r="1186">
          <cell r="A1186">
            <v>0</v>
          </cell>
          <cell r="B1186" t="str">
            <v>122-5558-2014 этап 01 СЧ ОКР Союз-Восток</v>
          </cell>
        </row>
        <row r="1187">
          <cell r="A1187">
            <v>0</v>
          </cell>
          <cell r="B1187" t="str">
            <v xml:space="preserve">123-5558-2014  этап 01 СЧ ОКР Союз-Восток </v>
          </cell>
        </row>
        <row r="1188">
          <cell r="A1188">
            <v>0</v>
          </cell>
          <cell r="B1188" t="str">
            <v xml:space="preserve">123-5558-2014  этап 01 СЧ ОКР Союз-Восток </v>
          </cell>
        </row>
        <row r="1189">
          <cell r="A1189">
            <v>0</v>
          </cell>
          <cell r="B1189" t="str">
            <v xml:space="preserve">123-5558-2014  этап 01 СЧ ОКР Союз-Восток </v>
          </cell>
        </row>
        <row r="1190">
          <cell r="A1190">
            <v>0</v>
          </cell>
          <cell r="B1190" t="str">
            <v xml:space="preserve">123-5558-2014  этап 01 СЧ ОКР Союз-Восток </v>
          </cell>
        </row>
        <row r="1191">
          <cell r="A1191">
            <v>0</v>
          </cell>
          <cell r="B1191" t="str">
            <v>130-5558-2014 этап 01 СЧ ОКР РН Ангара 1.2</v>
          </cell>
        </row>
        <row r="1192">
          <cell r="A1192">
            <v>0</v>
          </cell>
          <cell r="B1192" t="str">
            <v>130-5558-2014 этап 01 СЧ ОКР РН Ангара 1.2</v>
          </cell>
        </row>
        <row r="1193">
          <cell r="A1193">
            <v>0</v>
          </cell>
          <cell r="B1193" t="str">
            <v>130-5558-2014 этап 01 СЧ ОКР РН Ангара 1.2</v>
          </cell>
        </row>
        <row r="1194">
          <cell r="A1194">
            <v>0</v>
          </cell>
          <cell r="B1194" t="str">
            <v>130-5558-2014 этап 01 СЧ ОКР РН Ангара 1.2</v>
          </cell>
        </row>
        <row r="1195">
          <cell r="A1195">
            <v>0</v>
          </cell>
          <cell r="B1195" t="str">
            <v>181-5558-2014 этап 01 СЧ ОКР Союз-Восток</v>
          </cell>
        </row>
        <row r="1196">
          <cell r="A1196">
            <v>0</v>
          </cell>
          <cell r="B1196" t="str">
            <v>181-5558-2014 этап 01 СЧ ОКР Союз-Восток</v>
          </cell>
        </row>
        <row r="1197">
          <cell r="A1197">
            <v>0</v>
          </cell>
          <cell r="B1197" t="str">
            <v>181-5558-2014 этап 01 СЧ ОКР Союз-Восток</v>
          </cell>
        </row>
        <row r="1198">
          <cell r="A1198">
            <v>0</v>
          </cell>
          <cell r="B1198" t="str">
            <v>181-5558-2014 этап 01 СЧ ОКР Союз-Восток</v>
          </cell>
        </row>
        <row r="1199">
          <cell r="A1199">
            <v>0</v>
          </cell>
          <cell r="B1199" t="str">
            <v>87-2206-2008 этап 16 ОКР Ангара</v>
          </cell>
        </row>
        <row r="1200">
          <cell r="A1200">
            <v>0</v>
          </cell>
          <cell r="B1200" t="str">
            <v>87-2206-2008 этап 16 ОКР Ангара</v>
          </cell>
        </row>
        <row r="1201">
          <cell r="A1201">
            <v>0</v>
          </cell>
          <cell r="B1201" t="str">
            <v>87-2206-2008 этап 16 ОКР Ангара</v>
          </cell>
        </row>
        <row r="1202">
          <cell r="A1202">
            <v>0</v>
          </cell>
          <cell r="B1202" t="str">
            <v>87-2206-2008 этап 16 ОКР Ангара</v>
          </cell>
        </row>
        <row r="1203">
          <cell r="A1203">
            <v>0</v>
          </cell>
          <cell r="B1203" t="str">
            <v>98-5556-2013 этап 01 ОКР КА Резонанс</v>
          </cell>
        </row>
        <row r="1204">
          <cell r="A1204">
            <v>0</v>
          </cell>
          <cell r="B1204" t="str">
            <v>98-5556-2013 этап 01 ОКР КА Резонанс</v>
          </cell>
        </row>
        <row r="1205">
          <cell r="A1205">
            <v>0</v>
          </cell>
          <cell r="B1205" t="str">
            <v>98-5556-2013 этап 01 ОКР КА Резонанс</v>
          </cell>
        </row>
        <row r="1206">
          <cell r="A1206">
            <v>0</v>
          </cell>
          <cell r="B1206" t="str">
            <v>98-5556-2013 этап 01 ОКР КА Резонанс</v>
          </cell>
        </row>
        <row r="1207">
          <cell r="A1207">
            <v>87</v>
          </cell>
          <cell r="B1207" t="str">
            <v>114-1313-2014 этап 01 СЧ ОКР ОКА-Т-Экспертиза -ЦНИИмаш</v>
          </cell>
        </row>
        <row r="1208">
          <cell r="A1208">
            <v>0</v>
          </cell>
          <cell r="B1208" t="str">
            <v>114-1313-2014 этап 01 СЧ ОКР ОКА-Т-Экспертиза -ЦНИИмаш</v>
          </cell>
        </row>
        <row r="1209">
          <cell r="A1209">
            <v>0</v>
          </cell>
          <cell r="B1209" t="str">
            <v>114-1313-2014 этап 01 СЧ ОКР ОКА-Т-Экспертиза -ЦНИИмаш</v>
          </cell>
        </row>
        <row r="1210">
          <cell r="A1210">
            <v>0</v>
          </cell>
          <cell r="B1210" t="str">
            <v>114-1313-2014 этап 01 СЧ ОКР ОКА-Т-Экспертиза -ЦНИИмаш</v>
          </cell>
        </row>
        <row r="1211">
          <cell r="A1211">
            <v>0</v>
          </cell>
          <cell r="B1211" t="str">
            <v>122-5558-2014 этап 01 СЧ ОКР Союз-Восток</v>
          </cell>
        </row>
        <row r="1212">
          <cell r="A1212">
            <v>0</v>
          </cell>
          <cell r="B1212" t="str">
            <v>122-5558-2014 этап 01 СЧ ОКР Союз-Восток</v>
          </cell>
        </row>
        <row r="1213">
          <cell r="A1213">
            <v>0</v>
          </cell>
          <cell r="B1213" t="str">
            <v>122-5558-2014 этап 01 СЧ ОКР Союз-Восток</v>
          </cell>
        </row>
        <row r="1214">
          <cell r="A1214">
            <v>0</v>
          </cell>
          <cell r="B1214" t="str">
            <v>122-5558-2014 этап 01 СЧ ОКР Союз-Восток</v>
          </cell>
        </row>
        <row r="1215">
          <cell r="A1215">
            <v>88</v>
          </cell>
          <cell r="B1215" t="str">
            <v>156-5550-2014 этап 01 ОКР КА 14Ф149</v>
          </cell>
        </row>
        <row r="1216">
          <cell r="A1216">
            <v>0</v>
          </cell>
          <cell r="B1216" t="str">
            <v>156-5550-2014 этап 01 ОКР КА 14Ф149</v>
          </cell>
        </row>
        <row r="1217">
          <cell r="A1217">
            <v>0</v>
          </cell>
          <cell r="B1217" t="str">
            <v>156-5550-2014 этап 01 ОКР КА 14Ф149</v>
          </cell>
        </row>
        <row r="1218">
          <cell r="A1218">
            <v>0</v>
          </cell>
          <cell r="B1218" t="str">
            <v>156-5550-2014 этап 01 ОКР КА 14Ф149</v>
          </cell>
        </row>
        <row r="1219">
          <cell r="A1219">
            <v>0</v>
          </cell>
          <cell r="B1219" t="str">
            <v>217-2100-2011 этап 07 ОКР Отработка-К</v>
          </cell>
        </row>
        <row r="1220">
          <cell r="A1220">
            <v>0</v>
          </cell>
          <cell r="B1220" t="str">
            <v>217-2100-2011 этап 07 ОКР Отработка-К</v>
          </cell>
        </row>
        <row r="1221">
          <cell r="A1221">
            <v>0</v>
          </cell>
          <cell r="B1221" t="str">
            <v>217-2100-2011 этап 07 ОКР Отработка-К</v>
          </cell>
        </row>
        <row r="1222">
          <cell r="A1222">
            <v>0</v>
          </cell>
          <cell r="B1222" t="str">
            <v>217-2100-2011 этап 07 ОКР Отработка-К</v>
          </cell>
        </row>
        <row r="1223">
          <cell r="A1223">
            <v>89</v>
          </cell>
          <cell r="B1223" t="str">
            <v>107-4143-2014 этап 01 ОКР Спектр-РГ.Сопровождение-Ц</v>
          </cell>
        </row>
        <row r="1224">
          <cell r="A1224">
            <v>0</v>
          </cell>
          <cell r="B1224" t="str">
            <v>107-4143-2014 этап 01 ОКР Спектр-РГ.Сопровождение-Ц</v>
          </cell>
        </row>
        <row r="1225">
          <cell r="A1225">
            <v>0</v>
          </cell>
          <cell r="B1225" t="str">
            <v>107-4143-2014 этап 01 ОКР Спектр-РГ.Сопровождение-Ц</v>
          </cell>
        </row>
        <row r="1226">
          <cell r="A1226">
            <v>0</v>
          </cell>
          <cell r="B1226" t="str">
            <v>107-4143-2014 этап 01 ОКР Спектр-РГ.Сопровождение-Ц</v>
          </cell>
        </row>
        <row r="1227">
          <cell r="A1227">
            <v>90</v>
          </cell>
          <cell r="B1227" t="str">
            <v>113-3000-2012 этап 04  Заключение</v>
          </cell>
        </row>
        <row r="1228">
          <cell r="A1228">
            <v>0</v>
          </cell>
          <cell r="B1228" t="str">
            <v>113-3000-2012 этап 04  Заключение</v>
          </cell>
        </row>
        <row r="1229">
          <cell r="A1229">
            <v>0</v>
          </cell>
          <cell r="B1229" t="str">
            <v>113-3000-2012 этап 04  Заключение</v>
          </cell>
        </row>
        <row r="1230">
          <cell r="A1230">
            <v>0</v>
          </cell>
          <cell r="B1230" t="str">
            <v>113-3000-2012 этап 04  Заключение</v>
          </cell>
        </row>
        <row r="1231">
          <cell r="A1231">
            <v>0</v>
          </cell>
          <cell r="B1231" t="str">
            <v>120-5558-2014 этап 01 СЧ ОКР Союз-Восток</v>
          </cell>
        </row>
        <row r="1232">
          <cell r="A1232">
            <v>0</v>
          </cell>
          <cell r="B1232" t="str">
            <v>120-5558-2014 этап 01 СЧ ОКР Союз-Восток</v>
          </cell>
        </row>
        <row r="1233">
          <cell r="A1233">
            <v>0</v>
          </cell>
          <cell r="B1233" t="str">
            <v>120-5558-2014 этап 01 СЧ ОКР Союз-Восток</v>
          </cell>
        </row>
        <row r="1234">
          <cell r="A1234">
            <v>0</v>
          </cell>
          <cell r="B1234" t="str">
            <v>120-5558-2014 этап 01 СЧ ОКР Союз-Восток</v>
          </cell>
        </row>
        <row r="1235">
          <cell r="A1235">
            <v>91</v>
          </cell>
          <cell r="B1235" t="str">
            <v>135-5551-2014 этап 01 СЧ ОКР Баргузин-РВ</v>
          </cell>
        </row>
        <row r="1236">
          <cell r="A1236">
            <v>0</v>
          </cell>
          <cell r="B1236" t="str">
            <v>135-5551-2014 этап 01 СЧ ОКР Баргузин-РВ</v>
          </cell>
        </row>
        <row r="1237">
          <cell r="A1237">
            <v>0</v>
          </cell>
          <cell r="B1237" t="str">
            <v>135-5551-2014 этап 01 СЧ ОКР Баргузин-РВ</v>
          </cell>
        </row>
        <row r="1238">
          <cell r="A1238">
            <v>0</v>
          </cell>
          <cell r="B1238" t="str">
            <v>135-5551-2014 этап 01 СЧ ОКР Баргузин-РВ</v>
          </cell>
        </row>
        <row r="1239">
          <cell r="A1239">
            <v>0</v>
          </cell>
          <cell r="B1239" t="str">
            <v xml:space="preserve">16-1313-2013 этап 12 CЧ ОКР МКС (Надежность-Наука) </v>
          </cell>
        </row>
        <row r="1240">
          <cell r="A1240">
            <v>0</v>
          </cell>
          <cell r="B1240" t="str">
            <v xml:space="preserve">16-1313-2013 этап 12 CЧ ОКР МКС (Надежность-Наука) </v>
          </cell>
        </row>
        <row r="1241">
          <cell r="A1241">
            <v>0</v>
          </cell>
          <cell r="B1241" t="str">
            <v xml:space="preserve">16-1313-2013 этап 12 CЧ ОКР МКС (Надежность-Наука) </v>
          </cell>
        </row>
        <row r="1242">
          <cell r="A1242">
            <v>0</v>
          </cell>
          <cell r="B1242" t="str">
            <v xml:space="preserve">16-1313-2013 этап 12 CЧ ОКР МКС (Надежность-Наука) </v>
          </cell>
        </row>
        <row r="1243">
          <cell r="A1243">
            <v>92</v>
          </cell>
          <cell r="B1243" t="str">
            <v>199-5551-2014 этап 01 СЧ ОКР МКА Канопус-СТ</v>
          </cell>
        </row>
        <row r="1244">
          <cell r="A1244">
            <v>0</v>
          </cell>
          <cell r="B1244" t="str">
            <v>199-5551-2014 этап 01 СЧ ОКР МКА Канопус-СТ</v>
          </cell>
        </row>
        <row r="1245">
          <cell r="A1245">
            <v>0</v>
          </cell>
          <cell r="B1245" t="str">
            <v>199-5551-2014 этап 01 СЧ ОКР МКА Канопус-СТ</v>
          </cell>
        </row>
        <row r="1246">
          <cell r="A1246">
            <v>0</v>
          </cell>
          <cell r="B1246" t="str">
            <v>199-5551-2014 этап 01 СЧ ОКР МКА Канопус-СТ</v>
          </cell>
        </row>
        <row r="1247">
          <cell r="A1247">
            <v>93</v>
          </cell>
          <cell r="B1247" t="str">
            <v>200-5551-2014 этап 01 НИР РД 8Д611</v>
          </cell>
        </row>
        <row r="1248">
          <cell r="A1248">
            <v>0</v>
          </cell>
          <cell r="B1248" t="str">
            <v>200-5551-2014 этап 01 НИР РД 8Д611</v>
          </cell>
        </row>
        <row r="1249">
          <cell r="A1249">
            <v>0</v>
          </cell>
          <cell r="B1249" t="str">
            <v>200-5551-2014 этап 01 НИР РД 8Д611</v>
          </cell>
        </row>
        <row r="1250">
          <cell r="A1250">
            <v>0</v>
          </cell>
          <cell r="B1250" t="str">
            <v>200-5551-2014 этап 01 НИР РД 8Д611</v>
          </cell>
        </row>
        <row r="1251">
          <cell r="A1251">
            <v>0</v>
          </cell>
          <cell r="B1251" t="str">
            <v>217-2100-2011 этап 07 ОКР Отработка-К</v>
          </cell>
        </row>
        <row r="1252">
          <cell r="A1252">
            <v>0</v>
          </cell>
          <cell r="B1252" t="str">
            <v>217-2100-2011 этап 07 ОКР Отработка-К</v>
          </cell>
        </row>
        <row r="1253">
          <cell r="A1253">
            <v>0</v>
          </cell>
          <cell r="B1253" t="str">
            <v>217-2100-2011 этап 07 ОКР Отработка-К</v>
          </cell>
        </row>
        <row r="1254">
          <cell r="A1254">
            <v>0</v>
          </cell>
          <cell r="B1254" t="str">
            <v>217-2100-2011 этап 07 ОКР Отработка-К</v>
          </cell>
        </row>
        <row r="1255">
          <cell r="A1255">
            <v>0</v>
          </cell>
          <cell r="B1255" t="str">
            <v xml:space="preserve">248-5554-2011 этап 07 ОКР Прочность-ТРТ  </v>
          </cell>
        </row>
        <row r="1256">
          <cell r="A1256">
            <v>0</v>
          </cell>
          <cell r="B1256" t="str">
            <v xml:space="preserve">248-5554-2011 этап 07 ОКР Прочность-ТРТ  </v>
          </cell>
        </row>
        <row r="1257">
          <cell r="A1257">
            <v>0</v>
          </cell>
          <cell r="B1257" t="str">
            <v xml:space="preserve">248-5554-2011 этап 07 ОКР Прочность-ТРТ  </v>
          </cell>
        </row>
        <row r="1258">
          <cell r="A1258">
            <v>0</v>
          </cell>
          <cell r="B1258" t="str">
            <v xml:space="preserve">248-5554-2011 этап 07 ОКР Прочность-ТРТ  </v>
          </cell>
        </row>
        <row r="1259">
          <cell r="A1259">
            <v>0</v>
          </cell>
          <cell r="B1259" t="str">
            <v>250-5554-2011 этап 07 ОКР ПОЖРД</v>
          </cell>
        </row>
        <row r="1260">
          <cell r="A1260">
            <v>0</v>
          </cell>
          <cell r="B1260" t="str">
            <v>250-5554-2011 этап 07 ОКР ПОЖРД</v>
          </cell>
        </row>
        <row r="1261">
          <cell r="A1261">
            <v>0</v>
          </cell>
          <cell r="B1261" t="str">
            <v>250-5554-2011 этап 07 ОКР ПОЖРД</v>
          </cell>
        </row>
        <row r="1262">
          <cell r="A1262">
            <v>0</v>
          </cell>
          <cell r="B1262" t="str">
            <v>250-5554-2011 этап 07 ОКР ПОЖРД</v>
          </cell>
        </row>
        <row r="1263">
          <cell r="A1263">
            <v>94</v>
          </cell>
          <cell r="B1263" t="str">
            <v>39-4142-2014 этап 01 СЧ ОКР КА 762В</v>
          </cell>
        </row>
        <row r="1264">
          <cell r="A1264">
            <v>0</v>
          </cell>
          <cell r="B1264" t="str">
            <v>39-4142-2014 этап 01 СЧ ОКР КА 762В</v>
          </cell>
        </row>
        <row r="1265">
          <cell r="A1265">
            <v>0</v>
          </cell>
          <cell r="B1265" t="str">
            <v>39-4142-2014 этап 01 СЧ ОКР КА 762В</v>
          </cell>
        </row>
        <row r="1266">
          <cell r="A1266">
            <v>0</v>
          </cell>
          <cell r="B1266" t="str">
            <v>39-4142-2014 этап 01 СЧ ОКР КА 762В</v>
          </cell>
        </row>
        <row r="1267">
          <cell r="A1267">
            <v>0</v>
          </cell>
          <cell r="B1267" t="str">
            <v>65-2201-2009 этап 02 ОКР Канопус-СТ</v>
          </cell>
        </row>
        <row r="1268">
          <cell r="A1268">
            <v>0</v>
          </cell>
          <cell r="B1268" t="str">
            <v>65-2201-2009 этап 02 ОКР Канопус-СТ</v>
          </cell>
        </row>
        <row r="1269">
          <cell r="A1269">
            <v>0</v>
          </cell>
          <cell r="B1269" t="str">
            <v>65-2201-2009 этап 02 ОКР Канопус-СТ</v>
          </cell>
        </row>
        <row r="1270">
          <cell r="A1270">
            <v>0</v>
          </cell>
          <cell r="B1270" t="str">
            <v>65-2201-2009 этап 02 ОКР Канопус-СТ</v>
          </cell>
        </row>
        <row r="1271">
          <cell r="A1271">
            <v>0</v>
          </cell>
          <cell r="B1271" t="str">
            <v>69-2000-2012 этап 03 ОКР База-М-(Совершенствование)</v>
          </cell>
        </row>
        <row r="1272">
          <cell r="A1272">
            <v>0</v>
          </cell>
          <cell r="B1272" t="str">
            <v>69-2000-2012 этап 03 ОКР База-М-(Совершенствование)</v>
          </cell>
        </row>
        <row r="1273">
          <cell r="A1273">
            <v>0</v>
          </cell>
          <cell r="B1273" t="str">
            <v>69-2000-2012 этап 03 ОКР База-М-(Совершенствование)</v>
          </cell>
        </row>
        <row r="1274">
          <cell r="A1274">
            <v>0</v>
          </cell>
          <cell r="B1274" t="str">
            <v>69-2000-2012 этап 03 ОКР База-М-(Совершенствование)</v>
          </cell>
        </row>
        <row r="1275">
          <cell r="A1275">
            <v>0</v>
          </cell>
          <cell r="B1275" t="str">
            <v>107-4143-2014 этап 01 ОКР Спектр-РГ.Сопровождение-Ц</v>
          </cell>
        </row>
        <row r="1276">
          <cell r="A1276">
            <v>0</v>
          </cell>
          <cell r="B1276" t="str">
            <v>107-4143-2014 этап 01 ОКР Спектр-РГ.Сопровождение-Ц</v>
          </cell>
        </row>
        <row r="1277">
          <cell r="A1277">
            <v>0</v>
          </cell>
          <cell r="B1277" t="str">
            <v>107-4143-2014 этап 01 ОКР Спектр-РГ.Сопровождение-Ц</v>
          </cell>
        </row>
        <row r="1278">
          <cell r="A1278">
            <v>0</v>
          </cell>
          <cell r="B1278" t="str">
            <v>107-4143-2014 этап 01 ОКР Спектр-РГ.Сопровождение-Ц</v>
          </cell>
        </row>
        <row r="1279">
          <cell r="A1279">
            <v>95</v>
          </cell>
          <cell r="B1279" t="str">
            <v>75-5552-2014 этап 01 ОКР Испытания на сейсмостойкость и вибропрочность</v>
          </cell>
        </row>
        <row r="1280">
          <cell r="A1280">
            <v>0</v>
          </cell>
          <cell r="B1280" t="str">
            <v>75-5552-2014 этап 01 ОКР Испытания на сейсмостойкость и вибропрочность</v>
          </cell>
        </row>
        <row r="1281">
          <cell r="A1281">
            <v>0</v>
          </cell>
          <cell r="B1281" t="str">
            <v>75-5552-2014 этап 01 ОКР Испытания на сейсмостойкость и вибропрочность</v>
          </cell>
        </row>
        <row r="1282">
          <cell r="A1282">
            <v>0</v>
          </cell>
          <cell r="B1282" t="str">
            <v>75-5552-2014 этап 01 ОКР Испытания на сейсмостойкость и вибропрочность</v>
          </cell>
        </row>
        <row r="1283">
          <cell r="A1283">
            <v>0</v>
          </cell>
          <cell r="B1283" t="str">
            <v>9-5551-2004 этап 23  ОКР Лиана</v>
          </cell>
        </row>
        <row r="1284">
          <cell r="A1284">
            <v>0</v>
          </cell>
          <cell r="B1284" t="str">
            <v>9-5551-2004 этап 23  ОКР Лиана</v>
          </cell>
        </row>
        <row r="1285">
          <cell r="A1285">
            <v>0</v>
          </cell>
          <cell r="B1285" t="str">
            <v>9-5551-2004 этап 23  ОКР Лиана</v>
          </cell>
        </row>
        <row r="1286">
          <cell r="A1286">
            <v>0</v>
          </cell>
          <cell r="B1286" t="str">
            <v>9-5551-2004 этап 23  ОКР Лиана</v>
          </cell>
        </row>
        <row r="1287">
          <cell r="A1287">
            <v>0</v>
          </cell>
          <cell r="B1287" t="str">
            <v>9-5551-2004 этап 25.2 ОКР Лиана</v>
          </cell>
        </row>
        <row r="1288">
          <cell r="A1288">
            <v>0</v>
          </cell>
          <cell r="B1288" t="str">
            <v>9-5551-2004 этап 25.2 ОКР Лиана</v>
          </cell>
        </row>
        <row r="1289">
          <cell r="A1289">
            <v>0</v>
          </cell>
          <cell r="B1289" t="str">
            <v>9-5551-2004 этап 25.2 ОКР Лиана</v>
          </cell>
        </row>
        <row r="1290">
          <cell r="A1290">
            <v>0</v>
          </cell>
          <cell r="B1290" t="str">
            <v>9-5551-2004 этап 25.2 ОКР Лиана</v>
          </cell>
        </row>
        <row r="1291">
          <cell r="A1291">
            <v>0</v>
          </cell>
          <cell r="B1291" t="str">
            <v>110-2000-2012 этап 28 НИР Эксперимент</v>
          </cell>
        </row>
        <row r="1292">
          <cell r="A1292">
            <v>0</v>
          </cell>
          <cell r="B1292" t="str">
            <v>110-2000-2012 этап 28 НИР Эксперимент</v>
          </cell>
        </row>
        <row r="1293">
          <cell r="A1293">
            <v>0</v>
          </cell>
          <cell r="B1293" t="str">
            <v>110-2000-2012 этап 28 НИР Эксперимент</v>
          </cell>
        </row>
        <row r="1294">
          <cell r="A1294">
            <v>0</v>
          </cell>
          <cell r="B1294" t="str">
            <v>110-2000-2012 этап 28 НИР Эксперимент</v>
          </cell>
        </row>
        <row r="1295">
          <cell r="A1295">
            <v>0</v>
          </cell>
          <cell r="B1295" t="str">
            <v>217-2100-2011 этап 07 ОКР Отработка-К</v>
          </cell>
        </row>
        <row r="1296">
          <cell r="A1296">
            <v>0</v>
          </cell>
          <cell r="B1296" t="str">
            <v>217-2100-2011 этап 07 ОКР Отработка-К</v>
          </cell>
        </row>
        <row r="1297">
          <cell r="A1297">
            <v>0</v>
          </cell>
          <cell r="B1297" t="str">
            <v>217-2100-2011 этап 07 ОКР Отработка-К</v>
          </cell>
        </row>
        <row r="1298">
          <cell r="A1298">
            <v>0</v>
          </cell>
          <cell r="B1298" t="str">
            <v>217-2100-2011 этап 07 ОКР Отработка-К</v>
          </cell>
        </row>
        <row r="1299">
          <cell r="A1299">
            <v>0</v>
          </cell>
          <cell r="B1299" t="str">
            <v>69-2000-2012 этап 03 ОКР База-М-(Совершенствование)</v>
          </cell>
        </row>
        <row r="1300">
          <cell r="A1300">
            <v>0</v>
          </cell>
          <cell r="B1300" t="str">
            <v>69-2000-2012 этап 03 ОКР База-М-(Совершенствование)</v>
          </cell>
        </row>
        <row r="1301">
          <cell r="A1301">
            <v>0</v>
          </cell>
          <cell r="B1301" t="str">
            <v>69-2000-2012 этап 03 ОКР База-М-(Совершенствование)</v>
          </cell>
        </row>
        <row r="1302">
          <cell r="A1302">
            <v>0</v>
          </cell>
          <cell r="B1302" t="str">
            <v>69-2000-2012 этап 03 ОКР База-М-(Совершенствование)</v>
          </cell>
        </row>
        <row r="1303">
          <cell r="A1303">
            <v>0</v>
          </cell>
          <cell r="B1303" t="str">
            <v>85-4222-2012 этап 03 ОКР Надежность КА и СВ</v>
          </cell>
        </row>
        <row r="1304">
          <cell r="A1304">
            <v>0</v>
          </cell>
          <cell r="B1304" t="str">
            <v>85-4222-2012 этап 03 ОКР Надежность КА и СВ</v>
          </cell>
        </row>
        <row r="1305">
          <cell r="A1305">
            <v>0</v>
          </cell>
          <cell r="B1305" t="str">
            <v>85-4222-2012 этап 03 ОКР Надежность КА и СВ</v>
          </cell>
        </row>
        <row r="1306">
          <cell r="A1306">
            <v>0</v>
          </cell>
          <cell r="B1306" t="str">
            <v>85-4222-2012 этап 03 ОКР Надежность КА и СВ</v>
          </cell>
        </row>
        <row r="1307">
          <cell r="A1307">
            <v>0</v>
          </cell>
          <cell r="B1307" t="str">
            <v>217-2100-2011 этап 07 ОКР Отработка-К</v>
          </cell>
        </row>
        <row r="1308">
          <cell r="A1308">
            <v>0</v>
          </cell>
          <cell r="B1308" t="str">
            <v>217-2100-2011 этап 07 ОКР Отработка-К</v>
          </cell>
        </row>
        <row r="1309">
          <cell r="A1309">
            <v>0</v>
          </cell>
          <cell r="B1309" t="str">
            <v>217-2100-2011 этап 07 ОКР Отработка-К</v>
          </cell>
        </row>
        <row r="1310">
          <cell r="A1310">
            <v>0</v>
          </cell>
          <cell r="B1310" t="str">
            <v>217-2100-2011 этап 07 ОКР Отработка-К</v>
          </cell>
        </row>
        <row r="1311">
          <cell r="A1311">
            <v>0</v>
          </cell>
          <cell r="B1311" t="str">
            <v>153-1035-2014 этап 01 СЧ НИР Магистраль (Задел-АКА)</v>
          </cell>
        </row>
        <row r="1312">
          <cell r="A1312">
            <v>0</v>
          </cell>
          <cell r="B1312" t="str">
            <v>153-1035-2014 этап 01 СЧ НИР Магистраль (Задел-АКА)</v>
          </cell>
        </row>
        <row r="1313">
          <cell r="A1313">
            <v>0</v>
          </cell>
          <cell r="B1313" t="str">
            <v>153-1035-2014 этап 01 СЧ НИР Магистраль (Задел-АКА)</v>
          </cell>
        </row>
        <row r="1314">
          <cell r="A1314">
            <v>0</v>
          </cell>
          <cell r="B1314" t="str">
            <v>153-1035-2014 этап 01 СЧ НИР Магистраль (Задел-АКА)</v>
          </cell>
        </row>
        <row r="1315">
          <cell r="A1315">
            <v>0</v>
          </cell>
          <cell r="B1315" t="str">
            <v>235-5556-2011 этап 04 ОКР КТКиСБ</v>
          </cell>
        </row>
        <row r="1316">
          <cell r="A1316">
            <v>0</v>
          </cell>
          <cell r="B1316" t="str">
            <v>235-5556-2011 этап 04 ОКР КТКиСБ</v>
          </cell>
        </row>
        <row r="1317">
          <cell r="A1317">
            <v>0</v>
          </cell>
          <cell r="B1317" t="str">
            <v>235-5556-2011 этап 04 ОКР КТКиСБ</v>
          </cell>
        </row>
        <row r="1318">
          <cell r="A1318">
            <v>0</v>
          </cell>
          <cell r="B1318" t="str">
            <v>235-5556-2011 этап 04 ОКР КТКиСБ</v>
          </cell>
        </row>
        <row r="1319">
          <cell r="A1319">
            <v>0</v>
          </cell>
          <cell r="B1319" t="str">
            <v>87-2206-2008 этап 14 ОКР Ангара</v>
          </cell>
        </row>
        <row r="1320">
          <cell r="A1320">
            <v>0</v>
          </cell>
          <cell r="B1320" t="str">
            <v>87-2206-2008 этап 14 ОКР Ангара</v>
          </cell>
        </row>
        <row r="1321">
          <cell r="A1321">
            <v>0</v>
          </cell>
          <cell r="B1321" t="str">
            <v>87-2206-2008 этап 14 ОКР Ангара</v>
          </cell>
        </row>
        <row r="1322">
          <cell r="A1322">
            <v>0</v>
          </cell>
          <cell r="B1322" t="str">
            <v>87-2206-2008 этап 14 ОКР Ангара</v>
          </cell>
        </row>
        <row r="1323">
          <cell r="A1323">
            <v>0</v>
          </cell>
          <cell r="B1323" t="str">
            <v>87-2206-2008 этап 17 ОКР Ангара</v>
          </cell>
        </row>
        <row r="1324">
          <cell r="A1324">
            <v>0</v>
          </cell>
          <cell r="B1324" t="str">
            <v>87-2206-2008 этап 17 ОКР Ангара</v>
          </cell>
        </row>
        <row r="1325">
          <cell r="A1325">
            <v>0</v>
          </cell>
          <cell r="B1325" t="str">
            <v>87-2206-2008 этап 17 ОКР Ангара</v>
          </cell>
        </row>
        <row r="1326">
          <cell r="A1326">
            <v>0</v>
          </cell>
          <cell r="B1326" t="str">
            <v>87-2206-2008 этап 17 ОКР Ангара</v>
          </cell>
        </row>
        <row r="1327">
          <cell r="A1327">
            <v>0</v>
          </cell>
          <cell r="B1327" t="str">
            <v>98-5556-2013 этап 01 ОКР КА Резонанс</v>
          </cell>
        </row>
        <row r="1328">
          <cell r="A1328">
            <v>0</v>
          </cell>
          <cell r="B1328" t="str">
            <v>98-5556-2013 этап 01 ОКР КА Резонанс</v>
          </cell>
        </row>
        <row r="1329">
          <cell r="A1329">
            <v>0</v>
          </cell>
          <cell r="B1329" t="str">
            <v>98-5556-2013 этап 01 ОКР КА Резонанс</v>
          </cell>
        </row>
        <row r="1330">
          <cell r="A1330">
            <v>0</v>
          </cell>
          <cell r="B1330" t="str">
            <v>98-5556-2013 этап 01 ОКР КА Резонанс</v>
          </cell>
        </row>
        <row r="1331">
          <cell r="A1331">
            <v>0</v>
          </cell>
          <cell r="B1331" t="str">
            <v>Ц-5556/2011 этап 04 ОКР КТКиСб-Ц</v>
          </cell>
        </row>
        <row r="1332">
          <cell r="A1332">
            <v>0</v>
          </cell>
          <cell r="B1332" t="str">
            <v>Ц-5556/2011 этап 04 ОКР КТКиСб-Ц</v>
          </cell>
        </row>
        <row r="1333">
          <cell r="A1333">
            <v>0</v>
          </cell>
          <cell r="B1333" t="str">
            <v>Ц-5556/2011 этап 04 ОКР КТКиСб-Ц</v>
          </cell>
        </row>
        <row r="1334">
          <cell r="A1334">
            <v>0</v>
          </cell>
          <cell r="B1334" t="str">
            <v>Ц-5556/2011 этап 04 ОКР КТКиСб-Ц</v>
          </cell>
        </row>
        <row r="1335">
          <cell r="A1335">
            <v>0</v>
          </cell>
          <cell r="B1335" t="str">
            <v>121-5558-2014 этап 01 СЧ ОКР Союз-Восток</v>
          </cell>
        </row>
        <row r="1336">
          <cell r="A1336">
            <v>0</v>
          </cell>
          <cell r="B1336" t="str">
            <v>121-5558-2014 этап 01 СЧ ОКР Союз-Восток</v>
          </cell>
        </row>
        <row r="1337">
          <cell r="A1337">
            <v>0</v>
          </cell>
          <cell r="B1337" t="str">
            <v>121-5558-2014 этап 01 СЧ ОКР Союз-Восток</v>
          </cell>
        </row>
        <row r="1338">
          <cell r="A1338">
            <v>0</v>
          </cell>
          <cell r="B1338" t="str">
            <v>121-5558-2014 этап 01 СЧ ОКР Союз-Восток</v>
          </cell>
        </row>
        <row r="1339">
          <cell r="A1339">
            <v>0</v>
          </cell>
          <cell r="B1339" t="str">
            <v>132-2000-2014 этап 01 СЧ ОКР База-М (Совершенствование 2)</v>
          </cell>
        </row>
        <row r="1340">
          <cell r="A1340">
            <v>0</v>
          </cell>
          <cell r="B1340" t="str">
            <v>132-2000-2014 этап 01 СЧ ОКР База-М (Совершенствование 2)</v>
          </cell>
        </row>
        <row r="1341">
          <cell r="A1341">
            <v>0</v>
          </cell>
          <cell r="B1341" t="str">
            <v>132-2000-2014 этап 01 СЧ ОКР База-М (Совершенствование 2)</v>
          </cell>
        </row>
        <row r="1342">
          <cell r="A1342">
            <v>0</v>
          </cell>
          <cell r="B1342" t="str">
            <v>132-2000-2014 этап 01 СЧ ОКР База-М (Совершенствование 2)</v>
          </cell>
        </row>
        <row r="1343">
          <cell r="A1343">
            <v>96</v>
          </cell>
          <cell r="B1343" t="str">
            <v>146-4152-2014 этап 01 СЧ ОКР Фрегат-МТ</v>
          </cell>
        </row>
        <row r="1344">
          <cell r="A1344">
            <v>0</v>
          </cell>
          <cell r="B1344" t="str">
            <v>146-4152-2014 этап 01 СЧ ОКР Фрегат-МТ</v>
          </cell>
        </row>
        <row r="1345">
          <cell r="A1345">
            <v>0</v>
          </cell>
          <cell r="B1345" t="str">
            <v>146-4152-2014 этап 01 СЧ ОКР Фрегат-МТ</v>
          </cell>
        </row>
        <row r="1346">
          <cell r="A1346">
            <v>0</v>
          </cell>
          <cell r="B1346" t="str">
            <v>146-4152-2014 этап 01 СЧ ОКР Фрегат-МТ</v>
          </cell>
        </row>
        <row r="1347">
          <cell r="A1347">
            <v>0</v>
          </cell>
          <cell r="B1347" t="str">
            <v xml:space="preserve">16-1313-2013 этап 15 CЧ ОКР МКС (Надежность-Наука) </v>
          </cell>
        </row>
        <row r="1348">
          <cell r="A1348">
            <v>0</v>
          </cell>
          <cell r="B1348" t="str">
            <v xml:space="preserve">16-1313-2013 этап 15 CЧ ОКР МКС (Надежность-Наука) </v>
          </cell>
        </row>
        <row r="1349">
          <cell r="A1349">
            <v>0</v>
          </cell>
          <cell r="B1349" t="str">
            <v xml:space="preserve">16-1313-2013 этап 15 CЧ ОКР МКС (Надежность-Наука) </v>
          </cell>
        </row>
        <row r="1350">
          <cell r="A1350">
            <v>0</v>
          </cell>
          <cell r="B1350" t="str">
            <v xml:space="preserve">16-1313-2013 этап 15 CЧ ОКР МКС (Надежность-Наука) </v>
          </cell>
        </row>
        <row r="1351">
          <cell r="A1351">
            <v>0</v>
          </cell>
          <cell r="B1351" t="str">
            <v>310-5557-2013 этап 01 СЧ ОКР САРМАТ</v>
          </cell>
        </row>
        <row r="1352">
          <cell r="A1352">
            <v>0</v>
          </cell>
          <cell r="B1352" t="str">
            <v>310-5557-2013 этап 01 СЧ ОКР САРМАТ</v>
          </cell>
        </row>
        <row r="1353">
          <cell r="A1353">
            <v>0</v>
          </cell>
          <cell r="B1353" t="str">
            <v>310-5557-2013 этап 01 СЧ ОКР САРМАТ</v>
          </cell>
        </row>
        <row r="1354">
          <cell r="A1354">
            <v>0</v>
          </cell>
          <cell r="B1354" t="str">
            <v>310-5557-2013 этап 01 СЧ ОКР САРМАТ</v>
          </cell>
        </row>
        <row r="1355">
          <cell r="A1355">
            <v>0</v>
          </cell>
          <cell r="B1355" t="str">
            <v>310-5557-2013 этап 02 СЧ ОКР САРМАТ</v>
          </cell>
        </row>
        <row r="1356">
          <cell r="A1356">
            <v>0</v>
          </cell>
          <cell r="B1356" t="str">
            <v>310-5557-2013 этап 02 СЧ ОКР САРМАТ</v>
          </cell>
        </row>
        <row r="1357">
          <cell r="A1357">
            <v>0</v>
          </cell>
          <cell r="B1357" t="str">
            <v>310-5557-2013 этап 02 СЧ ОКР САРМАТ</v>
          </cell>
        </row>
        <row r="1358">
          <cell r="A1358">
            <v>0</v>
          </cell>
          <cell r="B1358" t="str">
            <v>310-5557-2013 этап 02 СЧ ОКР САРМАТ</v>
          </cell>
        </row>
        <row r="1359">
          <cell r="A1359">
            <v>0</v>
          </cell>
          <cell r="B1359" t="str">
            <v>91-2107-2012 этап 03 ОКР АСиМО</v>
          </cell>
        </row>
        <row r="1360">
          <cell r="A1360">
            <v>0</v>
          </cell>
          <cell r="B1360" t="str">
            <v>91-2107-2012 этап 03 ОКР АСиМО</v>
          </cell>
        </row>
        <row r="1361">
          <cell r="A1361">
            <v>0</v>
          </cell>
          <cell r="B1361" t="str">
            <v>91-2107-2012 этап 03 ОКР АСиМО</v>
          </cell>
        </row>
        <row r="1362">
          <cell r="A1362">
            <v>0</v>
          </cell>
          <cell r="B1362" t="str">
            <v>91-2107-2012 этап 03 ОКР АСиМО</v>
          </cell>
        </row>
        <row r="1363">
          <cell r="A1363">
            <v>0</v>
          </cell>
          <cell r="B1363" t="str">
            <v>96-4014-2014 этап 01 ОКР Ударение</v>
          </cell>
        </row>
        <row r="1364">
          <cell r="A1364">
            <v>0</v>
          </cell>
          <cell r="B1364" t="str">
            <v>96-4014-2014 этап 01 ОКР Ударение</v>
          </cell>
        </row>
        <row r="1365">
          <cell r="A1365">
            <v>0</v>
          </cell>
          <cell r="B1365" t="str">
            <v>96-4014-2014 этап 01 ОКР Ударение</v>
          </cell>
        </row>
        <row r="1366">
          <cell r="A1366">
            <v>0</v>
          </cell>
          <cell r="B1366" t="str">
            <v>96-4014-2014 этап 01 ОКР Ударение</v>
          </cell>
        </row>
        <row r="1367">
          <cell r="A1367">
            <v>0</v>
          </cell>
          <cell r="B1367" t="str">
            <v xml:space="preserve">123-5558-2014  этап 01 СЧ ОКР Союз-Восток </v>
          </cell>
        </row>
        <row r="1368">
          <cell r="A1368">
            <v>0</v>
          </cell>
          <cell r="B1368" t="str">
            <v xml:space="preserve">123-5558-2014  этап 01 СЧ ОКР Союз-Восток </v>
          </cell>
        </row>
        <row r="1369">
          <cell r="A1369">
            <v>0</v>
          </cell>
          <cell r="B1369" t="str">
            <v xml:space="preserve">123-5558-2014  этап 01 СЧ ОКР Союз-Восток </v>
          </cell>
        </row>
        <row r="1370">
          <cell r="A1370">
            <v>0</v>
          </cell>
          <cell r="B1370" t="str">
            <v xml:space="preserve">123-5558-2014  этап 01 СЧ ОКР Союз-Восток </v>
          </cell>
        </row>
        <row r="1371">
          <cell r="A1371">
            <v>0</v>
          </cell>
          <cell r="B1371" t="str">
            <v>130-5558-2014 этап 01 СЧ ОКР РН Ангара 1.2</v>
          </cell>
        </row>
        <row r="1372">
          <cell r="A1372">
            <v>0</v>
          </cell>
          <cell r="B1372" t="str">
            <v>130-5558-2014 этап 01 СЧ ОКР РН Ангара 1.2</v>
          </cell>
        </row>
        <row r="1373">
          <cell r="A1373">
            <v>0</v>
          </cell>
          <cell r="B1373" t="str">
            <v>130-5558-2014 этап 01 СЧ ОКР РН Ангара 1.2</v>
          </cell>
        </row>
        <row r="1374">
          <cell r="A1374">
            <v>0</v>
          </cell>
          <cell r="B1374" t="str">
            <v>130-5558-2014 этап 01 СЧ ОКР РН Ангара 1.2</v>
          </cell>
        </row>
        <row r="1375">
          <cell r="A1375">
            <v>0</v>
          </cell>
          <cell r="B1375" t="str">
            <v>181-5558-2014 этап 01 СЧ ОКР Союз-Восток</v>
          </cell>
        </row>
        <row r="1376">
          <cell r="A1376">
            <v>0</v>
          </cell>
          <cell r="B1376" t="str">
            <v>181-5558-2014 этап 01 СЧ ОКР Союз-Восток</v>
          </cell>
        </row>
        <row r="1377">
          <cell r="A1377">
            <v>0</v>
          </cell>
          <cell r="B1377" t="str">
            <v>181-5558-2014 этап 01 СЧ ОКР Союз-Восток</v>
          </cell>
        </row>
        <row r="1378">
          <cell r="A1378">
            <v>0</v>
          </cell>
          <cell r="B1378" t="str">
            <v>181-5558-2014 этап 01 СЧ ОКР Союз-Восток</v>
          </cell>
        </row>
        <row r="1379">
          <cell r="A1379">
            <v>0</v>
          </cell>
          <cell r="B1379" t="str">
            <v>53-5558-2014 этап 02 СЧ НИР ГПВРД</v>
          </cell>
        </row>
        <row r="1380">
          <cell r="A1380">
            <v>0</v>
          </cell>
          <cell r="B1380" t="str">
            <v>53-5558-2014 этап 02 СЧ НИР ГПВРД</v>
          </cell>
        </row>
        <row r="1381">
          <cell r="A1381">
            <v>0</v>
          </cell>
          <cell r="B1381" t="str">
            <v>53-5558-2014 этап 02 СЧ НИР ГПВРД</v>
          </cell>
        </row>
        <row r="1382">
          <cell r="A1382">
            <v>0</v>
          </cell>
          <cell r="B1382" t="str">
            <v>53-5558-2014 этап 02 СЧ НИР ГПВРД</v>
          </cell>
        </row>
        <row r="1383">
          <cell r="A1383">
            <v>97</v>
          </cell>
          <cell r="B1383" t="str">
            <v>59-5558-2014 этап 01 СЧ ОКР Прочность ФГБ</v>
          </cell>
        </row>
        <row r="1384">
          <cell r="A1384">
            <v>0</v>
          </cell>
          <cell r="B1384" t="str">
            <v>59-5558-2014 этап 01 СЧ ОКР Прочность ФГБ</v>
          </cell>
        </row>
        <row r="1385">
          <cell r="A1385">
            <v>0</v>
          </cell>
          <cell r="B1385" t="str">
            <v>59-5558-2014 этап 01 СЧ ОКР Прочность ФГБ</v>
          </cell>
        </row>
        <row r="1386">
          <cell r="A1386">
            <v>0</v>
          </cell>
          <cell r="B1386" t="str">
            <v>59-5558-2014 этап 01 СЧ ОКР Прочность ФГБ</v>
          </cell>
        </row>
        <row r="1387">
          <cell r="A1387">
            <v>0</v>
          </cell>
          <cell r="B1387" t="str">
            <v>156-5550-2014 этап 01 ОКР КА 14Ф149</v>
          </cell>
        </row>
        <row r="1388">
          <cell r="A1388">
            <v>0</v>
          </cell>
          <cell r="B1388" t="str">
            <v>156-5550-2014 этап 01 ОКР КА 14Ф149</v>
          </cell>
        </row>
        <row r="1389">
          <cell r="A1389">
            <v>0</v>
          </cell>
          <cell r="B1389" t="str">
            <v>156-5550-2014 этап 01 ОКР КА 14Ф149</v>
          </cell>
        </row>
        <row r="1390">
          <cell r="A1390">
            <v>0</v>
          </cell>
          <cell r="B1390" t="str">
            <v>156-5550-2014 этап 01 ОКР КА 14Ф149</v>
          </cell>
        </row>
        <row r="1391">
          <cell r="A1391">
            <v>0</v>
          </cell>
          <cell r="B1391" t="str">
            <v>217-2100-2011 этап 07 ОКР Отработка-К</v>
          </cell>
        </row>
        <row r="1392">
          <cell r="A1392">
            <v>0</v>
          </cell>
          <cell r="B1392" t="str">
            <v>217-2100-2011 этап 07 ОКР Отработка-К</v>
          </cell>
        </row>
        <row r="1393">
          <cell r="A1393">
            <v>0</v>
          </cell>
          <cell r="B1393" t="str">
            <v>217-2100-2011 этап 07 ОКР Отработка-К</v>
          </cell>
        </row>
        <row r="1394">
          <cell r="A1394">
            <v>0</v>
          </cell>
          <cell r="B1394" t="str">
            <v>217-2100-2011 этап 07 ОКР Отработка-К</v>
          </cell>
        </row>
        <row r="1395">
          <cell r="A1395">
            <v>0</v>
          </cell>
          <cell r="B1395" t="str">
            <v>235-5556-2011 этап 04 ОКР КТКиСБ</v>
          </cell>
        </row>
        <row r="1396">
          <cell r="A1396">
            <v>0</v>
          </cell>
          <cell r="B1396" t="str">
            <v>235-5556-2011 этап 04 ОКР КТКиСБ</v>
          </cell>
        </row>
        <row r="1397">
          <cell r="A1397">
            <v>0</v>
          </cell>
          <cell r="B1397" t="str">
            <v>235-5556-2011 этап 04 ОКР КТКиСБ</v>
          </cell>
        </row>
        <row r="1398">
          <cell r="A1398">
            <v>0</v>
          </cell>
          <cell r="B1398" t="str">
            <v>235-5556-2011 этап 04 ОКР КТКиСБ</v>
          </cell>
        </row>
        <row r="1399">
          <cell r="A1399">
            <v>0</v>
          </cell>
          <cell r="B1399" t="str">
            <v>69-2000-2012 этап 03 ОКР База-М-(Совершенствование)</v>
          </cell>
        </row>
        <row r="1400">
          <cell r="A1400">
            <v>0</v>
          </cell>
          <cell r="B1400" t="str">
            <v>69-2000-2012 этап 03 ОКР База-М-(Совершенствование)</v>
          </cell>
        </row>
        <row r="1401">
          <cell r="A1401">
            <v>0</v>
          </cell>
          <cell r="B1401" t="str">
            <v>69-2000-2012 этап 03 ОКР База-М-(Совершенствование)</v>
          </cell>
        </row>
        <row r="1402">
          <cell r="A1402">
            <v>0</v>
          </cell>
          <cell r="B1402" t="str">
            <v>69-2000-2012 этап 03 ОКР База-М-(Совершенствование)</v>
          </cell>
        </row>
        <row r="1403">
          <cell r="A1403">
            <v>0</v>
          </cell>
          <cell r="B1403" t="str">
            <v>153-1035-2014 этап 02 СЧ НИР Магистраль (Задел-АКА)</v>
          </cell>
        </row>
        <row r="1404">
          <cell r="A1404">
            <v>0</v>
          </cell>
          <cell r="B1404" t="str">
            <v>153-1035-2014 этап 02 СЧ НИР Магистраль (Задел-АКА)</v>
          </cell>
        </row>
        <row r="1405">
          <cell r="A1405">
            <v>0</v>
          </cell>
          <cell r="B1405" t="str">
            <v>153-1035-2014 этап 02 СЧ НИР Магистраль (Задел-АКА)</v>
          </cell>
        </row>
        <row r="1406">
          <cell r="A1406">
            <v>0</v>
          </cell>
          <cell r="B1406" t="str">
            <v>153-1035-2014 этап 02 СЧ НИР Магистраль (Задел-АКА)</v>
          </cell>
        </row>
        <row r="1407">
          <cell r="A1407">
            <v>0</v>
          </cell>
          <cell r="B1407" t="str">
            <v xml:space="preserve">16-1313-2013 этап 12 CЧ ОКР МКС (Надежность-Наука) </v>
          </cell>
        </row>
        <row r="1408">
          <cell r="A1408">
            <v>0</v>
          </cell>
          <cell r="B1408" t="str">
            <v xml:space="preserve">16-1313-2013 этап 12 CЧ ОКР МКС (Надежность-Наука) </v>
          </cell>
        </row>
        <row r="1409">
          <cell r="A1409">
            <v>0</v>
          </cell>
          <cell r="B1409" t="str">
            <v xml:space="preserve">16-1313-2013 этап 12 CЧ ОКР МКС (Надежность-Наука) </v>
          </cell>
        </row>
        <row r="1410">
          <cell r="A1410">
            <v>0</v>
          </cell>
          <cell r="B1410" t="str">
            <v xml:space="preserve">16-1313-2013 этап 12 CЧ ОКР МКС (Надежность-Наука) </v>
          </cell>
        </row>
        <row r="1411">
          <cell r="A1411">
            <v>98</v>
          </cell>
          <cell r="B1411" t="str">
            <v>186-1201-2014  этап 01 СЧ ОКР Электро-Л</v>
          </cell>
        </row>
        <row r="1412">
          <cell r="A1412">
            <v>0</v>
          </cell>
          <cell r="B1412" t="str">
            <v>186-1201-2014  этап 01 СЧ ОКР Электро-Л</v>
          </cell>
        </row>
        <row r="1413">
          <cell r="A1413">
            <v>0</v>
          </cell>
          <cell r="B1413" t="str">
            <v>186-1201-2014  этап 01 СЧ ОКР Электро-Л</v>
          </cell>
        </row>
        <row r="1414">
          <cell r="A1414">
            <v>0</v>
          </cell>
          <cell r="B1414" t="str">
            <v>186-1201-2014  этап 01 СЧ ОКР Электро-Л</v>
          </cell>
        </row>
        <row r="1415">
          <cell r="A1415">
            <v>0</v>
          </cell>
          <cell r="B1415" t="str">
            <v>199-5551-2014 этап 01 СЧ ОКР МКА Канопус-СТ</v>
          </cell>
        </row>
        <row r="1416">
          <cell r="A1416">
            <v>0</v>
          </cell>
          <cell r="B1416" t="str">
            <v>199-5551-2014 этап 01 СЧ ОКР МКА Канопус-СТ</v>
          </cell>
        </row>
        <row r="1417">
          <cell r="A1417">
            <v>0</v>
          </cell>
          <cell r="B1417" t="str">
            <v>199-5551-2014 этап 01 СЧ ОКР МКА Канопус-СТ</v>
          </cell>
        </row>
        <row r="1418">
          <cell r="A1418">
            <v>0</v>
          </cell>
          <cell r="B1418" t="str">
            <v>199-5551-2014 этап 01 СЧ ОКР МКА Канопус-СТ</v>
          </cell>
        </row>
        <row r="1419">
          <cell r="A1419">
            <v>99</v>
          </cell>
          <cell r="B1419" t="str">
            <v>201-4151-2014 этап 01 КА 14Ф112 №17</v>
          </cell>
        </row>
        <row r="1420">
          <cell r="A1420">
            <v>0</v>
          </cell>
          <cell r="B1420" t="str">
            <v>201-4151-2014 этап 01 КА 14Ф112 №17</v>
          </cell>
        </row>
        <row r="1421">
          <cell r="A1421">
            <v>0</v>
          </cell>
          <cell r="B1421" t="str">
            <v>201-4151-2014 этап 01 КА 14Ф112 №17</v>
          </cell>
        </row>
        <row r="1422">
          <cell r="A1422">
            <v>0</v>
          </cell>
          <cell r="B1422" t="str">
            <v>201-4151-2014 этап 01 КА 14Ф112 №17</v>
          </cell>
        </row>
        <row r="1423">
          <cell r="A1423">
            <v>0</v>
          </cell>
          <cell r="B1423" t="str">
            <v>217-2100-2011 этап 07 ОКР Отработка-К</v>
          </cell>
        </row>
        <row r="1424">
          <cell r="A1424">
            <v>0</v>
          </cell>
          <cell r="B1424" t="str">
            <v>217-2100-2011 этап 07 ОКР Отработка-К</v>
          </cell>
        </row>
        <row r="1425">
          <cell r="A1425">
            <v>0</v>
          </cell>
          <cell r="B1425" t="str">
            <v>217-2100-2011 этап 07 ОКР Отработка-К</v>
          </cell>
        </row>
        <row r="1426">
          <cell r="A1426">
            <v>0</v>
          </cell>
          <cell r="B1426" t="str">
            <v>217-2100-2011 этап 07 ОКР Отработка-К</v>
          </cell>
        </row>
        <row r="1427">
          <cell r="A1427">
            <v>0</v>
          </cell>
          <cell r="B1427" t="str">
            <v xml:space="preserve">248-5554-2011 этап 07 ОКР Прочность-ТРТ  </v>
          </cell>
        </row>
        <row r="1428">
          <cell r="A1428">
            <v>0</v>
          </cell>
          <cell r="B1428" t="str">
            <v xml:space="preserve">248-5554-2011 этап 07 ОКР Прочность-ТРТ  </v>
          </cell>
        </row>
        <row r="1429">
          <cell r="A1429">
            <v>0</v>
          </cell>
          <cell r="B1429" t="str">
            <v xml:space="preserve">248-5554-2011 этап 07 ОКР Прочность-ТРТ  </v>
          </cell>
        </row>
        <row r="1430">
          <cell r="A1430">
            <v>0</v>
          </cell>
          <cell r="B1430" t="str">
            <v xml:space="preserve">248-5554-2011 этап 07 ОКР Прочность-ТРТ  </v>
          </cell>
        </row>
        <row r="1431">
          <cell r="A1431">
            <v>0</v>
          </cell>
          <cell r="B1431" t="str">
            <v>250-5554-2011 этап 07 ОКР ПОЖРД</v>
          </cell>
        </row>
        <row r="1432">
          <cell r="A1432">
            <v>0</v>
          </cell>
          <cell r="B1432" t="str">
            <v>250-5554-2011 этап 07 ОКР ПОЖРД</v>
          </cell>
        </row>
        <row r="1433">
          <cell r="A1433">
            <v>0</v>
          </cell>
          <cell r="B1433" t="str">
            <v>250-5554-2011 этап 07 ОКР ПОЖРД</v>
          </cell>
        </row>
        <row r="1434">
          <cell r="A1434">
            <v>0</v>
          </cell>
          <cell r="B1434" t="str">
            <v>250-5554-2011 этап 07 ОКР ПОЖРД</v>
          </cell>
        </row>
        <row r="1435">
          <cell r="A1435">
            <v>0</v>
          </cell>
          <cell r="B1435" t="str">
            <v>65-2201-2009 этап 02 ОКР Канопус-СТ</v>
          </cell>
        </row>
        <row r="1436">
          <cell r="A1436">
            <v>0</v>
          </cell>
          <cell r="B1436" t="str">
            <v>65-2201-2009 этап 02 ОКР Канопус-СТ</v>
          </cell>
        </row>
        <row r="1437">
          <cell r="A1437">
            <v>0</v>
          </cell>
          <cell r="B1437" t="str">
            <v>65-2201-2009 этап 02 ОКР Канопус-СТ</v>
          </cell>
        </row>
        <row r="1438">
          <cell r="A1438">
            <v>0</v>
          </cell>
          <cell r="B1438" t="str">
            <v>65-2201-2009 этап 02 ОКР Канопус-СТ</v>
          </cell>
        </row>
        <row r="1439">
          <cell r="A1439">
            <v>0</v>
          </cell>
          <cell r="B1439" t="str">
            <v>69-2000-2012 этап 03 ОКР База-М-(Совершенствование)</v>
          </cell>
        </row>
        <row r="1440">
          <cell r="A1440">
            <v>0</v>
          </cell>
          <cell r="B1440" t="str">
            <v>69-2000-2012 этап 03 ОКР База-М-(Совершенствование)</v>
          </cell>
        </row>
        <row r="1441">
          <cell r="A1441">
            <v>0</v>
          </cell>
          <cell r="B1441" t="str">
            <v>69-2000-2012 этап 03 ОКР База-М-(Совершенствование)</v>
          </cell>
        </row>
        <row r="1442">
          <cell r="A1442">
            <v>0</v>
          </cell>
          <cell r="B1442" t="str">
            <v>69-2000-2012 этап 03 ОКР База-М-(Совершенствование)</v>
          </cell>
        </row>
        <row r="1443">
          <cell r="A1443">
            <v>100</v>
          </cell>
          <cell r="B1443" t="str">
            <v>9-5551-2004 этап 21 ОКР Лиана</v>
          </cell>
        </row>
        <row r="1444">
          <cell r="A1444">
            <v>0</v>
          </cell>
          <cell r="B1444" t="str">
            <v>9-5551-2004 этап 21 ОКР Лиана</v>
          </cell>
        </row>
        <row r="1445">
          <cell r="A1445">
            <v>0</v>
          </cell>
          <cell r="B1445" t="str">
            <v>9-5551-2004 этап 21 ОКР Лиана</v>
          </cell>
        </row>
        <row r="1446">
          <cell r="A1446">
            <v>0</v>
          </cell>
          <cell r="B1446" t="str">
            <v>9-5551-2004 этап 21 ОКР Лиана</v>
          </cell>
        </row>
        <row r="1447">
          <cell r="A1447">
            <v>101</v>
          </cell>
          <cell r="B1447" t="str">
            <v>100-5552-2014 этап 01 ОКР Испытания на сейсмостойкость и вибропрочность</v>
          </cell>
        </row>
        <row r="1448">
          <cell r="A1448">
            <v>0</v>
          </cell>
          <cell r="B1448" t="str">
            <v>100-5552-2014 этап 01 ОКР Испытания на сейсмостойкость и вибропрочность</v>
          </cell>
        </row>
        <row r="1449">
          <cell r="A1449">
            <v>0</v>
          </cell>
          <cell r="B1449" t="str">
            <v>100-5552-2014 этап 01 ОКР Испытания на сейсмостойкость и вибропрочность</v>
          </cell>
        </row>
        <row r="1450">
          <cell r="A1450">
            <v>0</v>
          </cell>
          <cell r="B1450" t="str">
            <v>100-5552-2014 этап 01 ОКР Испытания на сейсмостойкость и вибропрочность</v>
          </cell>
        </row>
        <row r="1451">
          <cell r="A1451">
            <v>0</v>
          </cell>
          <cell r="B1451" t="str">
            <v>75-5552-2014 этап 01 ОКР Испытания на сейсмостойкость и вибропрочность</v>
          </cell>
        </row>
        <row r="1452">
          <cell r="A1452">
            <v>0</v>
          </cell>
          <cell r="B1452" t="str">
            <v>75-5552-2014 этап 01 ОКР Испытания на сейсмостойкость и вибропрочность</v>
          </cell>
        </row>
        <row r="1453">
          <cell r="A1453">
            <v>0</v>
          </cell>
          <cell r="B1453" t="str">
            <v>75-5552-2014 этап 01 ОКР Испытания на сейсмостойкость и вибропрочность</v>
          </cell>
        </row>
        <row r="1454">
          <cell r="A1454">
            <v>0</v>
          </cell>
          <cell r="B1454" t="str">
            <v>75-5552-2014 этап 01 ОКР Испытания на сейсмостойкость и вибропрочность</v>
          </cell>
        </row>
        <row r="1455">
          <cell r="A1455">
            <v>0</v>
          </cell>
          <cell r="B1455" t="str">
            <v>9-5551-2004 этап 23  ОКР Лиана</v>
          </cell>
        </row>
        <row r="1456">
          <cell r="A1456">
            <v>0</v>
          </cell>
          <cell r="B1456" t="str">
            <v>9-5551-2004 этап 23  ОКР Лиана</v>
          </cell>
        </row>
        <row r="1457">
          <cell r="A1457">
            <v>0</v>
          </cell>
          <cell r="B1457" t="str">
            <v>9-5551-2004 этап 23  ОКР Лиана</v>
          </cell>
        </row>
        <row r="1458">
          <cell r="A1458">
            <v>0</v>
          </cell>
          <cell r="B1458" t="str">
            <v>9-5551-2004 этап 23  ОКР Лиана</v>
          </cell>
        </row>
        <row r="1459">
          <cell r="A1459">
            <v>0</v>
          </cell>
          <cell r="B1459" t="str">
            <v>9-5551-2004 этап 25.2 ОКР Лиана</v>
          </cell>
        </row>
        <row r="1460">
          <cell r="A1460">
            <v>0</v>
          </cell>
          <cell r="B1460" t="str">
            <v>9-5551-2004 этап 25.2 ОКР Лиана</v>
          </cell>
        </row>
        <row r="1461">
          <cell r="A1461">
            <v>0</v>
          </cell>
          <cell r="B1461" t="str">
            <v>9-5551-2004 этап 25.2 ОКР Лиана</v>
          </cell>
        </row>
        <row r="1462">
          <cell r="A1462">
            <v>0</v>
          </cell>
          <cell r="B1462" t="str">
            <v>9-5551-2004 этап 25.2 ОКР Лиана</v>
          </cell>
        </row>
        <row r="1463">
          <cell r="A1463">
            <v>102</v>
          </cell>
          <cell r="B1463" t="str">
            <v>205-5553-2014 этап 01 ОКР Проведение испытаний</v>
          </cell>
        </row>
        <row r="1464">
          <cell r="A1464">
            <v>0</v>
          </cell>
          <cell r="B1464" t="str">
            <v>205-5553-2014 этап 01 ОКР Проведение испытаний</v>
          </cell>
        </row>
        <row r="1465">
          <cell r="A1465">
            <v>0</v>
          </cell>
          <cell r="B1465" t="str">
            <v>205-5553-2014 этап 01 ОКР Проведение испытаний</v>
          </cell>
        </row>
        <row r="1466">
          <cell r="A1466">
            <v>0</v>
          </cell>
          <cell r="B1466" t="str">
            <v>205-5553-2014 этап 01 ОКР Проведение испытаний</v>
          </cell>
        </row>
        <row r="1467">
          <cell r="A1467">
            <v>0</v>
          </cell>
          <cell r="B1467" t="str">
            <v>217-2100-2011 этап 07 ОКР Отработка-К</v>
          </cell>
        </row>
        <row r="1468">
          <cell r="A1468">
            <v>0</v>
          </cell>
          <cell r="B1468" t="str">
            <v>217-2100-2011 этап 07 ОКР Отработка-К</v>
          </cell>
        </row>
        <row r="1469">
          <cell r="A1469">
            <v>0</v>
          </cell>
          <cell r="B1469" t="str">
            <v>217-2100-2011 этап 07 ОКР Отработка-К</v>
          </cell>
        </row>
        <row r="1470">
          <cell r="A1470">
            <v>0</v>
          </cell>
          <cell r="B1470" t="str">
            <v>217-2100-2011 этап 07 ОКР Отработка-К</v>
          </cell>
        </row>
        <row r="1471">
          <cell r="A1471">
            <v>0</v>
          </cell>
          <cell r="B1471" t="str">
            <v>69-2000-2012 этап 03 ОКР База-М-(Совершенствование)</v>
          </cell>
        </row>
        <row r="1472">
          <cell r="A1472">
            <v>0</v>
          </cell>
          <cell r="B1472" t="str">
            <v>69-2000-2012 этап 03 ОКР База-М-(Совершенствование)</v>
          </cell>
        </row>
        <row r="1473">
          <cell r="A1473">
            <v>0</v>
          </cell>
          <cell r="B1473" t="str">
            <v>69-2000-2012 этап 03 ОКР База-М-(Совершенствование)</v>
          </cell>
        </row>
        <row r="1474">
          <cell r="A1474">
            <v>0</v>
          </cell>
          <cell r="B1474" t="str">
            <v>69-2000-2012 этап 03 ОКР База-М-(Совершенствование)</v>
          </cell>
        </row>
        <row r="1475">
          <cell r="A1475">
            <v>0</v>
          </cell>
          <cell r="B1475" t="str">
            <v>217-2100-2011 этап 07 ОКР Отработка-К</v>
          </cell>
        </row>
        <row r="1476">
          <cell r="A1476">
            <v>0</v>
          </cell>
          <cell r="B1476" t="str">
            <v>217-2100-2011 этап 07 ОКР Отработка-К</v>
          </cell>
        </row>
        <row r="1477">
          <cell r="A1477">
            <v>0</v>
          </cell>
          <cell r="B1477" t="str">
            <v>217-2100-2011 этап 07 ОКР Отработка-К</v>
          </cell>
        </row>
        <row r="1478">
          <cell r="A1478">
            <v>0</v>
          </cell>
          <cell r="B1478" t="str">
            <v>217-2100-2011 этап 07 ОКР Отработка-К</v>
          </cell>
        </row>
        <row r="1479">
          <cell r="A1479">
            <v>0</v>
          </cell>
          <cell r="B1479" t="str">
            <v>110-2000-2012 этап 30 НИР Эксперимент</v>
          </cell>
        </row>
        <row r="1480">
          <cell r="A1480">
            <v>0</v>
          </cell>
          <cell r="B1480" t="str">
            <v>110-2000-2012 этап 30 НИР Эксперимент</v>
          </cell>
        </row>
        <row r="1481">
          <cell r="A1481">
            <v>0</v>
          </cell>
          <cell r="B1481" t="str">
            <v>110-2000-2012 этап 30 НИР Эксперимент</v>
          </cell>
        </row>
        <row r="1482">
          <cell r="A1482">
            <v>0</v>
          </cell>
          <cell r="B1482" t="str">
            <v>110-2000-2012 этап 30 НИР Эксперимент</v>
          </cell>
        </row>
        <row r="1483">
          <cell r="A1483">
            <v>103</v>
          </cell>
          <cell r="B1483" t="str">
            <v>19-2312-2010 этап 04 ОКР 14Ф145</v>
          </cell>
        </row>
        <row r="1484">
          <cell r="A1484">
            <v>0</v>
          </cell>
          <cell r="B1484" t="str">
            <v>19-2312-2010 этап 04 ОКР 14Ф145</v>
          </cell>
        </row>
        <row r="1485">
          <cell r="A1485">
            <v>0</v>
          </cell>
          <cell r="B1485" t="str">
            <v>19-2312-2010 этап 04 ОКР 14Ф145</v>
          </cell>
        </row>
        <row r="1486">
          <cell r="A1486">
            <v>0</v>
          </cell>
          <cell r="B1486" t="str">
            <v>19-2312-2010 этап 04 ОКР 14Ф145</v>
          </cell>
        </row>
        <row r="1487">
          <cell r="A1487">
            <v>0</v>
          </cell>
          <cell r="B1487" t="str">
            <v>235-5556-2011 этап 04 ОКР КТКиСБ</v>
          </cell>
        </row>
        <row r="1488">
          <cell r="A1488">
            <v>0</v>
          </cell>
          <cell r="B1488" t="str">
            <v>235-5556-2011 этап 04 ОКР КТКиСБ</v>
          </cell>
        </row>
        <row r="1489">
          <cell r="A1489">
            <v>0</v>
          </cell>
          <cell r="B1489" t="str">
            <v>235-5556-2011 этап 04 ОКР КТКиСБ</v>
          </cell>
        </row>
        <row r="1490">
          <cell r="A1490">
            <v>0</v>
          </cell>
          <cell r="B1490" t="str">
            <v>235-5556-2011 этап 04 ОКР КТКиСБ</v>
          </cell>
        </row>
        <row r="1491">
          <cell r="A1491">
            <v>0</v>
          </cell>
          <cell r="B1491" t="str">
            <v>87-2206-2008 этап 14 ОКР Ангара</v>
          </cell>
        </row>
        <row r="1492">
          <cell r="A1492">
            <v>0</v>
          </cell>
          <cell r="B1492" t="str">
            <v>87-2206-2008 этап 14 ОКР Ангара</v>
          </cell>
        </row>
        <row r="1493">
          <cell r="A1493">
            <v>0</v>
          </cell>
          <cell r="B1493" t="str">
            <v>87-2206-2008 этап 14 ОКР Ангара</v>
          </cell>
        </row>
        <row r="1494">
          <cell r="A1494">
            <v>0</v>
          </cell>
          <cell r="B1494" t="str">
            <v>87-2206-2008 этап 14 ОКР Ангара</v>
          </cell>
        </row>
        <row r="1495">
          <cell r="A1495">
            <v>0</v>
          </cell>
          <cell r="B1495" t="str">
            <v>98-5556-2013 этап 01 ОКР КА Резонанс</v>
          </cell>
        </row>
        <row r="1496">
          <cell r="A1496">
            <v>0</v>
          </cell>
          <cell r="B1496" t="str">
            <v>98-5556-2013 этап 01 ОКР КА Резонанс</v>
          </cell>
        </row>
        <row r="1497">
          <cell r="A1497">
            <v>0</v>
          </cell>
          <cell r="B1497" t="str">
            <v>98-5556-2013 этап 01 ОКР КА Резонанс</v>
          </cell>
        </row>
        <row r="1498">
          <cell r="A1498">
            <v>0</v>
          </cell>
          <cell r="B1498" t="str">
            <v>98-5556-2013 этап 01 ОКР КА Резонанс</v>
          </cell>
        </row>
        <row r="1499">
          <cell r="A1499">
            <v>0</v>
          </cell>
          <cell r="B1499" t="str">
            <v>Ц-5556/2011 этап 04 ОКР КТКиСб-Ц</v>
          </cell>
        </row>
        <row r="1500">
          <cell r="A1500">
            <v>0</v>
          </cell>
          <cell r="B1500" t="str">
            <v>Ц-5556/2011 этап 04 ОКР КТКиСб-Ц</v>
          </cell>
        </row>
        <row r="1501">
          <cell r="A1501">
            <v>0</v>
          </cell>
          <cell r="B1501" t="str">
            <v>Ц-5556/2011 этап 04 ОКР КТКиСб-Ц</v>
          </cell>
        </row>
        <row r="1502">
          <cell r="A1502">
            <v>0</v>
          </cell>
          <cell r="B1502" t="str">
            <v>Ц-5556/2011 этап 04 ОКР КТКиСб-Ц</v>
          </cell>
        </row>
        <row r="1503">
          <cell r="A1503">
            <v>0</v>
          </cell>
          <cell r="B1503" t="str">
            <v>113-3000-2012 этап 04  Заключение</v>
          </cell>
        </row>
        <row r="1504">
          <cell r="A1504">
            <v>0</v>
          </cell>
          <cell r="B1504" t="str">
            <v>113-3000-2012 этап 04  Заключение</v>
          </cell>
        </row>
        <row r="1505">
          <cell r="A1505">
            <v>0</v>
          </cell>
          <cell r="B1505" t="str">
            <v>113-3000-2012 этап 04  Заключение</v>
          </cell>
        </row>
        <row r="1506">
          <cell r="A1506">
            <v>0</v>
          </cell>
          <cell r="B1506" t="str">
            <v>113-3000-2012 этап 04  Заключение</v>
          </cell>
        </row>
        <row r="1507">
          <cell r="A1507">
            <v>0</v>
          </cell>
          <cell r="B1507" t="str">
            <v xml:space="preserve">16-1313-2013 этап 15 CЧ ОКР МКС (Надежность-Наука) </v>
          </cell>
        </row>
        <row r="1508">
          <cell r="A1508">
            <v>0</v>
          </cell>
          <cell r="B1508" t="str">
            <v xml:space="preserve">16-1313-2013 этап 15 CЧ ОКР МКС (Надежность-Наука) </v>
          </cell>
        </row>
        <row r="1509">
          <cell r="A1509">
            <v>0</v>
          </cell>
          <cell r="B1509" t="str">
            <v xml:space="preserve">16-1313-2013 этап 15 CЧ ОКР МКС (Надежность-Наука) </v>
          </cell>
        </row>
        <row r="1510">
          <cell r="A1510">
            <v>0</v>
          </cell>
          <cell r="B1510" t="str">
            <v xml:space="preserve">16-1313-2013 этап 15 CЧ ОКР МКС (Надежность-Наука) </v>
          </cell>
        </row>
        <row r="1511">
          <cell r="A1511">
            <v>104</v>
          </cell>
          <cell r="B1511" t="str">
            <v>165-1312-2014 этап 01 СЧ НИР Магистраль (Облик-ПК)</v>
          </cell>
        </row>
        <row r="1512">
          <cell r="A1512">
            <v>0</v>
          </cell>
          <cell r="B1512" t="str">
            <v>165-1312-2014 этап 01 СЧ НИР Магистраль (Облик-ПК)</v>
          </cell>
        </row>
        <row r="1513">
          <cell r="A1513">
            <v>0</v>
          </cell>
          <cell r="B1513" t="str">
            <v>165-1312-2014 этап 01 СЧ НИР Магистраль (Облик-ПК)</v>
          </cell>
        </row>
        <row r="1514">
          <cell r="A1514">
            <v>0</v>
          </cell>
          <cell r="B1514" t="str">
            <v>165-1312-2014 этап 01 СЧ НИР Магистраль (Облик-ПК)</v>
          </cell>
        </row>
        <row r="1515">
          <cell r="A1515">
            <v>0</v>
          </cell>
          <cell r="B1515" t="str">
            <v>310-5557-2013 этап 01 СЧ ОКР САРМАТ</v>
          </cell>
        </row>
        <row r="1516">
          <cell r="A1516">
            <v>0</v>
          </cell>
          <cell r="B1516" t="str">
            <v>310-5557-2013 этап 01 СЧ ОКР САРМАТ</v>
          </cell>
        </row>
        <row r="1517">
          <cell r="A1517">
            <v>0</v>
          </cell>
          <cell r="B1517" t="str">
            <v>310-5557-2013 этап 01 СЧ ОКР САРМАТ</v>
          </cell>
        </row>
        <row r="1518">
          <cell r="A1518">
            <v>0</v>
          </cell>
          <cell r="B1518" t="str">
            <v>310-5557-2013 этап 01 СЧ ОКР САРМАТ</v>
          </cell>
        </row>
        <row r="1519">
          <cell r="A1519">
            <v>0</v>
          </cell>
          <cell r="B1519" t="str">
            <v>96-4014-2014 этап 01 ОКР Ударение</v>
          </cell>
        </row>
        <row r="1520">
          <cell r="A1520">
            <v>0</v>
          </cell>
          <cell r="B1520" t="str">
            <v>96-4014-2014 этап 01 ОКР Ударение</v>
          </cell>
        </row>
        <row r="1521">
          <cell r="A1521">
            <v>0</v>
          </cell>
          <cell r="B1521" t="str">
            <v>96-4014-2014 этап 01 ОКР Ударение</v>
          </cell>
        </row>
        <row r="1522">
          <cell r="A1522">
            <v>0</v>
          </cell>
          <cell r="B1522" t="str">
            <v>96-4014-2014 этап 01 ОКР Ударение</v>
          </cell>
        </row>
        <row r="1523">
          <cell r="A1523">
            <v>0</v>
          </cell>
          <cell r="B1523" t="str">
            <v>120-5558-2014 этап 01 СЧ ОКР Союз-Восток</v>
          </cell>
        </row>
        <row r="1524">
          <cell r="A1524">
            <v>0</v>
          </cell>
          <cell r="B1524" t="str">
            <v>120-5558-2014 этап 01 СЧ ОКР Союз-Восток</v>
          </cell>
        </row>
        <row r="1525">
          <cell r="A1525">
            <v>0</v>
          </cell>
          <cell r="B1525" t="str">
            <v>120-5558-2014 этап 01 СЧ ОКР Союз-Восток</v>
          </cell>
        </row>
        <row r="1526">
          <cell r="A1526">
            <v>0</v>
          </cell>
          <cell r="B1526" t="str">
            <v>120-5558-2014 этап 01 СЧ ОКР Союз-Восток</v>
          </cell>
        </row>
        <row r="1527">
          <cell r="A1527">
            <v>0</v>
          </cell>
          <cell r="B1527" t="str">
            <v>121-5558-2014 этап 01 СЧ ОКР Союз-Восток</v>
          </cell>
        </row>
        <row r="1528">
          <cell r="A1528">
            <v>0</v>
          </cell>
          <cell r="B1528" t="str">
            <v>121-5558-2014 этап 01 СЧ ОКР Союз-Восток</v>
          </cell>
        </row>
        <row r="1529">
          <cell r="A1529">
            <v>0</v>
          </cell>
          <cell r="B1529" t="str">
            <v>121-5558-2014 этап 01 СЧ ОКР Союз-Восток</v>
          </cell>
        </row>
        <row r="1530">
          <cell r="A1530">
            <v>0</v>
          </cell>
          <cell r="B1530" t="str">
            <v>121-5558-2014 этап 01 СЧ ОКР Союз-Восток</v>
          </cell>
        </row>
        <row r="1531">
          <cell r="A1531">
            <v>0</v>
          </cell>
          <cell r="B1531" t="str">
            <v>122-5558-2014 этап 01 СЧ ОКР Союз-Восток</v>
          </cell>
        </row>
        <row r="1532">
          <cell r="A1532">
            <v>0</v>
          </cell>
          <cell r="B1532" t="str">
            <v>122-5558-2014 этап 01 СЧ ОКР Союз-Восток</v>
          </cell>
        </row>
        <row r="1533">
          <cell r="A1533">
            <v>0</v>
          </cell>
          <cell r="B1533" t="str">
            <v>122-5558-2014 этап 01 СЧ ОКР Союз-Восток</v>
          </cell>
        </row>
        <row r="1534">
          <cell r="A1534">
            <v>0</v>
          </cell>
          <cell r="B1534" t="str">
            <v>122-5558-2014 этап 01 СЧ ОКР Союз-Восток</v>
          </cell>
        </row>
        <row r="1535">
          <cell r="A1535">
            <v>0</v>
          </cell>
          <cell r="B1535" t="str">
            <v xml:space="preserve">123-5558-2014  этап 01 СЧ ОКР Союз-Восток </v>
          </cell>
        </row>
        <row r="1536">
          <cell r="A1536">
            <v>0</v>
          </cell>
          <cell r="B1536" t="str">
            <v xml:space="preserve">123-5558-2014  этап 01 СЧ ОКР Союз-Восток </v>
          </cell>
        </row>
        <row r="1537">
          <cell r="A1537">
            <v>0</v>
          </cell>
          <cell r="B1537" t="str">
            <v xml:space="preserve">123-5558-2014  этап 01 СЧ ОКР Союз-Восток </v>
          </cell>
        </row>
        <row r="1538">
          <cell r="A1538">
            <v>0</v>
          </cell>
          <cell r="B1538" t="str">
            <v xml:space="preserve">123-5558-2014  этап 01 СЧ ОКР Союз-Восток </v>
          </cell>
        </row>
        <row r="1539">
          <cell r="A1539">
            <v>0</v>
          </cell>
          <cell r="B1539" t="str">
            <v xml:space="preserve">16-1313-2013 этап 17 CЧ ОКР МКС (Надежность-Наука) </v>
          </cell>
        </row>
        <row r="1540">
          <cell r="A1540">
            <v>0</v>
          </cell>
          <cell r="B1540" t="str">
            <v xml:space="preserve">16-1313-2013 этап 17 CЧ ОКР МКС (Надежность-Наука) </v>
          </cell>
        </row>
        <row r="1541">
          <cell r="A1541">
            <v>0</v>
          </cell>
          <cell r="B1541" t="str">
            <v xml:space="preserve">16-1313-2013 этап 17 CЧ ОКР МКС (Надежность-Наука) </v>
          </cell>
        </row>
        <row r="1542">
          <cell r="A1542">
            <v>0</v>
          </cell>
          <cell r="B1542" t="str">
            <v xml:space="preserve">16-1313-2013 этап 17 CЧ ОКР МКС (Надежность-Наука) </v>
          </cell>
        </row>
        <row r="1543">
          <cell r="A1543">
            <v>105</v>
          </cell>
          <cell r="B1543" t="str">
            <v>166-4151-2014 этап 01 СЧ ОКР Союз-СТ</v>
          </cell>
        </row>
        <row r="1544">
          <cell r="A1544">
            <v>0</v>
          </cell>
          <cell r="B1544" t="str">
            <v>166-4151-2014 этап 01 СЧ ОКР Союз-СТ</v>
          </cell>
        </row>
        <row r="1545">
          <cell r="A1545">
            <v>0</v>
          </cell>
          <cell r="B1545" t="str">
            <v>166-4151-2014 этап 01 СЧ ОКР Союз-СТ</v>
          </cell>
        </row>
        <row r="1546">
          <cell r="A1546">
            <v>0</v>
          </cell>
          <cell r="B1546" t="str">
            <v>166-4151-2014 этап 01 СЧ ОКР Союз-СТ</v>
          </cell>
        </row>
        <row r="1547">
          <cell r="A1547">
            <v>106</v>
          </cell>
          <cell r="B1547" t="str">
            <v>45-5558-2012 этап 02 СЧ ОКР РКН Ангара</v>
          </cell>
        </row>
        <row r="1548">
          <cell r="A1548">
            <v>0</v>
          </cell>
          <cell r="B1548" t="str">
            <v>45-5558-2012 этап 02 СЧ ОКР РКН Ангара</v>
          </cell>
        </row>
        <row r="1549">
          <cell r="A1549">
            <v>0</v>
          </cell>
          <cell r="B1549" t="str">
            <v>45-5558-2012 этап 02 СЧ ОКР РКН Ангара</v>
          </cell>
        </row>
        <row r="1550">
          <cell r="A1550">
            <v>0</v>
          </cell>
          <cell r="B1550" t="str">
            <v>45-5558-2012 этап 02 СЧ ОКР РКН Ангара</v>
          </cell>
        </row>
        <row r="1551">
          <cell r="A1551">
            <v>107</v>
          </cell>
          <cell r="B1551" t="str">
            <v>46-5558-2012 этап 02 СЧ ОКР РКН Ангара</v>
          </cell>
        </row>
        <row r="1552">
          <cell r="A1552">
            <v>0</v>
          </cell>
          <cell r="B1552" t="str">
            <v>46-5558-2012 этап 02 СЧ ОКР РКН Ангара</v>
          </cell>
        </row>
        <row r="1553">
          <cell r="A1553">
            <v>0</v>
          </cell>
          <cell r="B1553" t="str">
            <v>46-5558-2012 этап 02 СЧ ОКР РКН Ангара</v>
          </cell>
        </row>
        <row r="1554">
          <cell r="A1554">
            <v>0</v>
          </cell>
          <cell r="B1554" t="str">
            <v>46-5558-2012 этап 02 СЧ ОКР РКН Ангара</v>
          </cell>
        </row>
        <row r="1555">
          <cell r="A1555">
            <v>0</v>
          </cell>
          <cell r="B1555" t="str">
            <v>59-5558-2014 этап 01 СЧ ОКР Прочность ФГБ</v>
          </cell>
        </row>
        <row r="1556">
          <cell r="A1556">
            <v>0</v>
          </cell>
          <cell r="B1556" t="str">
            <v>59-5558-2014 этап 01 СЧ ОКР Прочность ФГБ</v>
          </cell>
        </row>
        <row r="1557">
          <cell r="A1557">
            <v>0</v>
          </cell>
          <cell r="B1557" t="str">
            <v>59-5558-2014 этап 01 СЧ ОКР Прочность ФГБ</v>
          </cell>
        </row>
        <row r="1558">
          <cell r="A1558">
            <v>0</v>
          </cell>
          <cell r="B1558" t="str">
            <v>59-5558-2014 этап 01 СЧ ОКР Прочность ФГБ</v>
          </cell>
        </row>
        <row r="1559">
          <cell r="A1559">
            <v>0</v>
          </cell>
          <cell r="B1559" t="str">
            <v>132-2000-2014 этап 01 СЧ ОКР База-М (Совершенствование 2)</v>
          </cell>
        </row>
        <row r="1560">
          <cell r="A1560">
            <v>0</v>
          </cell>
          <cell r="B1560" t="str">
            <v>132-2000-2014 этап 01 СЧ ОКР База-М (Совершенствование 2)</v>
          </cell>
        </row>
        <row r="1561">
          <cell r="A1561">
            <v>0</v>
          </cell>
          <cell r="B1561" t="str">
            <v>235-5556-2011 этап 04 ОКР КТКиСБ</v>
          </cell>
        </row>
        <row r="1562">
          <cell r="A1562">
            <v>0</v>
          </cell>
          <cell r="B1562" t="str">
            <v>235-5556-2011 этап 04 ОКР КТКиСБ</v>
          </cell>
        </row>
        <row r="1563">
          <cell r="A1563">
            <v>0</v>
          </cell>
          <cell r="B1563" t="str">
            <v>235-5556-2011 этап 04 ОКР КТКиСБ</v>
          </cell>
        </row>
        <row r="1564">
          <cell r="A1564">
            <v>0</v>
          </cell>
          <cell r="B1564" t="str">
            <v>235-5556-2011 этап 04 ОКР КТКиСБ</v>
          </cell>
        </row>
        <row r="1565">
          <cell r="A1565">
            <v>0</v>
          </cell>
          <cell r="B1565" t="str">
            <v>69-2000-2012 этап 03 ОКР База-М-(Совершенствование)</v>
          </cell>
        </row>
        <row r="1566">
          <cell r="A1566">
            <v>0</v>
          </cell>
          <cell r="B1566" t="str">
            <v>69-2000-2012 этап 03 ОКР База-М-(Совершенствование)</v>
          </cell>
        </row>
        <row r="1567">
          <cell r="A1567">
            <v>0</v>
          </cell>
          <cell r="B1567" t="str">
            <v>69-2000-2012 этап 03 ОКР База-М-(Совершенствование)</v>
          </cell>
        </row>
        <row r="1568">
          <cell r="A1568">
            <v>0</v>
          </cell>
          <cell r="B1568" t="str">
            <v>69-2000-2012 этап 03 ОКР База-М-(Совершенствование)</v>
          </cell>
        </row>
        <row r="1569">
          <cell r="A1569">
            <v>0</v>
          </cell>
          <cell r="B1569" t="str">
            <v>110-2000-2012 этап 30 НИР Эксперимент</v>
          </cell>
        </row>
        <row r="1570">
          <cell r="A1570">
            <v>0</v>
          </cell>
          <cell r="B1570" t="str">
            <v>110-2000-2012 этап 30 НИР Эксперимент</v>
          </cell>
        </row>
        <row r="1571">
          <cell r="A1571">
            <v>0</v>
          </cell>
          <cell r="B1571" t="str">
            <v>110-2000-2012 этап 30 НИР Эксперимент</v>
          </cell>
        </row>
        <row r="1572">
          <cell r="A1572">
            <v>0</v>
          </cell>
          <cell r="B1572" t="str">
            <v>110-2000-2012 этап 30 НИР Эксперимент</v>
          </cell>
        </row>
        <row r="1573">
          <cell r="A1573">
            <v>0</v>
          </cell>
          <cell r="B1573" t="str">
            <v>132-2000-2014 этап 01 СЧ ОКР База-М (Совершенствование 2)</v>
          </cell>
        </row>
        <row r="1574">
          <cell r="A1574">
            <v>0</v>
          </cell>
          <cell r="B1574" t="str">
            <v>132-2000-2014 этап 01 СЧ ОКР База-М (Совершенствование 2)</v>
          </cell>
        </row>
        <row r="1575">
          <cell r="A1575">
            <v>0</v>
          </cell>
          <cell r="B1575" t="str">
            <v>135-5551-2014 этап 01 СЧ ОКР Баргузин-РВ</v>
          </cell>
        </row>
        <row r="1576">
          <cell r="A1576">
            <v>0</v>
          </cell>
          <cell r="B1576" t="str">
            <v>135-5551-2014 этап 01 СЧ ОКР Баргузин-РВ</v>
          </cell>
        </row>
        <row r="1577">
          <cell r="A1577">
            <v>0</v>
          </cell>
          <cell r="B1577" t="str">
            <v>135-5551-2014 этап 01 СЧ ОКР Баргузин-РВ</v>
          </cell>
        </row>
        <row r="1578">
          <cell r="A1578">
            <v>0</v>
          </cell>
          <cell r="B1578" t="str">
            <v>135-5551-2014 этап 01 СЧ ОКР Баргузин-РВ</v>
          </cell>
        </row>
        <row r="1579">
          <cell r="A1579">
            <v>0</v>
          </cell>
          <cell r="B1579" t="str">
            <v xml:space="preserve">16-1313-2013 этап 11 CЧ ОКР МКС (Надежность-Наука) </v>
          </cell>
        </row>
        <row r="1580">
          <cell r="A1580">
            <v>0</v>
          </cell>
          <cell r="B1580" t="str">
            <v xml:space="preserve">16-1313-2013 этап 11 CЧ ОКР МКС (Надежность-Наука) </v>
          </cell>
        </row>
        <row r="1581">
          <cell r="A1581">
            <v>0</v>
          </cell>
          <cell r="B1581" t="str">
            <v xml:space="preserve">16-1313-2013 этап 11 CЧ ОКР МКС (Надежность-Наука) </v>
          </cell>
        </row>
        <row r="1582">
          <cell r="A1582">
            <v>0</v>
          </cell>
          <cell r="B1582" t="str">
            <v xml:space="preserve">16-1313-2013 этап 11 CЧ ОКР МКС (Надежность-Наука) </v>
          </cell>
        </row>
        <row r="1583">
          <cell r="A1583">
            <v>0</v>
          </cell>
          <cell r="B1583" t="str">
            <v xml:space="preserve">16-1313-2013 этап 18 CЧ ОКР МКС (Надежность-Наука) </v>
          </cell>
        </row>
        <row r="1584">
          <cell r="A1584">
            <v>0</v>
          </cell>
          <cell r="B1584" t="str">
            <v xml:space="preserve">16-1313-2013 этап 18 CЧ ОКР МКС (Надежность-Наука) </v>
          </cell>
        </row>
        <row r="1585">
          <cell r="A1585">
            <v>0</v>
          </cell>
          <cell r="B1585" t="str">
            <v>235-5556-2011 этап 04 ОКР КТКиСБ</v>
          </cell>
        </row>
        <row r="1586">
          <cell r="A1586">
            <v>0</v>
          </cell>
          <cell r="B1586" t="str">
            <v>235-5556-2011 этап 04 ОКР КТКиСБ</v>
          </cell>
        </row>
        <row r="1587">
          <cell r="A1587">
            <v>0</v>
          </cell>
          <cell r="B1587" t="str">
            <v xml:space="preserve">248-5554-2011 этап 07 ОКР Прочность-ТРТ  </v>
          </cell>
        </row>
        <row r="1588">
          <cell r="A1588">
            <v>0</v>
          </cell>
          <cell r="B1588" t="str">
            <v xml:space="preserve">248-5554-2011 этап 07 ОКР Прочность-ТРТ  </v>
          </cell>
        </row>
        <row r="1589">
          <cell r="A1589">
            <v>0</v>
          </cell>
          <cell r="B1589" t="str">
            <v xml:space="preserve">248-5554-2011 этап 07 ОКР Прочность-ТРТ  </v>
          </cell>
        </row>
        <row r="1590">
          <cell r="A1590">
            <v>0</v>
          </cell>
          <cell r="B1590" t="str">
            <v xml:space="preserve">248-5554-2011 этап 07 ОКР Прочность-ТРТ  </v>
          </cell>
        </row>
        <row r="1591">
          <cell r="A1591">
            <v>0</v>
          </cell>
          <cell r="B1591" t="str">
            <v>250-5554-2011 этап 07 ОКР ПОЖРД</v>
          </cell>
        </row>
        <row r="1592">
          <cell r="A1592">
            <v>0</v>
          </cell>
          <cell r="B1592" t="str">
            <v>250-5554-2011 этап 07 ОКР ПОЖРД</v>
          </cell>
        </row>
        <row r="1593">
          <cell r="A1593">
            <v>0</v>
          </cell>
          <cell r="B1593" t="str">
            <v>250-5554-2011 этап 07 ОКР ПОЖРД</v>
          </cell>
        </row>
        <row r="1594">
          <cell r="A1594">
            <v>0</v>
          </cell>
          <cell r="B1594" t="str">
            <v>250-5554-2011 этап 07 ОКР ПОЖРД</v>
          </cell>
        </row>
        <row r="1595">
          <cell r="A1595">
            <v>0</v>
          </cell>
          <cell r="B1595" t="str">
            <v>69-2000-2012 этап 03 ОКР База-М-(Совершенствование)</v>
          </cell>
        </row>
        <row r="1596">
          <cell r="A1596">
            <v>0</v>
          </cell>
          <cell r="B1596" t="str">
            <v>69-2000-2012 этап 03 ОКР База-М-(Совершенствование)</v>
          </cell>
        </row>
        <row r="1597">
          <cell r="A1597">
            <v>0</v>
          </cell>
          <cell r="B1597" t="str">
            <v>69-2000-2012 этап 03 ОКР База-М-(Совершенствование)</v>
          </cell>
        </row>
        <row r="1598">
          <cell r="A1598">
            <v>0</v>
          </cell>
          <cell r="B1598" t="str">
            <v>69-2000-2012 этап 03 ОКР База-М-(Совершенствование)</v>
          </cell>
        </row>
        <row r="1599">
          <cell r="A1599">
            <v>0</v>
          </cell>
          <cell r="B1599" t="str">
            <v>85-4222-2012 этап 03 ОКР Надежность КА и СВ</v>
          </cell>
        </row>
        <row r="1600">
          <cell r="A1600">
            <v>0</v>
          </cell>
          <cell r="B1600" t="str">
            <v>85-4222-2012 этап 03 ОКР Надежность КА и СВ</v>
          </cell>
        </row>
        <row r="1601">
          <cell r="A1601">
            <v>0</v>
          </cell>
          <cell r="B1601" t="str">
            <v>91-2107-2012 этап 03 ОКР АСиМО</v>
          </cell>
        </row>
        <row r="1602">
          <cell r="A1602">
            <v>0</v>
          </cell>
          <cell r="B1602" t="str">
            <v>91-2107-2012 этап 03 ОКР АСиМО</v>
          </cell>
        </row>
        <row r="1603">
          <cell r="A1603">
            <v>108</v>
          </cell>
          <cell r="B1603" t="str">
            <v>113-1201-2014 этап 01 СЧ ОКР Ресурс-П №2</v>
          </cell>
        </row>
        <row r="1604">
          <cell r="A1604">
            <v>0</v>
          </cell>
          <cell r="B1604" t="str">
            <v>113-1201-2014 этап 01 СЧ ОКР Ресурс-П №2</v>
          </cell>
        </row>
        <row r="1605">
          <cell r="A1605">
            <v>0</v>
          </cell>
          <cell r="B1605" t="str">
            <v>113-1201-2014 этап 01 СЧ ОКР Ресурс-П №2</v>
          </cell>
        </row>
        <row r="1606">
          <cell r="A1606">
            <v>0</v>
          </cell>
          <cell r="B1606" t="str">
            <v>113-1201-2014 этап 01 СЧ ОКР Ресурс-П №2</v>
          </cell>
        </row>
        <row r="1607">
          <cell r="A1607">
            <v>0</v>
          </cell>
          <cell r="B1607" t="str">
            <v>132-2000-2014 этап 01 СЧ ОКР База-М (Совершенствование 2)</v>
          </cell>
        </row>
        <row r="1608">
          <cell r="A1608">
            <v>0</v>
          </cell>
          <cell r="B1608" t="str">
            <v>132-2000-2014 этап 01 СЧ ОКР База-М (Совершенствование 2)</v>
          </cell>
        </row>
        <row r="1609">
          <cell r="A1609">
            <v>109</v>
          </cell>
          <cell r="B1609" t="str">
            <v>209-1205-2014 этап 02 СЧ НИР Энергетика-ЦНИИмаш</v>
          </cell>
        </row>
        <row r="1610">
          <cell r="A1610">
            <v>0</v>
          </cell>
          <cell r="B1610" t="str">
            <v>209-1205-2014 этап 02 СЧ НИР Энергетика-ЦНИИмаш</v>
          </cell>
        </row>
        <row r="1611">
          <cell r="A1611">
            <v>0</v>
          </cell>
          <cell r="B1611" t="str">
            <v>209-1205-2014 этап 02 СЧ НИР Энергетика-ЦНИИмаш</v>
          </cell>
        </row>
        <row r="1612">
          <cell r="A1612">
            <v>0</v>
          </cell>
          <cell r="B1612" t="str">
            <v>209-1205-2014 этап 02 СЧ НИР Энергетика-ЦНИИмаш</v>
          </cell>
        </row>
        <row r="1613">
          <cell r="A1613">
            <v>110</v>
          </cell>
          <cell r="B1613" t="str">
            <v>209-1205-2014 этап 03 СЧ НИР Энергетика-ЦНИИмаш</v>
          </cell>
        </row>
        <row r="1614">
          <cell r="A1614">
            <v>0</v>
          </cell>
          <cell r="B1614" t="str">
            <v>209-1205-2014 этап 03 СЧ НИР Энергетика-ЦНИИмаш</v>
          </cell>
        </row>
        <row r="1615">
          <cell r="A1615">
            <v>0</v>
          </cell>
          <cell r="B1615" t="str">
            <v>209-1205-2014 этап 03 СЧ НИР Энергетика-ЦНИИмаш</v>
          </cell>
        </row>
        <row r="1616">
          <cell r="A1616">
            <v>0</v>
          </cell>
          <cell r="B1616" t="str">
            <v>209-1205-2014 этап 03 СЧ НИР Энергетика-ЦНИИмаш</v>
          </cell>
        </row>
        <row r="1617">
          <cell r="A1617">
            <v>111</v>
          </cell>
          <cell r="B1617" t="str">
            <v>246-1034-2011 этап 4 ОКР УФИК</v>
          </cell>
        </row>
        <row r="1618">
          <cell r="A1618">
            <v>0</v>
          </cell>
          <cell r="B1618" t="str">
            <v>246-1034-2011 этап 4 ОКР УФИК</v>
          </cell>
        </row>
        <row r="1619">
          <cell r="A1619">
            <v>0</v>
          </cell>
          <cell r="B1619" t="str">
            <v>246-1034-2011 этап 4 ОКР УФИК</v>
          </cell>
        </row>
        <row r="1620">
          <cell r="A1620">
            <v>0</v>
          </cell>
          <cell r="B1620" t="str">
            <v>246-1034-2011 этап 4 ОКР УФИК</v>
          </cell>
        </row>
        <row r="1621">
          <cell r="A1621">
            <v>0</v>
          </cell>
          <cell r="B1621" t="str">
            <v>69-2000-2012 этап 03 ОКР База-М-(Совершенствование)</v>
          </cell>
        </row>
        <row r="1622">
          <cell r="A1622">
            <v>0</v>
          </cell>
          <cell r="B1622" t="str">
            <v>69-2000-2012 этап 03 ОКР База-М-(Совершенствование)</v>
          </cell>
        </row>
        <row r="1623">
          <cell r="A1623">
            <v>0</v>
          </cell>
          <cell r="B1623" t="str">
            <v>69-2000-2012 этап 03 ОКР База-М-(Совершенствование)</v>
          </cell>
        </row>
        <row r="1624">
          <cell r="A1624">
            <v>0</v>
          </cell>
          <cell r="B1624" t="str">
            <v>69-2000-2012 этап 03 ОКР База-М-(Совершенствование)</v>
          </cell>
        </row>
        <row r="1625">
          <cell r="A1625">
            <v>0</v>
          </cell>
          <cell r="B1625" t="str">
            <v>9-5551-2004 этап 23  ОКР Лиана</v>
          </cell>
        </row>
        <row r="1626">
          <cell r="A1626">
            <v>0</v>
          </cell>
          <cell r="B1626" t="str">
            <v>9-5551-2004 этап 23  ОКР Лиана</v>
          </cell>
        </row>
        <row r="1627">
          <cell r="A1627">
            <v>0</v>
          </cell>
          <cell r="B1627" t="str">
            <v>9-5551-2004 этап 25.2 ОКР Лиана</v>
          </cell>
        </row>
        <row r="1628">
          <cell r="A1628">
            <v>0</v>
          </cell>
          <cell r="B1628" t="str">
            <v>9-5551-2004 этап 25.2 ОКР Лиана</v>
          </cell>
        </row>
        <row r="1629">
          <cell r="A1629">
            <v>0</v>
          </cell>
          <cell r="B1629" t="str">
            <v>9-5551-2004 этап 25.2 ОКР Лиана</v>
          </cell>
        </row>
        <row r="1630">
          <cell r="A1630">
            <v>0</v>
          </cell>
          <cell r="B1630" t="str">
            <v>9-5551-2004 этап 25.2 ОКР Лиана</v>
          </cell>
        </row>
        <row r="1631">
          <cell r="A1631">
            <v>0</v>
          </cell>
          <cell r="B1631" t="str">
            <v>96-4014-2014 этап 01 ОКР Ударение</v>
          </cell>
        </row>
        <row r="1632">
          <cell r="A1632">
            <v>0</v>
          </cell>
          <cell r="B1632" t="str">
            <v>96-4014-2014 этап 01 ОКР Ударение</v>
          </cell>
        </row>
        <row r="1633">
          <cell r="A1633">
            <v>112</v>
          </cell>
          <cell r="B1633" t="str">
            <v>217-2100-2011 этап 08 ОКР Отработка-К</v>
          </cell>
        </row>
        <row r="1634">
          <cell r="A1634">
            <v>0</v>
          </cell>
          <cell r="B1634" t="str">
            <v>217-2100-2011 этап 08 ОКР Отработка-К</v>
          </cell>
        </row>
        <row r="1635">
          <cell r="A1635">
            <v>0</v>
          </cell>
          <cell r="B1635" t="str">
            <v>217-2100-2011 этап 08 ОКР Отработка-К</v>
          </cell>
        </row>
        <row r="1636">
          <cell r="A1636">
            <v>0</v>
          </cell>
          <cell r="B1636" t="str">
            <v>217-2100-2011 этап 08 ОКР Отработка-К</v>
          </cell>
        </row>
        <row r="1637">
          <cell r="A1637">
            <v>0</v>
          </cell>
          <cell r="B1637" t="str">
            <v>69-2000-2012 этап 03 ОКР База-М-(Совершенствование)</v>
          </cell>
        </row>
        <row r="1638">
          <cell r="A1638">
            <v>0</v>
          </cell>
          <cell r="B1638" t="str">
            <v>69-2000-2012 этап 03 ОКР База-М-(Совершенствование)</v>
          </cell>
        </row>
        <row r="1639">
          <cell r="A1639">
            <v>0</v>
          </cell>
          <cell r="B1639" t="str">
            <v>69-2000-2012 этап 03 ОКР База-М-(Совершенствование)</v>
          </cell>
        </row>
        <row r="1640">
          <cell r="A1640">
            <v>0</v>
          </cell>
          <cell r="B1640" t="str">
            <v>69-2000-2012 этап 03 ОКР База-М-(Совершенствование)</v>
          </cell>
        </row>
        <row r="1641">
          <cell r="A1641">
            <v>0</v>
          </cell>
          <cell r="B1641" t="str">
            <v>85-4222-2012 этап 03 ОКР Надежность КА и СВ</v>
          </cell>
        </row>
        <row r="1642">
          <cell r="A1642">
            <v>0</v>
          </cell>
          <cell r="B1642" t="str">
            <v>85-4222-2012 этап 03 ОКР Надежность КА и СВ</v>
          </cell>
        </row>
        <row r="1643">
          <cell r="A1643">
            <v>0</v>
          </cell>
          <cell r="B1643" t="str">
            <v>69-2000-2012 этап 03 ОКР База-М-(Совершенствование)</v>
          </cell>
        </row>
        <row r="1644">
          <cell r="A1644">
            <v>0</v>
          </cell>
          <cell r="B1644" t="str">
            <v>69-2000-2012 этап 03 ОКР База-М-(Совершенствование)</v>
          </cell>
        </row>
        <row r="1645">
          <cell r="A1645">
            <v>0</v>
          </cell>
          <cell r="B1645" t="str">
            <v>69-2000-2012 этап 03 ОКР База-М-(Совершенствование)</v>
          </cell>
        </row>
        <row r="1646">
          <cell r="A1646">
            <v>0</v>
          </cell>
          <cell r="B1646" t="str">
            <v>69-2000-2012 этап 03 ОКР База-М-(Совершенствование)</v>
          </cell>
        </row>
        <row r="1647">
          <cell r="A1647">
            <v>0</v>
          </cell>
          <cell r="B1647" t="str">
            <v>132-2000-2014 этап 01 СЧ ОКР База-М (Совершенствование 2)</v>
          </cell>
        </row>
        <row r="1648">
          <cell r="A1648">
            <v>0</v>
          </cell>
          <cell r="B1648" t="str">
            <v>132-2000-2014 этап 01 СЧ ОКР База-М (Совершенствование 2)</v>
          </cell>
        </row>
        <row r="1649">
          <cell r="A1649">
            <v>0</v>
          </cell>
          <cell r="B1649" t="str">
            <v>132-2000-2014 этап 01 СЧ ОКР База-М (Совершенствование 2)</v>
          </cell>
        </row>
        <row r="1650">
          <cell r="A1650">
            <v>0</v>
          </cell>
          <cell r="B1650" t="str">
            <v>132-2000-2014 этап 01 СЧ ОКР База-М (Совершенствование 2)</v>
          </cell>
        </row>
        <row r="1651">
          <cell r="A1651">
            <v>0</v>
          </cell>
          <cell r="B1651" t="str">
            <v xml:space="preserve">16-1313-2013 этап 18 CЧ ОКР МКС (Надежность-Наука) </v>
          </cell>
        </row>
        <row r="1652">
          <cell r="A1652">
            <v>0</v>
          </cell>
          <cell r="B1652" t="str">
            <v xml:space="preserve">16-1313-2013 этап 18 CЧ ОКР МКС (Надежность-Наука) </v>
          </cell>
        </row>
        <row r="1653">
          <cell r="A1653">
            <v>0</v>
          </cell>
          <cell r="B1653" t="str">
            <v>235-5556-2011 этап 04 ОКР КТКиСБ</v>
          </cell>
        </row>
        <row r="1654">
          <cell r="A1654">
            <v>0</v>
          </cell>
          <cell r="B1654" t="str">
            <v>235-5556-2011 этап 04 ОКР КТКиСБ</v>
          </cell>
        </row>
        <row r="1655">
          <cell r="A1655">
            <v>0</v>
          </cell>
          <cell r="B1655" t="str">
            <v>235-5556-2011 этап 04 ОКР КТКиСБ</v>
          </cell>
        </row>
        <row r="1656">
          <cell r="A1656">
            <v>0</v>
          </cell>
          <cell r="B1656" t="str">
            <v>235-5556-2011 этап 04 ОКР КТКиСБ</v>
          </cell>
        </row>
        <row r="1657">
          <cell r="A1657">
            <v>0</v>
          </cell>
          <cell r="B1657" t="str">
            <v>69-2000-2012 этап 03 ОКР База-М-(Совершенствование)</v>
          </cell>
        </row>
        <row r="1658">
          <cell r="A1658">
            <v>0</v>
          </cell>
          <cell r="B1658" t="str">
            <v>69-2000-2012 этап 03 ОКР База-М-(Совершенствование)</v>
          </cell>
        </row>
        <row r="1659">
          <cell r="A1659">
            <v>0</v>
          </cell>
          <cell r="B1659" t="str">
            <v>85-4222-2012 этап 03 ОКР Надежность КА и СВ</v>
          </cell>
        </row>
        <row r="1660">
          <cell r="A1660">
            <v>0</v>
          </cell>
          <cell r="B1660" t="str">
            <v>85-4222-2012 этап 03 ОКР Надежность КА и СВ</v>
          </cell>
        </row>
        <row r="1661">
          <cell r="A1661">
            <v>0</v>
          </cell>
          <cell r="B1661" t="str">
            <v>132-2000-2014 этап 01 СЧ ОКР База-М (Совершенствование 2)</v>
          </cell>
        </row>
        <row r="1662">
          <cell r="A1662">
            <v>0</v>
          </cell>
          <cell r="B1662" t="str">
            <v>132-2000-2014 этап 01 СЧ ОКР База-М (Совершенствование 2)</v>
          </cell>
        </row>
        <row r="1663">
          <cell r="A1663">
            <v>0</v>
          </cell>
          <cell r="B1663" t="str">
            <v xml:space="preserve">16-1313-2013 этап 15 CЧ ОКР МКС (Надежность-Наука) </v>
          </cell>
        </row>
        <row r="1664">
          <cell r="A1664">
            <v>0</v>
          </cell>
          <cell r="B1664" t="str">
            <v xml:space="preserve">16-1313-2013 этап 15 CЧ ОКР МКС (Надежность-Наука) </v>
          </cell>
        </row>
        <row r="1665">
          <cell r="A1665">
            <v>0</v>
          </cell>
          <cell r="B1665" t="str">
            <v xml:space="preserve">16-1313-2013 этап 15 CЧ ОКР МКС (Надежность-Наука) </v>
          </cell>
        </row>
        <row r="1666">
          <cell r="A1666">
            <v>0</v>
          </cell>
          <cell r="B1666" t="str">
            <v xml:space="preserve">16-1313-2013 этап 15 CЧ ОКР МКС (Надежность-Наука) </v>
          </cell>
        </row>
        <row r="1667">
          <cell r="A1667">
            <v>0</v>
          </cell>
          <cell r="B1667" t="str">
            <v>217-2100-2011 этап 08 ОКР Отработка-К</v>
          </cell>
        </row>
        <row r="1668">
          <cell r="A1668">
            <v>0</v>
          </cell>
          <cell r="B1668" t="str">
            <v>217-2100-2011 этап 08 ОКР Отработка-К</v>
          </cell>
        </row>
        <row r="1669">
          <cell r="A1669">
            <v>0</v>
          </cell>
          <cell r="B1669" t="str">
            <v>217-2100-2011 этап 08 ОКР Отработка-К</v>
          </cell>
        </row>
        <row r="1670">
          <cell r="A1670">
            <v>0</v>
          </cell>
          <cell r="B1670" t="str">
            <v>217-2100-2011 этап 08 ОКР Отработка-К</v>
          </cell>
        </row>
        <row r="1671">
          <cell r="A1671">
            <v>0</v>
          </cell>
          <cell r="B1671" t="str">
            <v>235-5556-2011 этап 04 ОКР КТКиСБ</v>
          </cell>
        </row>
        <row r="1672">
          <cell r="A1672">
            <v>0</v>
          </cell>
          <cell r="B1672" t="str">
            <v>235-5556-2011 этап 04 ОКР КТКиСБ</v>
          </cell>
        </row>
        <row r="1673">
          <cell r="A1673">
            <v>0</v>
          </cell>
          <cell r="B1673" t="str">
            <v>235-5556-2011 этап 04 ОКР КТКиСБ</v>
          </cell>
        </row>
        <row r="1674">
          <cell r="A1674">
            <v>0</v>
          </cell>
          <cell r="B1674" t="str">
            <v>235-5556-2011 этап 04 ОКР КТКиСБ</v>
          </cell>
        </row>
        <row r="1675">
          <cell r="A1675">
            <v>0</v>
          </cell>
          <cell r="B1675" t="str">
            <v>69-2000-2012 этап 03 ОКР База-М-(Совершенствование)</v>
          </cell>
        </row>
        <row r="1676">
          <cell r="A1676">
            <v>0</v>
          </cell>
          <cell r="B1676" t="str">
            <v>69-2000-2012 этап 03 ОКР База-М-(Совершенствование)</v>
          </cell>
        </row>
        <row r="1677">
          <cell r="A1677">
            <v>0</v>
          </cell>
          <cell r="B1677" t="str">
            <v>69-2000-2012 этап 03 ОКР База-М-(Совершенствование)</v>
          </cell>
        </row>
        <row r="1678">
          <cell r="A1678">
            <v>0</v>
          </cell>
          <cell r="B1678" t="str">
            <v>69-2000-2012 этап 03 ОКР База-М-(Совершенствование)</v>
          </cell>
        </row>
        <row r="1679">
          <cell r="A1679">
            <v>0</v>
          </cell>
          <cell r="B1679" t="str">
            <v>91-2107-2012 этап 03 ОКР АСиМО</v>
          </cell>
        </row>
        <row r="1680">
          <cell r="A1680">
            <v>0</v>
          </cell>
          <cell r="B1680" t="str">
            <v>91-2107-2012 этап 03 ОКР АСиМО</v>
          </cell>
        </row>
        <row r="1681">
          <cell r="A1681">
            <v>0</v>
          </cell>
          <cell r="B1681" t="str">
            <v>96-4014-2014 этап 01 ОКР Ударение</v>
          </cell>
        </row>
        <row r="1682">
          <cell r="A1682">
            <v>0</v>
          </cell>
          <cell r="B1682" t="str">
            <v>96-4014-2014 этап 01 ОКР Ударение</v>
          </cell>
        </row>
        <row r="1683">
          <cell r="A1683">
            <v>0</v>
          </cell>
          <cell r="B1683" t="str">
            <v>96-4014-2014 этап 01 ОКР Ударение</v>
          </cell>
        </row>
        <row r="1684">
          <cell r="A1684">
            <v>0</v>
          </cell>
          <cell r="B1684" t="str">
            <v>96-4014-2014 этап 01 ОКР Ударение</v>
          </cell>
        </row>
        <row r="1685">
          <cell r="A1685">
            <v>0</v>
          </cell>
          <cell r="B1685" t="str">
            <v xml:space="preserve">16-1313-2013 этап 17 CЧ ОКР МКС (Надежность-Наука) </v>
          </cell>
        </row>
        <row r="1686">
          <cell r="A1686">
            <v>0</v>
          </cell>
          <cell r="B1686" t="str">
            <v xml:space="preserve">16-1313-2013 этап 17 CЧ ОКР МКС (Надежность-Наука) </v>
          </cell>
        </row>
        <row r="1687">
          <cell r="A1687">
            <v>0</v>
          </cell>
          <cell r="B1687" t="str">
            <v xml:space="preserve">16-1313-2013 этап 17 CЧ ОКР МКС (Надежность-Наука) </v>
          </cell>
        </row>
        <row r="1688">
          <cell r="A1688">
            <v>0</v>
          </cell>
          <cell r="B1688" t="str">
            <v xml:space="preserve">16-1313-2013 этап 17 CЧ ОКР МКС (Надежность-Наука) </v>
          </cell>
        </row>
        <row r="1689">
          <cell r="A1689">
            <v>0</v>
          </cell>
          <cell r="B1689" t="str">
            <v>45-5558-2012 этап 02 СЧ ОКР РКН Ангара</v>
          </cell>
        </row>
        <row r="1690">
          <cell r="A1690">
            <v>0</v>
          </cell>
          <cell r="B1690" t="str">
            <v>45-5558-2012 этап 02 СЧ ОКР РКН Ангара</v>
          </cell>
        </row>
        <row r="1691">
          <cell r="A1691">
            <v>0</v>
          </cell>
          <cell r="B1691" t="str">
            <v>45-5558-2012 этап 02 СЧ ОКР РКН Ангара</v>
          </cell>
        </row>
        <row r="1692">
          <cell r="A1692">
            <v>0</v>
          </cell>
          <cell r="B1692" t="str">
            <v>45-5558-2012 этап 02 СЧ ОКР РКН Ангара</v>
          </cell>
        </row>
        <row r="1693">
          <cell r="A1693">
            <v>0</v>
          </cell>
          <cell r="B1693" t="str">
            <v>46-5558-2012 этап 02 СЧ ОКР РКН Ангара</v>
          </cell>
        </row>
        <row r="1694">
          <cell r="A1694">
            <v>0</v>
          </cell>
          <cell r="B1694" t="str">
            <v>46-5558-2012 этап 02 СЧ ОКР РКН Ангара</v>
          </cell>
        </row>
        <row r="1695">
          <cell r="A1695">
            <v>0</v>
          </cell>
          <cell r="B1695" t="str">
            <v>46-5558-2012 этап 02 СЧ ОКР РКН Ангара</v>
          </cell>
        </row>
        <row r="1696">
          <cell r="A1696">
            <v>0</v>
          </cell>
          <cell r="B1696" t="str">
            <v>46-5558-2012 этап 02 СЧ ОКР РКН Ангара</v>
          </cell>
        </row>
        <row r="1697">
          <cell r="A1697">
            <v>0</v>
          </cell>
          <cell r="B1697" t="str">
            <v>85-4222-2012 этап 03 ОКР Надежность КА и СВ</v>
          </cell>
        </row>
        <row r="1698">
          <cell r="A1698">
            <v>0</v>
          </cell>
          <cell r="B1698" t="str">
            <v>85-4222-2012 этап 03 ОКР Надежность КА и СВ</v>
          </cell>
        </row>
        <row r="1699">
          <cell r="A1699">
            <v>0</v>
          </cell>
          <cell r="B1699" t="str">
            <v>85-4222-2012 этап 03 ОКР Надежность КА и СВ</v>
          </cell>
        </row>
        <row r="1700">
          <cell r="A1700">
            <v>0</v>
          </cell>
          <cell r="B1700" t="str">
            <v>85-4222-2012 этап 03 ОКР Надежность КА и СВ</v>
          </cell>
        </row>
        <row r="1701">
          <cell r="A1701">
            <v>0</v>
          </cell>
          <cell r="B1701" t="str">
            <v>87-2206-2008 этап 14 ОКР Ангара</v>
          </cell>
        </row>
        <row r="1702">
          <cell r="A1702">
            <v>0</v>
          </cell>
          <cell r="B1702" t="str">
            <v>87-2206-2008 этап 14 ОКР Ангара</v>
          </cell>
        </row>
        <row r="1703">
          <cell r="A1703">
            <v>0</v>
          </cell>
          <cell r="B1703" t="str">
            <v>87-2206-2008 этап 14 ОКР Ангара</v>
          </cell>
        </row>
        <row r="1704">
          <cell r="A1704">
            <v>0</v>
          </cell>
          <cell r="B1704" t="str">
            <v>87-2206-2008 этап 14 ОКР Ангара</v>
          </cell>
        </row>
        <row r="1705">
          <cell r="A1705">
            <v>0</v>
          </cell>
          <cell r="B1705" t="str">
            <v>132-2000-2014 этап 01 СЧ ОКР База-М (Совершенствование 2)</v>
          </cell>
        </row>
        <row r="1706">
          <cell r="A1706">
            <v>0</v>
          </cell>
          <cell r="B1706" t="str">
            <v>132-2000-2014 этап 01 СЧ ОКР База-М (Совершенствование 2)</v>
          </cell>
        </row>
        <row r="1707">
          <cell r="A1707">
            <v>0</v>
          </cell>
          <cell r="B1707" t="str">
            <v>132-2000-2014 этап 01 СЧ ОКР База-М (Совершенствование 2)</v>
          </cell>
        </row>
        <row r="1708">
          <cell r="A1708">
            <v>0</v>
          </cell>
          <cell r="B1708" t="str">
            <v>132-2000-2014 этап 01 СЧ ОКР База-М (Совершенствование 2)</v>
          </cell>
        </row>
        <row r="1709">
          <cell r="A1709">
            <v>0</v>
          </cell>
          <cell r="B1709" t="str">
            <v>132-2000-2014 этап 01 СЧ ОКР База-М (Совершенствование 2)</v>
          </cell>
        </row>
        <row r="1710">
          <cell r="A1710">
            <v>0</v>
          </cell>
          <cell r="B1710" t="str">
            <v>132-2000-2014 этап 01 СЧ ОКР База-М (Совершенствование 2)</v>
          </cell>
        </row>
        <row r="1711">
          <cell r="A1711">
            <v>0</v>
          </cell>
          <cell r="B1711" t="str">
            <v>132-2000-2014 этап 01 СЧ ОКР База-М (Совершенствование 2)</v>
          </cell>
        </row>
        <row r="1712">
          <cell r="A1712">
            <v>0</v>
          </cell>
          <cell r="B1712" t="str">
            <v>132-2000-2014 этап 01 СЧ ОКР База-М (Совершенствование 2)</v>
          </cell>
        </row>
        <row r="1713">
          <cell r="A1713">
            <v>0</v>
          </cell>
          <cell r="B1713" t="str">
            <v>132-2000-2014 этап 01 СЧ ОКР База-М (Совершенствование 2)</v>
          </cell>
        </row>
        <row r="1714">
          <cell r="A1714">
            <v>0</v>
          </cell>
          <cell r="B1714" t="str">
            <v>132-2000-2014 этап 01 СЧ ОКР База-М (Совершенствование 2)</v>
          </cell>
        </row>
        <row r="1715">
          <cell r="A1715">
            <v>0</v>
          </cell>
          <cell r="B1715" t="str">
            <v>132-2000-2014 этап 01 СЧ ОКР База-М (Совершенствование 2)</v>
          </cell>
        </row>
        <row r="1716">
          <cell r="A1716">
            <v>0</v>
          </cell>
          <cell r="B1716" t="str">
            <v>132-2000-2014 этап 01 СЧ ОКР База-М (Совершенствование 2)</v>
          </cell>
        </row>
        <row r="1717">
          <cell r="A1717">
            <v>0</v>
          </cell>
          <cell r="B1717" t="str">
            <v>132-2000-2014 этап 01 СЧ ОКР База-М (Совершенствование 2)</v>
          </cell>
        </row>
        <row r="1718">
          <cell r="A1718">
            <v>0</v>
          </cell>
          <cell r="B1718" t="str">
            <v>132-2000-2014 этап 01 СЧ ОКР База-М (Совершенствование 2)</v>
          </cell>
        </row>
        <row r="1719">
          <cell r="A1719">
            <v>0</v>
          </cell>
          <cell r="B1719" t="str">
            <v>132-2000-2014 этап 01 СЧ ОКР База-М (Совершенствование 2)</v>
          </cell>
        </row>
        <row r="1720">
          <cell r="A1720">
            <v>0</v>
          </cell>
          <cell r="B1720" t="str">
            <v>132-2000-2014 этап 01 СЧ ОКР База-М (Совершенствование 2)</v>
          </cell>
        </row>
        <row r="1721">
          <cell r="A1721">
            <v>0</v>
          </cell>
          <cell r="B1721" t="str">
            <v>132-2000-2014 этап 01 СЧ ОКР База-М (Совершенствование 2)</v>
          </cell>
        </row>
        <row r="1722">
          <cell r="A1722">
            <v>0</v>
          </cell>
          <cell r="B1722" t="str">
            <v>132-2000-2014 этап 01 СЧ ОКР База-М (Совершенствование 2)</v>
          </cell>
        </row>
        <row r="1723">
          <cell r="A1723">
            <v>0</v>
          </cell>
          <cell r="B1723" t="str">
            <v>132-2000-2014 этап 01 СЧ ОКР База-М (Совершенствование 2)</v>
          </cell>
        </row>
        <row r="1724">
          <cell r="A1724">
            <v>0</v>
          </cell>
          <cell r="B1724" t="str">
            <v>132-2000-2014 этап 01 СЧ ОКР База-М (Совершенствование 2)</v>
          </cell>
        </row>
        <row r="1725">
          <cell r="A1725">
            <v>0</v>
          </cell>
          <cell r="B1725" t="str">
            <v>132-2000-2014 этап 01 СЧ ОКР База-М (Совершенствование 2)</v>
          </cell>
        </row>
        <row r="1726">
          <cell r="A1726">
            <v>0</v>
          </cell>
          <cell r="B1726" t="str">
            <v>132-2000-2014 этап 01 СЧ ОКР База-М (Совершенствование 2)</v>
          </cell>
        </row>
        <row r="1727">
          <cell r="A1727">
            <v>0</v>
          </cell>
          <cell r="B1727" t="str">
            <v>132-2000-2014 этап 01 СЧ ОКР База-М (Совершенствование 2)</v>
          </cell>
        </row>
        <row r="1728">
          <cell r="A1728">
            <v>0</v>
          </cell>
          <cell r="B1728" t="str">
            <v>132-2000-2014 этап 01 СЧ ОКР База-М (Совершенствование 2)</v>
          </cell>
        </row>
        <row r="1729">
          <cell r="A1729">
            <v>0</v>
          </cell>
          <cell r="B1729" t="str">
            <v>132-2000-2014 этап 01 СЧ ОКР База-М (Совершенствование 2)</v>
          </cell>
        </row>
        <row r="1730">
          <cell r="A1730">
            <v>0</v>
          </cell>
          <cell r="B1730" t="str">
            <v>132-2000-2014 этап 01 СЧ ОКР База-М (Совершенствование 2)</v>
          </cell>
        </row>
        <row r="1731">
          <cell r="A1731">
            <v>0</v>
          </cell>
          <cell r="B1731" t="str">
            <v>132-2000-2014 этап 01 СЧ ОКР База-М (Совершенствование 2)</v>
          </cell>
        </row>
        <row r="1732">
          <cell r="A1732">
            <v>0</v>
          </cell>
          <cell r="B1732" t="str">
            <v>132-2000-2014 этап 01 СЧ ОКР База-М (Совершенствование 2)</v>
          </cell>
        </row>
        <row r="1733">
          <cell r="A1733">
            <v>0</v>
          </cell>
          <cell r="B1733" t="str">
            <v>310-5557-2013 этап 01 СЧ ОКР САРМАТ</v>
          </cell>
        </row>
        <row r="1734">
          <cell r="A1734">
            <v>0</v>
          </cell>
          <cell r="B1734" t="str">
            <v>310-5557-2013 этап 01 СЧ ОКР САРМАТ</v>
          </cell>
        </row>
        <row r="1735">
          <cell r="A1735">
            <v>0</v>
          </cell>
          <cell r="B1735" t="str">
            <v>310-5557-2013 этап 01 СЧ ОКР САРМАТ</v>
          </cell>
        </row>
        <row r="1736">
          <cell r="A1736">
            <v>0</v>
          </cell>
          <cell r="B1736" t="str">
            <v>310-5557-2013 этап 01 СЧ ОКР САРМАТ</v>
          </cell>
        </row>
        <row r="1737">
          <cell r="A1737">
            <v>0</v>
          </cell>
          <cell r="B1737" t="str">
            <v>132-2000-2014 этап 01 СЧ ОКР База-М (Совершенствование 2)</v>
          </cell>
        </row>
        <row r="1738">
          <cell r="A1738">
            <v>0</v>
          </cell>
          <cell r="B1738" t="str">
            <v>132-2000-2014 этап 01 СЧ ОКР База-М (Совершенствование 2)</v>
          </cell>
        </row>
        <row r="1739">
          <cell r="A1739">
            <v>0</v>
          </cell>
          <cell r="B1739" t="str">
            <v>132-2000-2014 этап 01 СЧ ОКР База-М (Совершенствование 2)</v>
          </cell>
        </row>
        <row r="1740">
          <cell r="A1740">
            <v>0</v>
          </cell>
          <cell r="B1740" t="str">
            <v>132-2000-2014 этап 01 СЧ ОКР База-М (Совершенствование 2)</v>
          </cell>
        </row>
        <row r="1741">
          <cell r="A1741">
            <v>113</v>
          </cell>
          <cell r="B1741" t="str">
            <v>178-4151-2014 этап 01 СЧ ОКР Союз-Восток</v>
          </cell>
        </row>
        <row r="1742">
          <cell r="A1742">
            <v>0</v>
          </cell>
          <cell r="B1742" t="str">
            <v>178-4151-2014 этап 01 СЧ ОКР Союз-Восток</v>
          </cell>
        </row>
        <row r="1743">
          <cell r="A1743">
            <v>0</v>
          </cell>
          <cell r="B1743" t="str">
            <v>178-4151-2014 этап 01 СЧ ОКР Союз-Восток</v>
          </cell>
        </row>
        <row r="1744">
          <cell r="A1744">
            <v>0</v>
          </cell>
          <cell r="B1744" t="str">
            <v>178-4151-2014 этап 01 СЧ ОКР Союз-Восток</v>
          </cell>
        </row>
        <row r="1745">
          <cell r="A1745">
            <v>114</v>
          </cell>
          <cell r="B1745" t="str">
            <v>226-1031-2014 этап 01 СЧ ОКР Экспертиза-М3</v>
          </cell>
        </row>
        <row r="1746">
          <cell r="A1746">
            <v>0</v>
          </cell>
          <cell r="B1746" t="str">
            <v>226-1031-2014 этап 01 СЧ ОКР Экспертиза-М3</v>
          </cell>
        </row>
        <row r="1747">
          <cell r="A1747">
            <v>0</v>
          </cell>
          <cell r="B1747" t="str">
            <v>226-1031-2014 этап 01 СЧ ОКР Экспертиза-М3</v>
          </cell>
        </row>
        <row r="1748">
          <cell r="A1748">
            <v>0</v>
          </cell>
          <cell r="B1748" t="str">
            <v>226-1031-2014 этап 01 СЧ ОКР Экспертиза-М3</v>
          </cell>
        </row>
        <row r="1749">
          <cell r="A1749">
            <v>115</v>
          </cell>
          <cell r="B1749" t="str">
            <v>45-4151-2014 этап 01 ОКР 82КМ</v>
          </cell>
        </row>
        <row r="1750">
          <cell r="A1750">
            <v>0</v>
          </cell>
          <cell r="B1750" t="str">
            <v>45-4151-2014 этап 01 ОКР 82КМ</v>
          </cell>
        </row>
        <row r="1751">
          <cell r="A1751">
            <v>0</v>
          </cell>
          <cell r="B1751" t="str">
            <v>45-4151-2014 этап 01 ОКР 82КМ</v>
          </cell>
        </row>
        <row r="1752">
          <cell r="A1752">
            <v>0</v>
          </cell>
          <cell r="B1752" t="str">
            <v>45-4151-2014 этап 01 ОКР 82КМ</v>
          </cell>
        </row>
        <row r="1753">
          <cell r="A1753">
            <v>116</v>
          </cell>
          <cell r="B1753" t="str">
            <v>45-4151-2014 этап 02 ОКР 82КМ</v>
          </cell>
        </row>
        <row r="1754">
          <cell r="A1754">
            <v>0</v>
          </cell>
          <cell r="B1754" t="str">
            <v>45-4151-2014 этап 02 ОКР 82КМ</v>
          </cell>
        </row>
        <row r="1755">
          <cell r="A1755">
            <v>0</v>
          </cell>
          <cell r="B1755" t="str">
            <v>45-4151-2014 этап 02 ОКР 82КМ</v>
          </cell>
        </row>
        <row r="1756">
          <cell r="A1756">
            <v>0</v>
          </cell>
          <cell r="B1756" t="str">
            <v>45-4151-2014 этап 02 ОКР 82КМ</v>
          </cell>
        </row>
        <row r="1757">
          <cell r="A1757">
            <v>0</v>
          </cell>
          <cell r="B1757">
            <v>0</v>
          </cell>
        </row>
        <row r="1758">
          <cell r="A1758">
            <v>0</v>
          </cell>
          <cell r="B1758">
            <v>0</v>
          </cell>
        </row>
        <row r="1759">
          <cell r="A1759">
            <v>0</v>
          </cell>
          <cell r="B1759">
            <v>0</v>
          </cell>
        </row>
        <row r="1760">
          <cell r="A1760">
            <v>0</v>
          </cell>
          <cell r="B1760">
            <v>0</v>
          </cell>
        </row>
        <row r="1761">
          <cell r="A1761">
            <v>0</v>
          </cell>
          <cell r="B1761">
            <v>0</v>
          </cell>
        </row>
        <row r="1762">
          <cell r="A1762">
            <v>0</v>
          </cell>
          <cell r="B1762">
            <v>0</v>
          </cell>
        </row>
        <row r="1763">
          <cell r="A1763">
            <v>0</v>
          </cell>
          <cell r="B1763">
            <v>0</v>
          </cell>
        </row>
        <row r="1764">
          <cell r="A1764">
            <v>0</v>
          </cell>
          <cell r="B1764">
            <v>0</v>
          </cell>
        </row>
        <row r="1765">
          <cell r="A1765">
            <v>0</v>
          </cell>
          <cell r="B1765">
            <v>0</v>
          </cell>
        </row>
        <row r="1766">
          <cell r="A1766">
            <v>0</v>
          </cell>
          <cell r="B1766">
            <v>0</v>
          </cell>
        </row>
        <row r="1767">
          <cell r="A1767">
            <v>0</v>
          </cell>
          <cell r="B1767">
            <v>0</v>
          </cell>
        </row>
        <row r="1768">
          <cell r="A1768">
            <v>0</v>
          </cell>
          <cell r="B1768">
            <v>0</v>
          </cell>
        </row>
        <row r="1769">
          <cell r="A1769">
            <v>0</v>
          </cell>
          <cell r="B1769">
            <v>0</v>
          </cell>
        </row>
        <row r="1770">
          <cell r="A1770">
            <v>0</v>
          </cell>
          <cell r="B1770">
            <v>0</v>
          </cell>
        </row>
        <row r="1771">
          <cell r="A1771">
            <v>0</v>
          </cell>
          <cell r="B1771">
            <v>0</v>
          </cell>
        </row>
        <row r="1772">
          <cell r="A1772">
            <v>0</v>
          </cell>
          <cell r="B1772">
            <v>0</v>
          </cell>
        </row>
        <row r="1773">
          <cell r="A1773">
            <v>0</v>
          </cell>
          <cell r="B1773">
            <v>0</v>
          </cell>
        </row>
        <row r="1774">
          <cell r="A1774">
            <v>0</v>
          </cell>
          <cell r="B1774">
            <v>0</v>
          </cell>
        </row>
        <row r="1775">
          <cell r="A1775">
            <v>0</v>
          </cell>
          <cell r="B1775">
            <v>0</v>
          </cell>
        </row>
        <row r="1776">
          <cell r="A1776">
            <v>0</v>
          </cell>
          <cell r="B1776">
            <v>0</v>
          </cell>
        </row>
        <row r="1777">
          <cell r="A1777">
            <v>0</v>
          </cell>
          <cell r="B1777">
            <v>0</v>
          </cell>
        </row>
        <row r="1778">
          <cell r="A1778">
            <v>0</v>
          </cell>
          <cell r="B1778">
            <v>0</v>
          </cell>
        </row>
        <row r="1779">
          <cell r="A1779">
            <v>0</v>
          </cell>
          <cell r="B1779">
            <v>0</v>
          </cell>
        </row>
        <row r="1780">
          <cell r="A1780">
            <v>0</v>
          </cell>
          <cell r="B1780">
            <v>0</v>
          </cell>
        </row>
        <row r="1781">
          <cell r="A1781">
            <v>0</v>
          </cell>
          <cell r="B1781">
            <v>0</v>
          </cell>
        </row>
        <row r="1782">
          <cell r="A1782">
            <v>0</v>
          </cell>
          <cell r="B1782">
            <v>0</v>
          </cell>
        </row>
        <row r="1783">
          <cell r="A1783">
            <v>0</v>
          </cell>
          <cell r="B1783">
            <v>0</v>
          </cell>
        </row>
        <row r="1784">
          <cell r="A1784">
            <v>0</v>
          </cell>
          <cell r="B1784">
            <v>0</v>
          </cell>
        </row>
        <row r="1785">
          <cell r="A1785">
            <v>0</v>
          </cell>
          <cell r="B1785">
            <v>0</v>
          </cell>
        </row>
        <row r="1786">
          <cell r="A1786">
            <v>0</v>
          </cell>
          <cell r="B1786">
            <v>0</v>
          </cell>
        </row>
        <row r="1787">
          <cell r="A1787">
            <v>0</v>
          </cell>
          <cell r="B1787">
            <v>0</v>
          </cell>
        </row>
        <row r="1788">
          <cell r="A1788">
            <v>0</v>
          </cell>
          <cell r="B1788">
            <v>0</v>
          </cell>
        </row>
        <row r="1789">
          <cell r="A1789">
            <v>0</v>
          </cell>
          <cell r="B1789">
            <v>0</v>
          </cell>
        </row>
        <row r="1790">
          <cell r="A1790">
            <v>0</v>
          </cell>
          <cell r="B1790">
            <v>0</v>
          </cell>
        </row>
        <row r="1791">
          <cell r="A1791">
            <v>0</v>
          </cell>
          <cell r="B1791">
            <v>0</v>
          </cell>
        </row>
        <row r="1792">
          <cell r="A1792">
            <v>0</v>
          </cell>
          <cell r="B1792">
            <v>0</v>
          </cell>
        </row>
        <row r="1793">
          <cell r="A1793">
            <v>0</v>
          </cell>
          <cell r="B1793">
            <v>0</v>
          </cell>
        </row>
        <row r="1794">
          <cell r="A1794">
            <v>0</v>
          </cell>
          <cell r="B1794">
            <v>0</v>
          </cell>
        </row>
        <row r="1795">
          <cell r="A1795">
            <v>0</v>
          </cell>
          <cell r="B1795">
            <v>0</v>
          </cell>
        </row>
        <row r="1796">
          <cell r="A1796">
            <v>0</v>
          </cell>
          <cell r="B1796">
            <v>0</v>
          </cell>
        </row>
        <row r="1797">
          <cell r="A1797">
            <v>0</v>
          </cell>
          <cell r="B1797">
            <v>0</v>
          </cell>
        </row>
        <row r="1798">
          <cell r="A1798">
            <v>0</v>
          </cell>
          <cell r="B1798">
            <v>0</v>
          </cell>
        </row>
        <row r="1799">
          <cell r="A1799">
            <v>0</v>
          </cell>
          <cell r="B1799">
            <v>0</v>
          </cell>
        </row>
        <row r="1800">
          <cell r="A1800">
            <v>0</v>
          </cell>
          <cell r="B1800">
            <v>0</v>
          </cell>
        </row>
        <row r="1801">
          <cell r="A1801">
            <v>0</v>
          </cell>
          <cell r="B1801">
            <v>0</v>
          </cell>
        </row>
        <row r="1802">
          <cell r="A1802">
            <v>0</v>
          </cell>
          <cell r="B1802">
            <v>0</v>
          </cell>
        </row>
        <row r="1803">
          <cell r="A1803">
            <v>0</v>
          </cell>
          <cell r="B1803">
            <v>0</v>
          </cell>
        </row>
        <row r="1804">
          <cell r="A1804">
            <v>0</v>
          </cell>
          <cell r="B1804">
            <v>0</v>
          </cell>
        </row>
        <row r="1805">
          <cell r="A1805">
            <v>0</v>
          </cell>
          <cell r="B1805">
            <v>0</v>
          </cell>
        </row>
        <row r="1806">
          <cell r="A1806">
            <v>0</v>
          </cell>
          <cell r="B1806">
            <v>0</v>
          </cell>
        </row>
        <row r="1807">
          <cell r="A1807">
            <v>0</v>
          </cell>
          <cell r="B1807">
            <v>0</v>
          </cell>
        </row>
        <row r="1808">
          <cell r="A1808">
            <v>0</v>
          </cell>
          <cell r="B1808">
            <v>0</v>
          </cell>
        </row>
        <row r="1809">
          <cell r="A1809">
            <v>0</v>
          </cell>
          <cell r="B1809">
            <v>0</v>
          </cell>
        </row>
        <row r="1810">
          <cell r="A1810">
            <v>0</v>
          </cell>
          <cell r="B1810">
            <v>0</v>
          </cell>
        </row>
        <row r="1811">
          <cell r="A1811">
            <v>0</v>
          </cell>
          <cell r="B1811">
            <v>0</v>
          </cell>
        </row>
        <row r="1812">
          <cell r="A1812">
            <v>0</v>
          </cell>
          <cell r="B1812">
            <v>0</v>
          </cell>
        </row>
        <row r="1813">
          <cell r="A1813">
            <v>0</v>
          </cell>
          <cell r="B1813">
            <v>0</v>
          </cell>
        </row>
        <row r="1814">
          <cell r="A1814">
            <v>0</v>
          </cell>
          <cell r="B1814">
            <v>0</v>
          </cell>
        </row>
        <row r="1815">
          <cell r="A1815">
            <v>0</v>
          </cell>
          <cell r="B1815">
            <v>0</v>
          </cell>
        </row>
        <row r="1816">
          <cell r="A1816">
            <v>0</v>
          </cell>
          <cell r="B1816">
            <v>0</v>
          </cell>
        </row>
        <row r="1817">
          <cell r="A1817">
            <v>0</v>
          </cell>
          <cell r="B1817">
            <v>0</v>
          </cell>
        </row>
        <row r="1818">
          <cell r="A1818">
            <v>0</v>
          </cell>
          <cell r="B1818">
            <v>0</v>
          </cell>
        </row>
        <row r="1819">
          <cell r="A1819">
            <v>0</v>
          </cell>
          <cell r="B1819">
            <v>0</v>
          </cell>
        </row>
        <row r="1820">
          <cell r="A1820">
            <v>0</v>
          </cell>
          <cell r="B1820">
            <v>0</v>
          </cell>
        </row>
        <row r="1821">
          <cell r="A1821">
            <v>0</v>
          </cell>
          <cell r="B1821">
            <v>0</v>
          </cell>
        </row>
        <row r="1822">
          <cell r="A1822">
            <v>0</v>
          </cell>
          <cell r="B1822">
            <v>0</v>
          </cell>
        </row>
        <row r="1823">
          <cell r="A1823">
            <v>0</v>
          </cell>
          <cell r="B1823">
            <v>0</v>
          </cell>
        </row>
        <row r="1824">
          <cell r="A1824">
            <v>0</v>
          </cell>
          <cell r="B1824">
            <v>0</v>
          </cell>
        </row>
        <row r="1825">
          <cell r="A1825">
            <v>0</v>
          </cell>
          <cell r="B1825">
            <v>0</v>
          </cell>
        </row>
        <row r="1826">
          <cell r="A1826">
            <v>0</v>
          </cell>
          <cell r="B1826">
            <v>0</v>
          </cell>
        </row>
        <row r="1827">
          <cell r="A1827">
            <v>0</v>
          </cell>
          <cell r="B1827">
            <v>0</v>
          </cell>
        </row>
        <row r="1828">
          <cell r="A1828">
            <v>0</v>
          </cell>
          <cell r="B1828">
            <v>0</v>
          </cell>
        </row>
        <row r="1829">
          <cell r="A1829">
            <v>0</v>
          </cell>
          <cell r="B1829">
            <v>0</v>
          </cell>
        </row>
        <row r="1830">
          <cell r="A1830">
            <v>0</v>
          </cell>
          <cell r="B1830">
            <v>0</v>
          </cell>
        </row>
        <row r="1831">
          <cell r="A1831">
            <v>0</v>
          </cell>
          <cell r="B1831">
            <v>0</v>
          </cell>
        </row>
        <row r="1832">
          <cell r="A1832">
            <v>0</v>
          </cell>
          <cell r="B1832">
            <v>0</v>
          </cell>
        </row>
        <row r="1833">
          <cell r="A1833">
            <v>0</v>
          </cell>
          <cell r="B1833">
            <v>0</v>
          </cell>
        </row>
        <row r="1834">
          <cell r="A1834">
            <v>0</v>
          </cell>
          <cell r="B1834">
            <v>0</v>
          </cell>
        </row>
        <row r="1835">
          <cell r="A1835">
            <v>0</v>
          </cell>
          <cell r="B1835">
            <v>0</v>
          </cell>
        </row>
        <row r="1836">
          <cell r="A1836">
            <v>0</v>
          </cell>
          <cell r="B1836">
            <v>0</v>
          </cell>
        </row>
        <row r="1837">
          <cell r="A1837">
            <v>0</v>
          </cell>
          <cell r="B1837">
            <v>0</v>
          </cell>
        </row>
        <row r="1838">
          <cell r="A1838">
            <v>0</v>
          </cell>
          <cell r="B1838">
            <v>0</v>
          </cell>
        </row>
        <row r="1839">
          <cell r="A1839">
            <v>0</v>
          </cell>
          <cell r="B1839">
            <v>0</v>
          </cell>
        </row>
        <row r="1840">
          <cell r="A1840">
            <v>0</v>
          </cell>
          <cell r="B1840">
            <v>0</v>
          </cell>
        </row>
        <row r="1841">
          <cell r="A1841">
            <v>0</v>
          </cell>
          <cell r="B1841">
            <v>0</v>
          </cell>
        </row>
        <row r="1842">
          <cell r="A1842">
            <v>0</v>
          </cell>
          <cell r="B1842">
            <v>0</v>
          </cell>
        </row>
        <row r="1843">
          <cell r="A1843">
            <v>0</v>
          </cell>
          <cell r="B1843">
            <v>0</v>
          </cell>
        </row>
        <row r="1844">
          <cell r="A1844">
            <v>0</v>
          </cell>
          <cell r="B1844">
            <v>0</v>
          </cell>
        </row>
        <row r="1845">
          <cell r="A1845">
            <v>0</v>
          </cell>
          <cell r="B1845">
            <v>0</v>
          </cell>
        </row>
        <row r="1846">
          <cell r="A1846">
            <v>0</v>
          </cell>
          <cell r="B1846">
            <v>0</v>
          </cell>
        </row>
        <row r="1847">
          <cell r="A1847">
            <v>0</v>
          </cell>
          <cell r="B1847">
            <v>0</v>
          </cell>
        </row>
        <row r="1848">
          <cell r="A1848">
            <v>0</v>
          </cell>
          <cell r="B1848">
            <v>0</v>
          </cell>
        </row>
        <row r="1849">
          <cell r="A1849">
            <v>0</v>
          </cell>
          <cell r="B1849">
            <v>0</v>
          </cell>
        </row>
        <row r="1850">
          <cell r="A1850">
            <v>0</v>
          </cell>
          <cell r="B1850">
            <v>0</v>
          </cell>
        </row>
        <row r="1851">
          <cell r="A1851">
            <v>0</v>
          </cell>
          <cell r="B1851">
            <v>0</v>
          </cell>
        </row>
        <row r="1852">
          <cell r="A1852">
            <v>0</v>
          </cell>
          <cell r="B1852">
            <v>0</v>
          </cell>
        </row>
        <row r="1853">
          <cell r="A1853">
            <v>0</v>
          </cell>
          <cell r="B1853">
            <v>0</v>
          </cell>
        </row>
        <row r="1854">
          <cell r="A1854">
            <v>0</v>
          </cell>
          <cell r="B1854">
            <v>0</v>
          </cell>
        </row>
        <row r="1855">
          <cell r="A1855">
            <v>0</v>
          </cell>
          <cell r="B1855">
            <v>0</v>
          </cell>
        </row>
        <row r="1856">
          <cell r="A1856">
            <v>0</v>
          </cell>
          <cell r="B1856">
            <v>0</v>
          </cell>
        </row>
        <row r="1857">
          <cell r="A1857">
            <v>0</v>
          </cell>
          <cell r="B1857">
            <v>0</v>
          </cell>
        </row>
        <row r="1858">
          <cell r="A1858">
            <v>0</v>
          </cell>
          <cell r="B1858">
            <v>0</v>
          </cell>
        </row>
        <row r="1859">
          <cell r="A1859">
            <v>0</v>
          </cell>
          <cell r="B1859">
            <v>0</v>
          </cell>
        </row>
        <row r="1860">
          <cell r="A1860">
            <v>0</v>
          </cell>
          <cell r="B1860">
            <v>0</v>
          </cell>
        </row>
        <row r="1861">
          <cell r="A1861">
            <v>0</v>
          </cell>
          <cell r="B1861">
            <v>0</v>
          </cell>
        </row>
        <row r="1862">
          <cell r="A1862">
            <v>0</v>
          </cell>
          <cell r="B1862">
            <v>0</v>
          </cell>
        </row>
        <row r="1863">
          <cell r="A1863">
            <v>0</v>
          </cell>
          <cell r="B1863">
            <v>0</v>
          </cell>
        </row>
        <row r="1864">
          <cell r="A1864">
            <v>0</v>
          </cell>
          <cell r="B1864">
            <v>0</v>
          </cell>
        </row>
        <row r="1865">
          <cell r="A1865">
            <v>0</v>
          </cell>
          <cell r="B1865">
            <v>0</v>
          </cell>
        </row>
        <row r="1866">
          <cell r="A1866">
            <v>0</v>
          </cell>
          <cell r="B1866">
            <v>0</v>
          </cell>
        </row>
        <row r="1867">
          <cell r="A1867">
            <v>0</v>
          </cell>
          <cell r="B1867">
            <v>0</v>
          </cell>
        </row>
        <row r="1868">
          <cell r="A1868">
            <v>0</v>
          </cell>
          <cell r="B1868">
            <v>0</v>
          </cell>
        </row>
        <row r="1869">
          <cell r="A1869">
            <v>0</v>
          </cell>
          <cell r="B1869">
            <v>0</v>
          </cell>
        </row>
        <row r="1870">
          <cell r="A1870">
            <v>0</v>
          </cell>
          <cell r="B1870">
            <v>0</v>
          </cell>
        </row>
        <row r="1871">
          <cell r="A1871">
            <v>0</v>
          </cell>
          <cell r="B1871">
            <v>0</v>
          </cell>
        </row>
        <row r="1872">
          <cell r="A1872">
            <v>0</v>
          </cell>
          <cell r="B1872">
            <v>0</v>
          </cell>
        </row>
        <row r="1873">
          <cell r="A1873">
            <v>0</v>
          </cell>
          <cell r="B1873">
            <v>0</v>
          </cell>
        </row>
        <row r="1874">
          <cell r="A1874">
            <v>0</v>
          </cell>
          <cell r="B1874">
            <v>0</v>
          </cell>
        </row>
        <row r="1875">
          <cell r="A1875">
            <v>0</v>
          </cell>
          <cell r="B1875">
            <v>0</v>
          </cell>
        </row>
        <row r="1876">
          <cell r="A1876">
            <v>0</v>
          </cell>
          <cell r="B1876">
            <v>0</v>
          </cell>
        </row>
        <row r="1877">
          <cell r="A1877">
            <v>0</v>
          </cell>
          <cell r="B1877">
            <v>0</v>
          </cell>
        </row>
        <row r="1878">
          <cell r="A1878">
            <v>0</v>
          </cell>
          <cell r="B1878">
            <v>0</v>
          </cell>
        </row>
        <row r="1879">
          <cell r="A1879">
            <v>0</v>
          </cell>
          <cell r="B1879">
            <v>0</v>
          </cell>
        </row>
        <row r="1880">
          <cell r="A1880">
            <v>0</v>
          </cell>
          <cell r="B1880">
            <v>0</v>
          </cell>
        </row>
        <row r="1881">
          <cell r="A1881">
            <v>0</v>
          </cell>
          <cell r="B1881">
            <v>0</v>
          </cell>
        </row>
        <row r="1882">
          <cell r="A1882">
            <v>0</v>
          </cell>
          <cell r="B1882">
            <v>0</v>
          </cell>
        </row>
        <row r="1883">
          <cell r="A1883">
            <v>0</v>
          </cell>
          <cell r="B1883">
            <v>0</v>
          </cell>
        </row>
        <row r="1884">
          <cell r="A1884">
            <v>0</v>
          </cell>
          <cell r="B1884">
            <v>0</v>
          </cell>
        </row>
        <row r="1885">
          <cell r="A1885">
            <v>0</v>
          </cell>
          <cell r="B1885">
            <v>0</v>
          </cell>
        </row>
        <row r="1886">
          <cell r="A1886">
            <v>0</v>
          </cell>
          <cell r="B1886">
            <v>0</v>
          </cell>
        </row>
        <row r="1887">
          <cell r="A1887">
            <v>0</v>
          </cell>
          <cell r="B1887">
            <v>0</v>
          </cell>
        </row>
        <row r="1888">
          <cell r="A1888">
            <v>0</v>
          </cell>
          <cell r="B1888">
            <v>0</v>
          </cell>
        </row>
        <row r="1889">
          <cell r="A1889">
            <v>0</v>
          </cell>
          <cell r="B1889">
            <v>0</v>
          </cell>
        </row>
        <row r="1890">
          <cell r="A1890">
            <v>0</v>
          </cell>
          <cell r="B1890">
            <v>0</v>
          </cell>
        </row>
        <row r="1891">
          <cell r="A1891">
            <v>0</v>
          </cell>
          <cell r="B1891">
            <v>0</v>
          </cell>
        </row>
        <row r="1892">
          <cell r="A1892">
            <v>0</v>
          </cell>
          <cell r="B1892">
            <v>0</v>
          </cell>
        </row>
        <row r="1893">
          <cell r="A1893">
            <v>0</v>
          </cell>
          <cell r="B1893">
            <v>0</v>
          </cell>
        </row>
        <row r="1894">
          <cell r="A1894">
            <v>0</v>
          </cell>
          <cell r="B1894">
            <v>0</v>
          </cell>
        </row>
        <row r="1895">
          <cell r="A1895">
            <v>0</v>
          </cell>
          <cell r="B1895">
            <v>0</v>
          </cell>
        </row>
        <row r="1896">
          <cell r="A1896">
            <v>0</v>
          </cell>
          <cell r="B1896">
            <v>0</v>
          </cell>
        </row>
        <row r="1897">
          <cell r="A1897">
            <v>0</v>
          </cell>
          <cell r="B1897">
            <v>0</v>
          </cell>
        </row>
        <row r="1898">
          <cell r="A1898">
            <v>0</v>
          </cell>
          <cell r="B1898">
            <v>0</v>
          </cell>
        </row>
        <row r="1899">
          <cell r="A1899">
            <v>0</v>
          </cell>
          <cell r="B1899">
            <v>0</v>
          </cell>
        </row>
        <row r="1900">
          <cell r="A1900">
            <v>0</v>
          </cell>
          <cell r="B1900">
            <v>0</v>
          </cell>
        </row>
        <row r="1901">
          <cell r="A1901">
            <v>0</v>
          </cell>
          <cell r="B1901">
            <v>0</v>
          </cell>
        </row>
        <row r="1902">
          <cell r="A1902">
            <v>0</v>
          </cell>
          <cell r="B1902">
            <v>0</v>
          </cell>
        </row>
        <row r="1903">
          <cell r="A1903">
            <v>0</v>
          </cell>
          <cell r="B1903">
            <v>0</v>
          </cell>
        </row>
        <row r="1904">
          <cell r="A1904">
            <v>0</v>
          </cell>
          <cell r="B1904">
            <v>0</v>
          </cell>
        </row>
        <row r="1905">
          <cell r="A1905">
            <v>0</v>
          </cell>
          <cell r="B1905">
            <v>0</v>
          </cell>
        </row>
        <row r="1906">
          <cell r="A1906">
            <v>0</v>
          </cell>
          <cell r="B1906">
            <v>0</v>
          </cell>
        </row>
        <row r="1907">
          <cell r="A1907">
            <v>0</v>
          </cell>
          <cell r="B1907">
            <v>0</v>
          </cell>
        </row>
        <row r="1908">
          <cell r="A1908">
            <v>0</v>
          </cell>
          <cell r="B1908">
            <v>0</v>
          </cell>
        </row>
        <row r="1909">
          <cell r="A1909">
            <v>0</v>
          </cell>
          <cell r="B1909">
            <v>0</v>
          </cell>
        </row>
        <row r="1910">
          <cell r="A1910">
            <v>0</v>
          </cell>
          <cell r="B1910">
            <v>0</v>
          </cell>
        </row>
        <row r="1911">
          <cell r="A1911">
            <v>0</v>
          </cell>
          <cell r="B1911">
            <v>0</v>
          </cell>
        </row>
        <row r="1912">
          <cell r="A1912">
            <v>0</v>
          </cell>
          <cell r="B1912">
            <v>0</v>
          </cell>
        </row>
        <row r="1913">
          <cell r="A1913">
            <v>0</v>
          </cell>
          <cell r="B1913">
            <v>0</v>
          </cell>
        </row>
        <row r="1914">
          <cell r="A1914">
            <v>0</v>
          </cell>
          <cell r="B1914">
            <v>0</v>
          </cell>
        </row>
        <row r="1915">
          <cell r="A1915">
            <v>0</v>
          </cell>
          <cell r="B1915">
            <v>0</v>
          </cell>
        </row>
        <row r="1916">
          <cell r="A1916">
            <v>0</v>
          </cell>
          <cell r="B1916">
            <v>0</v>
          </cell>
        </row>
        <row r="1917">
          <cell r="A1917">
            <v>0</v>
          </cell>
          <cell r="B1917">
            <v>0</v>
          </cell>
        </row>
        <row r="1918">
          <cell r="A1918">
            <v>0</v>
          </cell>
          <cell r="B1918">
            <v>0</v>
          </cell>
        </row>
        <row r="1919">
          <cell r="A1919">
            <v>0</v>
          </cell>
          <cell r="B1919">
            <v>0</v>
          </cell>
        </row>
        <row r="1920">
          <cell r="A1920">
            <v>0</v>
          </cell>
          <cell r="B1920">
            <v>0</v>
          </cell>
        </row>
        <row r="1921">
          <cell r="A1921">
            <v>0</v>
          </cell>
          <cell r="B1921">
            <v>0</v>
          </cell>
        </row>
        <row r="1922">
          <cell r="A1922">
            <v>0</v>
          </cell>
          <cell r="B1922">
            <v>0</v>
          </cell>
        </row>
        <row r="1923">
          <cell r="A1923">
            <v>0</v>
          </cell>
          <cell r="B1923">
            <v>0</v>
          </cell>
        </row>
        <row r="1924">
          <cell r="A1924">
            <v>0</v>
          </cell>
          <cell r="B1924">
            <v>0</v>
          </cell>
        </row>
        <row r="1925">
          <cell r="A1925">
            <v>0</v>
          </cell>
          <cell r="B1925">
            <v>0</v>
          </cell>
        </row>
        <row r="1926">
          <cell r="A1926">
            <v>0</v>
          </cell>
          <cell r="B1926">
            <v>0</v>
          </cell>
        </row>
        <row r="1927">
          <cell r="A1927">
            <v>0</v>
          </cell>
          <cell r="B1927">
            <v>0</v>
          </cell>
        </row>
        <row r="1928">
          <cell r="A1928">
            <v>0</v>
          </cell>
          <cell r="B1928">
            <v>0</v>
          </cell>
        </row>
        <row r="1929">
          <cell r="A1929">
            <v>0</v>
          </cell>
          <cell r="B1929">
            <v>0</v>
          </cell>
        </row>
        <row r="1930">
          <cell r="A1930">
            <v>0</v>
          </cell>
          <cell r="B1930">
            <v>0</v>
          </cell>
        </row>
        <row r="1931">
          <cell r="A1931">
            <v>0</v>
          </cell>
          <cell r="B1931">
            <v>0</v>
          </cell>
        </row>
        <row r="1932">
          <cell r="A1932">
            <v>0</v>
          </cell>
          <cell r="B1932">
            <v>0</v>
          </cell>
        </row>
        <row r="1933">
          <cell r="A1933">
            <v>0</v>
          </cell>
          <cell r="B1933">
            <v>0</v>
          </cell>
        </row>
        <row r="1934">
          <cell r="A1934">
            <v>0</v>
          </cell>
          <cell r="B1934">
            <v>0</v>
          </cell>
        </row>
        <row r="1935">
          <cell r="A1935">
            <v>0</v>
          </cell>
          <cell r="B1935">
            <v>0</v>
          </cell>
        </row>
        <row r="1936">
          <cell r="A1936">
            <v>0</v>
          </cell>
          <cell r="B1936">
            <v>0</v>
          </cell>
        </row>
        <row r="1937">
          <cell r="A1937">
            <v>0</v>
          </cell>
          <cell r="B1937">
            <v>0</v>
          </cell>
        </row>
        <row r="1938">
          <cell r="A1938">
            <v>0</v>
          </cell>
          <cell r="B1938">
            <v>0</v>
          </cell>
        </row>
        <row r="1939">
          <cell r="A1939">
            <v>0</v>
          </cell>
          <cell r="B1939">
            <v>0</v>
          </cell>
        </row>
        <row r="1940">
          <cell r="A1940">
            <v>0</v>
          </cell>
          <cell r="B1940">
            <v>0</v>
          </cell>
        </row>
        <row r="1941">
          <cell r="A1941">
            <v>0</v>
          </cell>
          <cell r="B1941">
            <v>0</v>
          </cell>
        </row>
        <row r="1942">
          <cell r="A1942">
            <v>0</v>
          </cell>
          <cell r="B1942">
            <v>0</v>
          </cell>
        </row>
        <row r="1943">
          <cell r="A1943">
            <v>0</v>
          </cell>
          <cell r="B1943">
            <v>0</v>
          </cell>
        </row>
        <row r="1944">
          <cell r="A1944">
            <v>0</v>
          </cell>
          <cell r="B1944">
            <v>0</v>
          </cell>
        </row>
        <row r="1945">
          <cell r="A1945">
            <v>0</v>
          </cell>
          <cell r="B1945">
            <v>0</v>
          </cell>
        </row>
        <row r="1946">
          <cell r="A1946">
            <v>0</v>
          </cell>
          <cell r="B1946">
            <v>0</v>
          </cell>
        </row>
        <row r="1947">
          <cell r="A1947">
            <v>0</v>
          </cell>
          <cell r="B1947">
            <v>0</v>
          </cell>
        </row>
        <row r="1948">
          <cell r="A1948">
            <v>0</v>
          </cell>
          <cell r="B1948">
            <v>0</v>
          </cell>
        </row>
        <row r="1949">
          <cell r="A1949">
            <v>0</v>
          </cell>
          <cell r="B1949">
            <v>0</v>
          </cell>
        </row>
        <row r="1950">
          <cell r="A1950">
            <v>0</v>
          </cell>
          <cell r="B1950">
            <v>0</v>
          </cell>
        </row>
        <row r="1951">
          <cell r="A1951">
            <v>0</v>
          </cell>
          <cell r="B1951">
            <v>0</v>
          </cell>
        </row>
        <row r="1952">
          <cell r="A1952">
            <v>0</v>
          </cell>
          <cell r="B1952">
            <v>0</v>
          </cell>
        </row>
        <row r="1953">
          <cell r="A1953">
            <v>0</v>
          </cell>
          <cell r="B1953">
            <v>0</v>
          </cell>
        </row>
        <row r="1954">
          <cell r="A1954">
            <v>0</v>
          </cell>
          <cell r="B1954">
            <v>0</v>
          </cell>
        </row>
        <row r="1955">
          <cell r="A1955">
            <v>0</v>
          </cell>
          <cell r="B1955">
            <v>0</v>
          </cell>
        </row>
        <row r="1956">
          <cell r="A1956">
            <v>0</v>
          </cell>
          <cell r="B1956">
            <v>0</v>
          </cell>
        </row>
        <row r="1957">
          <cell r="A1957">
            <v>0</v>
          </cell>
          <cell r="B1957">
            <v>0</v>
          </cell>
        </row>
        <row r="1958">
          <cell r="A1958">
            <v>0</v>
          </cell>
          <cell r="B1958">
            <v>0</v>
          </cell>
        </row>
        <row r="1959">
          <cell r="A1959">
            <v>0</v>
          </cell>
          <cell r="B1959">
            <v>0</v>
          </cell>
        </row>
        <row r="1960">
          <cell r="A1960">
            <v>0</v>
          </cell>
          <cell r="B1960">
            <v>0</v>
          </cell>
        </row>
        <row r="1961">
          <cell r="A1961">
            <v>0</v>
          </cell>
          <cell r="B1961">
            <v>0</v>
          </cell>
        </row>
        <row r="1962">
          <cell r="A1962">
            <v>0</v>
          </cell>
          <cell r="B1962">
            <v>0</v>
          </cell>
        </row>
        <row r="1963">
          <cell r="A1963">
            <v>0</v>
          </cell>
          <cell r="B1963">
            <v>0</v>
          </cell>
        </row>
        <row r="1964">
          <cell r="A1964">
            <v>0</v>
          </cell>
          <cell r="B1964">
            <v>0</v>
          </cell>
        </row>
        <row r="1965">
          <cell r="A1965">
            <v>0</v>
          </cell>
          <cell r="B1965">
            <v>0</v>
          </cell>
        </row>
        <row r="1966">
          <cell r="A1966">
            <v>0</v>
          </cell>
          <cell r="B1966">
            <v>0</v>
          </cell>
        </row>
        <row r="1967">
          <cell r="A1967">
            <v>0</v>
          </cell>
          <cell r="B1967">
            <v>0</v>
          </cell>
        </row>
        <row r="1968">
          <cell r="A1968">
            <v>0</v>
          </cell>
          <cell r="B1968">
            <v>0</v>
          </cell>
        </row>
        <row r="1969">
          <cell r="A1969">
            <v>0</v>
          </cell>
          <cell r="B1969">
            <v>0</v>
          </cell>
        </row>
        <row r="1970">
          <cell r="A1970">
            <v>0</v>
          </cell>
          <cell r="B1970">
            <v>0</v>
          </cell>
        </row>
        <row r="1971">
          <cell r="A1971">
            <v>0</v>
          </cell>
          <cell r="B1971">
            <v>0</v>
          </cell>
        </row>
        <row r="1972">
          <cell r="A1972">
            <v>0</v>
          </cell>
          <cell r="B1972">
            <v>0</v>
          </cell>
        </row>
        <row r="1973">
          <cell r="A1973">
            <v>0</v>
          </cell>
          <cell r="B1973">
            <v>0</v>
          </cell>
        </row>
        <row r="1974">
          <cell r="A1974">
            <v>0</v>
          </cell>
          <cell r="B1974">
            <v>0</v>
          </cell>
        </row>
        <row r="1975">
          <cell r="A1975">
            <v>0</v>
          </cell>
          <cell r="B1975">
            <v>0</v>
          </cell>
        </row>
        <row r="1976">
          <cell r="A1976">
            <v>0</v>
          </cell>
          <cell r="B1976">
            <v>0</v>
          </cell>
        </row>
        <row r="1977">
          <cell r="A1977">
            <v>0</v>
          </cell>
          <cell r="B1977">
            <v>0</v>
          </cell>
        </row>
        <row r="1978">
          <cell r="A1978">
            <v>0</v>
          </cell>
          <cell r="B1978">
            <v>0</v>
          </cell>
        </row>
        <row r="1979">
          <cell r="A1979">
            <v>0</v>
          </cell>
          <cell r="B1979">
            <v>0</v>
          </cell>
        </row>
        <row r="1980">
          <cell r="A1980">
            <v>0</v>
          </cell>
          <cell r="B1980">
            <v>0</v>
          </cell>
        </row>
        <row r="1981">
          <cell r="A1981">
            <v>0</v>
          </cell>
          <cell r="B1981">
            <v>0</v>
          </cell>
        </row>
        <row r="1982">
          <cell r="A1982">
            <v>0</v>
          </cell>
          <cell r="B1982">
            <v>0</v>
          </cell>
        </row>
        <row r="1983">
          <cell r="A1983">
            <v>0</v>
          </cell>
          <cell r="B1983">
            <v>0</v>
          </cell>
        </row>
        <row r="1984">
          <cell r="A1984">
            <v>0</v>
          </cell>
          <cell r="B1984">
            <v>0</v>
          </cell>
        </row>
        <row r="1985">
          <cell r="A1985">
            <v>0</v>
          </cell>
          <cell r="B1985">
            <v>0</v>
          </cell>
        </row>
        <row r="1986">
          <cell r="A1986">
            <v>0</v>
          </cell>
          <cell r="B1986">
            <v>0</v>
          </cell>
        </row>
        <row r="1987">
          <cell r="A1987">
            <v>0</v>
          </cell>
          <cell r="B1987">
            <v>0</v>
          </cell>
        </row>
        <row r="1988">
          <cell r="A1988">
            <v>0</v>
          </cell>
          <cell r="B1988">
            <v>0</v>
          </cell>
        </row>
        <row r="1989">
          <cell r="A1989">
            <v>0</v>
          </cell>
          <cell r="B1989">
            <v>0</v>
          </cell>
        </row>
        <row r="1990">
          <cell r="A1990">
            <v>0</v>
          </cell>
          <cell r="B1990">
            <v>0</v>
          </cell>
        </row>
        <row r="1991">
          <cell r="A1991">
            <v>0</v>
          </cell>
          <cell r="B1991">
            <v>0</v>
          </cell>
        </row>
        <row r="1992">
          <cell r="A1992">
            <v>0</v>
          </cell>
          <cell r="B1992">
            <v>0</v>
          </cell>
        </row>
        <row r="1993">
          <cell r="A1993">
            <v>0</v>
          </cell>
          <cell r="B1993">
            <v>0</v>
          </cell>
        </row>
        <row r="1994">
          <cell r="A1994">
            <v>0</v>
          </cell>
          <cell r="B1994">
            <v>0</v>
          </cell>
        </row>
        <row r="1995">
          <cell r="A1995">
            <v>0</v>
          </cell>
          <cell r="B1995">
            <v>0</v>
          </cell>
        </row>
        <row r="1996">
          <cell r="A1996">
            <v>0</v>
          </cell>
          <cell r="B1996">
            <v>0</v>
          </cell>
        </row>
        <row r="1997">
          <cell r="A1997">
            <v>0</v>
          </cell>
          <cell r="B1997">
            <v>0</v>
          </cell>
        </row>
        <row r="1998">
          <cell r="A1998">
            <v>0</v>
          </cell>
          <cell r="B1998">
            <v>0</v>
          </cell>
        </row>
        <row r="1999">
          <cell r="A1999">
            <v>0</v>
          </cell>
          <cell r="B1999">
            <v>0</v>
          </cell>
        </row>
        <row r="2000">
          <cell r="A2000">
            <v>0</v>
          </cell>
          <cell r="B2000">
            <v>0</v>
          </cell>
        </row>
        <row r="2001">
          <cell r="A2001">
            <v>0</v>
          </cell>
          <cell r="B2001">
            <v>0</v>
          </cell>
        </row>
        <row r="2002">
          <cell r="A2002">
            <v>0</v>
          </cell>
          <cell r="B2002">
            <v>0</v>
          </cell>
        </row>
        <row r="2003">
          <cell r="A2003">
            <v>0</v>
          </cell>
          <cell r="B2003">
            <v>0</v>
          </cell>
        </row>
        <row r="2004">
          <cell r="A2004">
            <v>0</v>
          </cell>
          <cell r="B2004">
            <v>0</v>
          </cell>
        </row>
        <row r="2005">
          <cell r="A2005">
            <v>0</v>
          </cell>
          <cell r="B2005">
            <v>0</v>
          </cell>
        </row>
        <row r="2006">
          <cell r="A2006">
            <v>0</v>
          </cell>
          <cell r="B2006">
            <v>0</v>
          </cell>
        </row>
        <row r="2007">
          <cell r="A2007">
            <v>0</v>
          </cell>
          <cell r="B2007">
            <v>0</v>
          </cell>
        </row>
        <row r="2008">
          <cell r="A2008">
            <v>0</v>
          </cell>
          <cell r="B2008">
            <v>0</v>
          </cell>
        </row>
        <row r="2009">
          <cell r="A2009">
            <v>0</v>
          </cell>
          <cell r="B2009">
            <v>0</v>
          </cell>
        </row>
        <row r="2010">
          <cell r="A2010">
            <v>0</v>
          </cell>
          <cell r="B2010">
            <v>0</v>
          </cell>
        </row>
        <row r="2011">
          <cell r="A2011">
            <v>0</v>
          </cell>
          <cell r="B2011">
            <v>0</v>
          </cell>
        </row>
        <row r="2012">
          <cell r="A2012">
            <v>0</v>
          </cell>
          <cell r="B2012">
            <v>0</v>
          </cell>
        </row>
        <row r="2013">
          <cell r="A2013">
            <v>0</v>
          </cell>
          <cell r="B2013">
            <v>0</v>
          </cell>
        </row>
        <row r="2014">
          <cell r="A2014">
            <v>0</v>
          </cell>
          <cell r="B2014">
            <v>0</v>
          </cell>
        </row>
        <row r="2015">
          <cell r="A2015">
            <v>0</v>
          </cell>
          <cell r="B2015">
            <v>0</v>
          </cell>
        </row>
        <row r="2016">
          <cell r="A2016">
            <v>0</v>
          </cell>
          <cell r="B2016">
            <v>0</v>
          </cell>
        </row>
        <row r="2017">
          <cell r="A2017">
            <v>0</v>
          </cell>
          <cell r="B2017">
            <v>0</v>
          </cell>
        </row>
        <row r="2018">
          <cell r="A2018">
            <v>0</v>
          </cell>
          <cell r="B2018">
            <v>0</v>
          </cell>
        </row>
        <row r="2019">
          <cell r="A2019">
            <v>0</v>
          </cell>
          <cell r="B2019">
            <v>0</v>
          </cell>
        </row>
        <row r="2020">
          <cell r="A2020">
            <v>0</v>
          </cell>
          <cell r="B2020">
            <v>0</v>
          </cell>
        </row>
        <row r="2021">
          <cell r="A2021">
            <v>0</v>
          </cell>
          <cell r="B2021">
            <v>0</v>
          </cell>
        </row>
        <row r="2022">
          <cell r="A2022">
            <v>0</v>
          </cell>
          <cell r="B2022">
            <v>0</v>
          </cell>
        </row>
        <row r="2023">
          <cell r="A2023">
            <v>0</v>
          </cell>
          <cell r="B2023">
            <v>0</v>
          </cell>
        </row>
        <row r="2024">
          <cell r="A2024">
            <v>0</v>
          </cell>
          <cell r="B2024">
            <v>0</v>
          </cell>
        </row>
        <row r="2025">
          <cell r="A2025">
            <v>0</v>
          </cell>
          <cell r="B2025">
            <v>0</v>
          </cell>
        </row>
        <row r="2026">
          <cell r="A2026">
            <v>0</v>
          </cell>
          <cell r="B2026">
            <v>0</v>
          </cell>
        </row>
        <row r="2027">
          <cell r="A2027">
            <v>0</v>
          </cell>
          <cell r="B2027">
            <v>0</v>
          </cell>
        </row>
        <row r="2028">
          <cell r="A2028">
            <v>0</v>
          </cell>
          <cell r="B2028">
            <v>0</v>
          </cell>
        </row>
        <row r="2029">
          <cell r="A2029">
            <v>0</v>
          </cell>
          <cell r="B2029">
            <v>0</v>
          </cell>
        </row>
        <row r="2030">
          <cell r="A2030">
            <v>0</v>
          </cell>
          <cell r="B2030">
            <v>0</v>
          </cell>
        </row>
        <row r="2031">
          <cell r="A2031">
            <v>0</v>
          </cell>
          <cell r="B2031">
            <v>0</v>
          </cell>
        </row>
        <row r="2032">
          <cell r="A2032">
            <v>0</v>
          </cell>
          <cell r="B2032">
            <v>0</v>
          </cell>
        </row>
        <row r="2033">
          <cell r="A2033">
            <v>0</v>
          </cell>
          <cell r="B2033">
            <v>0</v>
          </cell>
        </row>
        <row r="2034">
          <cell r="A2034">
            <v>0</v>
          </cell>
          <cell r="B2034">
            <v>0</v>
          </cell>
        </row>
        <row r="2035">
          <cell r="A2035">
            <v>0</v>
          </cell>
          <cell r="B2035">
            <v>0</v>
          </cell>
        </row>
        <row r="2036">
          <cell r="A2036">
            <v>0</v>
          </cell>
          <cell r="B2036">
            <v>0</v>
          </cell>
        </row>
        <row r="2037">
          <cell r="A2037">
            <v>0</v>
          </cell>
          <cell r="B2037">
            <v>0</v>
          </cell>
        </row>
        <row r="2038">
          <cell r="A2038">
            <v>0</v>
          </cell>
          <cell r="B2038">
            <v>0</v>
          </cell>
        </row>
        <row r="2039">
          <cell r="A2039">
            <v>0</v>
          </cell>
          <cell r="B2039">
            <v>0</v>
          </cell>
        </row>
        <row r="2040">
          <cell r="A2040">
            <v>0</v>
          </cell>
          <cell r="B2040">
            <v>0</v>
          </cell>
        </row>
        <row r="2041">
          <cell r="A2041">
            <v>0</v>
          </cell>
          <cell r="B2041">
            <v>0</v>
          </cell>
        </row>
        <row r="2042">
          <cell r="A2042">
            <v>0</v>
          </cell>
          <cell r="B2042">
            <v>0</v>
          </cell>
        </row>
        <row r="2043">
          <cell r="A2043">
            <v>0</v>
          </cell>
          <cell r="B2043">
            <v>0</v>
          </cell>
        </row>
        <row r="2044">
          <cell r="A2044">
            <v>0</v>
          </cell>
          <cell r="B2044">
            <v>0</v>
          </cell>
        </row>
        <row r="2045">
          <cell r="A2045">
            <v>0</v>
          </cell>
          <cell r="B2045">
            <v>0</v>
          </cell>
        </row>
        <row r="2046">
          <cell r="A2046">
            <v>0</v>
          </cell>
          <cell r="B2046">
            <v>0</v>
          </cell>
        </row>
        <row r="2047">
          <cell r="A2047">
            <v>0</v>
          </cell>
          <cell r="B2047">
            <v>0</v>
          </cell>
        </row>
        <row r="2048">
          <cell r="A2048">
            <v>0</v>
          </cell>
          <cell r="B2048">
            <v>0</v>
          </cell>
        </row>
        <row r="2049">
          <cell r="A2049">
            <v>0</v>
          </cell>
          <cell r="B2049">
            <v>0</v>
          </cell>
        </row>
        <row r="2050">
          <cell r="A2050">
            <v>0</v>
          </cell>
          <cell r="B2050">
            <v>0</v>
          </cell>
        </row>
        <row r="2051">
          <cell r="A2051">
            <v>0</v>
          </cell>
          <cell r="B2051">
            <v>0</v>
          </cell>
        </row>
        <row r="2052">
          <cell r="A2052">
            <v>0</v>
          </cell>
          <cell r="B2052">
            <v>0</v>
          </cell>
        </row>
        <row r="2053">
          <cell r="A2053">
            <v>0</v>
          </cell>
          <cell r="B2053">
            <v>0</v>
          </cell>
        </row>
        <row r="2054">
          <cell r="A2054">
            <v>0</v>
          </cell>
          <cell r="B2054">
            <v>0</v>
          </cell>
        </row>
        <row r="2055">
          <cell r="A2055">
            <v>0</v>
          </cell>
          <cell r="B2055">
            <v>0</v>
          </cell>
        </row>
        <row r="2056">
          <cell r="A2056">
            <v>0</v>
          </cell>
          <cell r="B2056">
            <v>0</v>
          </cell>
        </row>
        <row r="2057">
          <cell r="A2057">
            <v>0</v>
          </cell>
          <cell r="B2057">
            <v>0</v>
          </cell>
        </row>
        <row r="2058">
          <cell r="A2058">
            <v>0</v>
          </cell>
          <cell r="B2058">
            <v>0</v>
          </cell>
        </row>
        <row r="2059">
          <cell r="A2059">
            <v>0</v>
          </cell>
          <cell r="B2059">
            <v>0</v>
          </cell>
        </row>
        <row r="2060">
          <cell r="A2060">
            <v>0</v>
          </cell>
          <cell r="B2060">
            <v>0</v>
          </cell>
        </row>
        <row r="2061">
          <cell r="A2061">
            <v>0</v>
          </cell>
          <cell r="B2061">
            <v>0</v>
          </cell>
        </row>
        <row r="2062">
          <cell r="A2062">
            <v>0</v>
          </cell>
          <cell r="B2062">
            <v>0</v>
          </cell>
        </row>
        <row r="2063">
          <cell r="A2063">
            <v>0</v>
          </cell>
          <cell r="B2063">
            <v>0</v>
          </cell>
        </row>
        <row r="2064">
          <cell r="A2064">
            <v>0</v>
          </cell>
          <cell r="B2064">
            <v>0</v>
          </cell>
        </row>
        <row r="2065">
          <cell r="A2065">
            <v>0</v>
          </cell>
          <cell r="B2065">
            <v>0</v>
          </cell>
        </row>
        <row r="2066">
          <cell r="A2066">
            <v>0</v>
          </cell>
          <cell r="B2066">
            <v>0</v>
          </cell>
        </row>
        <row r="2067">
          <cell r="A2067">
            <v>0</v>
          </cell>
          <cell r="B2067">
            <v>0</v>
          </cell>
        </row>
        <row r="2068">
          <cell r="A2068">
            <v>0</v>
          </cell>
          <cell r="B2068">
            <v>0</v>
          </cell>
        </row>
        <row r="2069">
          <cell r="A2069">
            <v>0</v>
          </cell>
          <cell r="B2069">
            <v>0</v>
          </cell>
        </row>
        <row r="2070">
          <cell r="A2070">
            <v>0</v>
          </cell>
          <cell r="B2070">
            <v>0</v>
          </cell>
        </row>
        <row r="2071">
          <cell r="A2071">
            <v>0</v>
          </cell>
          <cell r="B2071">
            <v>0</v>
          </cell>
        </row>
        <row r="2072">
          <cell r="A2072">
            <v>0</v>
          </cell>
          <cell r="B2072">
            <v>0</v>
          </cell>
        </row>
        <row r="2073">
          <cell r="A2073">
            <v>0</v>
          </cell>
          <cell r="B2073">
            <v>0</v>
          </cell>
        </row>
        <row r="2074">
          <cell r="A2074">
            <v>0</v>
          </cell>
          <cell r="B2074">
            <v>0</v>
          </cell>
        </row>
        <row r="2075">
          <cell r="A2075">
            <v>0</v>
          </cell>
          <cell r="B2075">
            <v>0</v>
          </cell>
        </row>
        <row r="2076">
          <cell r="A2076">
            <v>0</v>
          </cell>
          <cell r="B2076">
            <v>0</v>
          </cell>
        </row>
        <row r="2077">
          <cell r="A2077">
            <v>0</v>
          </cell>
          <cell r="B2077">
            <v>0</v>
          </cell>
        </row>
        <row r="2078">
          <cell r="A2078">
            <v>0</v>
          </cell>
          <cell r="B2078">
            <v>0</v>
          </cell>
        </row>
        <row r="2079">
          <cell r="A2079">
            <v>0</v>
          </cell>
          <cell r="B2079">
            <v>0</v>
          </cell>
        </row>
        <row r="2080">
          <cell r="A2080">
            <v>0</v>
          </cell>
          <cell r="B2080">
            <v>0</v>
          </cell>
        </row>
        <row r="2081">
          <cell r="A2081">
            <v>0</v>
          </cell>
          <cell r="B2081">
            <v>0</v>
          </cell>
        </row>
        <row r="2082">
          <cell r="A2082">
            <v>0</v>
          </cell>
          <cell r="B2082">
            <v>0</v>
          </cell>
        </row>
        <row r="2083">
          <cell r="A2083">
            <v>0</v>
          </cell>
          <cell r="B2083">
            <v>0</v>
          </cell>
        </row>
        <row r="2084">
          <cell r="A2084">
            <v>0</v>
          </cell>
          <cell r="B2084">
            <v>0</v>
          </cell>
        </row>
        <row r="2085">
          <cell r="A2085">
            <v>0</v>
          </cell>
          <cell r="B2085">
            <v>0</v>
          </cell>
        </row>
        <row r="2086">
          <cell r="A2086">
            <v>0</v>
          </cell>
          <cell r="B2086">
            <v>0</v>
          </cell>
        </row>
        <row r="2087">
          <cell r="A2087">
            <v>0</v>
          </cell>
          <cell r="B2087">
            <v>0</v>
          </cell>
        </row>
        <row r="2088">
          <cell r="A2088">
            <v>0</v>
          </cell>
          <cell r="B2088">
            <v>0</v>
          </cell>
        </row>
        <row r="2089">
          <cell r="A2089">
            <v>0</v>
          </cell>
          <cell r="B2089">
            <v>0</v>
          </cell>
        </row>
        <row r="2090">
          <cell r="A2090">
            <v>0</v>
          </cell>
          <cell r="B2090">
            <v>0</v>
          </cell>
        </row>
        <row r="2091">
          <cell r="A2091">
            <v>0</v>
          </cell>
          <cell r="B2091">
            <v>0</v>
          </cell>
        </row>
        <row r="2092">
          <cell r="A2092">
            <v>0</v>
          </cell>
          <cell r="B2092">
            <v>0</v>
          </cell>
        </row>
        <row r="2093">
          <cell r="A2093">
            <v>0</v>
          </cell>
          <cell r="B2093">
            <v>0</v>
          </cell>
        </row>
        <row r="2094">
          <cell r="A2094">
            <v>0</v>
          </cell>
          <cell r="B2094">
            <v>0</v>
          </cell>
        </row>
        <row r="2095">
          <cell r="A2095">
            <v>0</v>
          </cell>
          <cell r="B2095">
            <v>0</v>
          </cell>
        </row>
        <row r="2096">
          <cell r="A2096">
            <v>0</v>
          </cell>
          <cell r="B2096">
            <v>0</v>
          </cell>
        </row>
        <row r="2097">
          <cell r="A2097">
            <v>0</v>
          </cell>
          <cell r="B2097">
            <v>0</v>
          </cell>
        </row>
        <row r="2098">
          <cell r="A2098">
            <v>0</v>
          </cell>
          <cell r="B2098">
            <v>0</v>
          </cell>
        </row>
        <row r="2099">
          <cell r="A2099">
            <v>0</v>
          </cell>
          <cell r="B2099">
            <v>0</v>
          </cell>
        </row>
        <row r="2100">
          <cell r="A2100">
            <v>0</v>
          </cell>
          <cell r="B2100">
            <v>0</v>
          </cell>
        </row>
        <row r="2101">
          <cell r="A2101">
            <v>0</v>
          </cell>
          <cell r="B2101">
            <v>0</v>
          </cell>
        </row>
        <row r="2102">
          <cell r="A2102">
            <v>0</v>
          </cell>
          <cell r="B2102">
            <v>0</v>
          </cell>
        </row>
        <row r="2103">
          <cell r="A2103">
            <v>0</v>
          </cell>
          <cell r="B2103">
            <v>0</v>
          </cell>
        </row>
        <row r="2104">
          <cell r="A2104">
            <v>0</v>
          </cell>
          <cell r="B2104">
            <v>0</v>
          </cell>
        </row>
        <row r="2105">
          <cell r="A2105">
            <v>0</v>
          </cell>
          <cell r="B2105">
            <v>0</v>
          </cell>
        </row>
        <row r="2106">
          <cell r="A2106">
            <v>0</v>
          </cell>
          <cell r="B2106">
            <v>0</v>
          </cell>
        </row>
        <row r="2107">
          <cell r="A2107">
            <v>0</v>
          </cell>
          <cell r="B2107">
            <v>0</v>
          </cell>
        </row>
        <row r="2108">
          <cell r="A2108">
            <v>0</v>
          </cell>
          <cell r="B2108">
            <v>0</v>
          </cell>
        </row>
        <row r="2109">
          <cell r="A2109">
            <v>0</v>
          </cell>
          <cell r="B2109">
            <v>0</v>
          </cell>
        </row>
        <row r="2110">
          <cell r="A2110">
            <v>0</v>
          </cell>
          <cell r="B2110">
            <v>0</v>
          </cell>
        </row>
        <row r="2111">
          <cell r="A2111">
            <v>0</v>
          </cell>
          <cell r="B2111">
            <v>0</v>
          </cell>
        </row>
        <row r="2112">
          <cell r="A2112">
            <v>0</v>
          </cell>
          <cell r="B2112">
            <v>0</v>
          </cell>
        </row>
        <row r="2113">
          <cell r="A2113">
            <v>0</v>
          </cell>
          <cell r="B2113">
            <v>0</v>
          </cell>
        </row>
        <row r="2114">
          <cell r="A2114">
            <v>0</v>
          </cell>
          <cell r="B2114">
            <v>0</v>
          </cell>
        </row>
        <row r="2115">
          <cell r="A2115">
            <v>0</v>
          </cell>
          <cell r="B2115">
            <v>0</v>
          </cell>
        </row>
        <row r="2116">
          <cell r="A2116">
            <v>0</v>
          </cell>
          <cell r="B2116">
            <v>0</v>
          </cell>
        </row>
        <row r="2117">
          <cell r="A2117">
            <v>0</v>
          </cell>
          <cell r="B2117">
            <v>0</v>
          </cell>
        </row>
        <row r="2118">
          <cell r="A2118">
            <v>0</v>
          </cell>
          <cell r="B2118">
            <v>0</v>
          </cell>
        </row>
        <row r="2119">
          <cell r="A2119">
            <v>0</v>
          </cell>
          <cell r="B2119">
            <v>0</v>
          </cell>
        </row>
        <row r="2120">
          <cell r="A2120">
            <v>0</v>
          </cell>
          <cell r="B2120">
            <v>0</v>
          </cell>
        </row>
        <row r="2121">
          <cell r="A2121">
            <v>0</v>
          </cell>
          <cell r="B2121">
            <v>0</v>
          </cell>
        </row>
        <row r="2122">
          <cell r="A2122">
            <v>0</v>
          </cell>
          <cell r="B2122">
            <v>0</v>
          </cell>
        </row>
        <row r="2123">
          <cell r="A2123">
            <v>0</v>
          </cell>
          <cell r="B2123">
            <v>0</v>
          </cell>
        </row>
        <row r="2124">
          <cell r="A2124">
            <v>0</v>
          </cell>
          <cell r="B2124">
            <v>0</v>
          </cell>
        </row>
        <row r="2125">
          <cell r="A2125">
            <v>0</v>
          </cell>
          <cell r="B2125">
            <v>0</v>
          </cell>
        </row>
        <row r="2126">
          <cell r="A2126">
            <v>0</v>
          </cell>
          <cell r="B2126">
            <v>0</v>
          </cell>
        </row>
        <row r="2127">
          <cell r="A2127">
            <v>0</v>
          </cell>
          <cell r="B2127">
            <v>0</v>
          </cell>
        </row>
        <row r="2128">
          <cell r="A2128">
            <v>0</v>
          </cell>
          <cell r="B2128">
            <v>0</v>
          </cell>
        </row>
        <row r="2129">
          <cell r="A2129">
            <v>0</v>
          </cell>
          <cell r="B2129">
            <v>0</v>
          </cell>
        </row>
        <row r="2130">
          <cell r="A2130">
            <v>0</v>
          </cell>
          <cell r="B2130">
            <v>0</v>
          </cell>
        </row>
        <row r="2131">
          <cell r="A2131">
            <v>0</v>
          </cell>
          <cell r="B2131">
            <v>0</v>
          </cell>
        </row>
        <row r="2132">
          <cell r="A2132">
            <v>0</v>
          </cell>
          <cell r="B2132">
            <v>0</v>
          </cell>
        </row>
        <row r="2133">
          <cell r="A2133">
            <v>0</v>
          </cell>
          <cell r="B2133">
            <v>0</v>
          </cell>
        </row>
        <row r="2134">
          <cell r="A2134">
            <v>0</v>
          </cell>
          <cell r="B2134">
            <v>0</v>
          </cell>
        </row>
        <row r="2135">
          <cell r="A2135">
            <v>0</v>
          </cell>
          <cell r="B2135">
            <v>0</v>
          </cell>
        </row>
        <row r="2136">
          <cell r="A2136">
            <v>0</v>
          </cell>
          <cell r="B2136">
            <v>0</v>
          </cell>
        </row>
        <row r="2137">
          <cell r="A2137">
            <v>0</v>
          </cell>
          <cell r="B2137">
            <v>0</v>
          </cell>
        </row>
        <row r="2138">
          <cell r="A2138">
            <v>0</v>
          </cell>
          <cell r="B2138">
            <v>0</v>
          </cell>
        </row>
        <row r="2139">
          <cell r="A2139">
            <v>0</v>
          </cell>
          <cell r="B2139">
            <v>0</v>
          </cell>
        </row>
        <row r="2140">
          <cell r="A2140">
            <v>0</v>
          </cell>
          <cell r="B2140">
            <v>0</v>
          </cell>
        </row>
        <row r="2141">
          <cell r="A2141">
            <v>0</v>
          </cell>
          <cell r="B2141">
            <v>0</v>
          </cell>
        </row>
        <row r="2142">
          <cell r="A2142">
            <v>0</v>
          </cell>
          <cell r="B2142">
            <v>0</v>
          </cell>
        </row>
        <row r="2143">
          <cell r="A2143">
            <v>0</v>
          </cell>
          <cell r="B2143">
            <v>0</v>
          </cell>
        </row>
        <row r="2144">
          <cell r="A2144">
            <v>0</v>
          </cell>
          <cell r="B2144">
            <v>0</v>
          </cell>
        </row>
        <row r="2145">
          <cell r="A2145">
            <v>0</v>
          </cell>
          <cell r="B2145">
            <v>0</v>
          </cell>
        </row>
        <row r="2146">
          <cell r="A2146">
            <v>0</v>
          </cell>
          <cell r="B2146">
            <v>0</v>
          </cell>
        </row>
        <row r="2147">
          <cell r="A2147">
            <v>0</v>
          </cell>
          <cell r="B2147">
            <v>0</v>
          </cell>
        </row>
        <row r="2148">
          <cell r="A2148">
            <v>0</v>
          </cell>
          <cell r="B2148">
            <v>0</v>
          </cell>
        </row>
        <row r="2149">
          <cell r="A2149">
            <v>0</v>
          </cell>
          <cell r="B2149">
            <v>0</v>
          </cell>
        </row>
        <row r="2150">
          <cell r="A2150">
            <v>0</v>
          </cell>
          <cell r="B2150">
            <v>0</v>
          </cell>
        </row>
        <row r="2151">
          <cell r="A2151">
            <v>0</v>
          </cell>
          <cell r="B2151">
            <v>0</v>
          </cell>
        </row>
        <row r="2152">
          <cell r="A2152">
            <v>0</v>
          </cell>
          <cell r="B2152">
            <v>0</v>
          </cell>
        </row>
        <row r="2153">
          <cell r="A2153">
            <v>0</v>
          </cell>
          <cell r="B2153">
            <v>0</v>
          </cell>
        </row>
        <row r="2154">
          <cell r="A2154">
            <v>0</v>
          </cell>
          <cell r="B2154">
            <v>0</v>
          </cell>
        </row>
        <row r="2155">
          <cell r="A2155">
            <v>0</v>
          </cell>
          <cell r="B2155">
            <v>0</v>
          </cell>
        </row>
        <row r="2156">
          <cell r="A2156">
            <v>0</v>
          </cell>
          <cell r="B2156">
            <v>0</v>
          </cell>
        </row>
        <row r="2157">
          <cell r="A2157">
            <v>0</v>
          </cell>
          <cell r="B2157">
            <v>0</v>
          </cell>
        </row>
        <row r="2158">
          <cell r="A2158">
            <v>0</v>
          </cell>
          <cell r="B2158">
            <v>0</v>
          </cell>
        </row>
        <row r="2159">
          <cell r="A2159">
            <v>0</v>
          </cell>
          <cell r="B2159">
            <v>0</v>
          </cell>
        </row>
        <row r="2160">
          <cell r="A2160">
            <v>0</v>
          </cell>
          <cell r="B2160">
            <v>0</v>
          </cell>
        </row>
        <row r="2161">
          <cell r="A2161">
            <v>0</v>
          </cell>
          <cell r="B2161">
            <v>0</v>
          </cell>
        </row>
        <row r="2162">
          <cell r="A2162">
            <v>0</v>
          </cell>
          <cell r="B2162">
            <v>0</v>
          </cell>
        </row>
        <row r="2163">
          <cell r="A2163">
            <v>0</v>
          </cell>
          <cell r="B2163">
            <v>0</v>
          </cell>
        </row>
        <row r="2164">
          <cell r="A2164">
            <v>0</v>
          </cell>
          <cell r="B2164">
            <v>0</v>
          </cell>
        </row>
        <row r="2165">
          <cell r="A2165">
            <v>0</v>
          </cell>
          <cell r="B2165">
            <v>0</v>
          </cell>
        </row>
        <row r="2166">
          <cell r="A2166">
            <v>0</v>
          </cell>
          <cell r="B2166">
            <v>0</v>
          </cell>
        </row>
        <row r="2167">
          <cell r="A2167">
            <v>0</v>
          </cell>
          <cell r="B2167">
            <v>0</v>
          </cell>
        </row>
        <row r="2168">
          <cell r="A2168">
            <v>0</v>
          </cell>
          <cell r="B2168">
            <v>0</v>
          </cell>
        </row>
        <row r="2169">
          <cell r="A2169">
            <v>0</v>
          </cell>
          <cell r="B2169">
            <v>0</v>
          </cell>
        </row>
        <row r="2170">
          <cell r="A2170">
            <v>0</v>
          </cell>
          <cell r="B2170">
            <v>0</v>
          </cell>
        </row>
        <row r="2171">
          <cell r="A2171">
            <v>0</v>
          </cell>
          <cell r="B2171">
            <v>0</v>
          </cell>
        </row>
        <row r="2172">
          <cell r="A2172">
            <v>0</v>
          </cell>
          <cell r="B2172">
            <v>0</v>
          </cell>
        </row>
        <row r="2173">
          <cell r="A2173">
            <v>0</v>
          </cell>
          <cell r="B2173">
            <v>0</v>
          </cell>
        </row>
        <row r="2174">
          <cell r="A2174">
            <v>0</v>
          </cell>
          <cell r="B2174">
            <v>0</v>
          </cell>
        </row>
        <row r="2175">
          <cell r="A2175">
            <v>0</v>
          </cell>
          <cell r="B2175">
            <v>0</v>
          </cell>
        </row>
        <row r="2176">
          <cell r="A2176">
            <v>0</v>
          </cell>
          <cell r="B2176">
            <v>0</v>
          </cell>
        </row>
        <row r="2177">
          <cell r="A2177">
            <v>0</v>
          </cell>
          <cell r="B2177">
            <v>0</v>
          </cell>
        </row>
        <row r="2178">
          <cell r="A2178">
            <v>0</v>
          </cell>
          <cell r="B2178">
            <v>0</v>
          </cell>
        </row>
        <row r="2179">
          <cell r="A2179">
            <v>0</v>
          </cell>
          <cell r="B2179">
            <v>0</v>
          </cell>
        </row>
        <row r="2180">
          <cell r="A2180">
            <v>0</v>
          </cell>
          <cell r="B2180">
            <v>0</v>
          </cell>
        </row>
        <row r="2181">
          <cell r="A2181">
            <v>0</v>
          </cell>
          <cell r="B2181">
            <v>0</v>
          </cell>
        </row>
        <row r="2182">
          <cell r="A2182">
            <v>0</v>
          </cell>
          <cell r="B2182">
            <v>0</v>
          </cell>
        </row>
        <row r="2183">
          <cell r="A2183">
            <v>0</v>
          </cell>
          <cell r="B2183">
            <v>0</v>
          </cell>
        </row>
        <row r="2184">
          <cell r="A2184">
            <v>0</v>
          </cell>
          <cell r="B2184">
            <v>0</v>
          </cell>
        </row>
        <row r="2185">
          <cell r="A2185">
            <v>0</v>
          </cell>
          <cell r="B2185">
            <v>0</v>
          </cell>
        </row>
        <row r="2186">
          <cell r="A2186">
            <v>0</v>
          </cell>
          <cell r="B2186">
            <v>0</v>
          </cell>
        </row>
        <row r="2187">
          <cell r="A2187">
            <v>0</v>
          </cell>
          <cell r="B2187">
            <v>0</v>
          </cell>
        </row>
        <row r="2188">
          <cell r="A2188">
            <v>0</v>
          </cell>
          <cell r="B2188">
            <v>0</v>
          </cell>
        </row>
        <row r="2189">
          <cell r="A2189">
            <v>0</v>
          </cell>
          <cell r="B2189">
            <v>0</v>
          </cell>
        </row>
        <row r="2190">
          <cell r="A2190">
            <v>0</v>
          </cell>
          <cell r="B2190">
            <v>0</v>
          </cell>
        </row>
        <row r="2191">
          <cell r="A2191">
            <v>0</v>
          </cell>
          <cell r="B2191">
            <v>0</v>
          </cell>
        </row>
        <row r="2192">
          <cell r="A2192">
            <v>0</v>
          </cell>
          <cell r="B2192">
            <v>0</v>
          </cell>
        </row>
        <row r="2193">
          <cell r="A2193">
            <v>0</v>
          </cell>
          <cell r="B2193">
            <v>0</v>
          </cell>
        </row>
        <row r="2194">
          <cell r="A2194">
            <v>0</v>
          </cell>
          <cell r="B2194">
            <v>0</v>
          </cell>
        </row>
        <row r="2195">
          <cell r="A2195">
            <v>0</v>
          </cell>
          <cell r="B2195">
            <v>0</v>
          </cell>
        </row>
        <row r="2196">
          <cell r="A2196">
            <v>0</v>
          </cell>
          <cell r="B2196">
            <v>0</v>
          </cell>
        </row>
        <row r="2197">
          <cell r="A2197">
            <v>0</v>
          </cell>
          <cell r="B2197">
            <v>0</v>
          </cell>
        </row>
        <row r="2198">
          <cell r="A2198">
            <v>0</v>
          </cell>
          <cell r="B2198">
            <v>0</v>
          </cell>
        </row>
        <row r="2199">
          <cell r="A2199">
            <v>0</v>
          </cell>
          <cell r="B2199">
            <v>0</v>
          </cell>
        </row>
        <row r="2200">
          <cell r="A2200">
            <v>0</v>
          </cell>
          <cell r="B2200">
            <v>0</v>
          </cell>
        </row>
        <row r="2201">
          <cell r="A2201">
            <v>0</v>
          </cell>
          <cell r="B2201">
            <v>0</v>
          </cell>
        </row>
        <row r="2202">
          <cell r="A2202">
            <v>0</v>
          </cell>
          <cell r="B2202">
            <v>0</v>
          </cell>
        </row>
        <row r="2203">
          <cell r="A2203">
            <v>0</v>
          </cell>
          <cell r="B2203">
            <v>0</v>
          </cell>
        </row>
        <row r="2204">
          <cell r="A2204">
            <v>0</v>
          </cell>
          <cell r="B2204">
            <v>0</v>
          </cell>
        </row>
        <row r="2205">
          <cell r="A2205">
            <v>0</v>
          </cell>
          <cell r="B2205">
            <v>0</v>
          </cell>
        </row>
        <row r="2206">
          <cell r="A2206">
            <v>0</v>
          </cell>
          <cell r="B2206">
            <v>0</v>
          </cell>
        </row>
        <row r="2207">
          <cell r="A2207">
            <v>0</v>
          </cell>
          <cell r="B2207">
            <v>0</v>
          </cell>
        </row>
        <row r="2208">
          <cell r="A2208">
            <v>0</v>
          </cell>
          <cell r="B2208">
            <v>0</v>
          </cell>
        </row>
        <row r="2209">
          <cell r="A2209">
            <v>0</v>
          </cell>
          <cell r="B2209">
            <v>0</v>
          </cell>
        </row>
        <row r="2210">
          <cell r="A2210">
            <v>0</v>
          </cell>
          <cell r="B2210">
            <v>0</v>
          </cell>
        </row>
        <row r="2211">
          <cell r="A2211">
            <v>0</v>
          </cell>
          <cell r="B2211">
            <v>0</v>
          </cell>
        </row>
        <row r="2212">
          <cell r="A2212">
            <v>0</v>
          </cell>
          <cell r="B2212">
            <v>0</v>
          </cell>
        </row>
        <row r="2213">
          <cell r="A2213">
            <v>0</v>
          </cell>
          <cell r="B2213">
            <v>0</v>
          </cell>
        </row>
        <row r="2214">
          <cell r="A2214">
            <v>0</v>
          </cell>
          <cell r="B2214">
            <v>0</v>
          </cell>
        </row>
        <row r="2215">
          <cell r="A2215">
            <v>0</v>
          </cell>
          <cell r="B2215">
            <v>0</v>
          </cell>
        </row>
        <row r="2216">
          <cell r="A2216">
            <v>0</v>
          </cell>
          <cell r="B2216">
            <v>0</v>
          </cell>
        </row>
        <row r="2217">
          <cell r="A2217">
            <v>0</v>
          </cell>
          <cell r="B2217">
            <v>0</v>
          </cell>
        </row>
        <row r="2218">
          <cell r="A2218">
            <v>0</v>
          </cell>
          <cell r="B2218">
            <v>0</v>
          </cell>
        </row>
        <row r="2219">
          <cell r="A2219">
            <v>0</v>
          </cell>
          <cell r="B2219">
            <v>0</v>
          </cell>
        </row>
        <row r="2220">
          <cell r="A2220">
            <v>0</v>
          </cell>
          <cell r="B2220">
            <v>0</v>
          </cell>
        </row>
        <row r="2221">
          <cell r="A2221">
            <v>0</v>
          </cell>
          <cell r="B2221">
            <v>0</v>
          </cell>
        </row>
        <row r="2222">
          <cell r="A2222">
            <v>0</v>
          </cell>
          <cell r="B2222">
            <v>0</v>
          </cell>
        </row>
        <row r="2223">
          <cell r="A2223">
            <v>0</v>
          </cell>
          <cell r="B2223">
            <v>0</v>
          </cell>
        </row>
        <row r="2224">
          <cell r="A2224">
            <v>0</v>
          </cell>
          <cell r="B2224">
            <v>0</v>
          </cell>
        </row>
        <row r="2225">
          <cell r="A2225">
            <v>0</v>
          </cell>
          <cell r="B2225">
            <v>0</v>
          </cell>
        </row>
        <row r="2226">
          <cell r="A2226">
            <v>0</v>
          </cell>
          <cell r="B2226">
            <v>0</v>
          </cell>
        </row>
        <row r="2227">
          <cell r="A2227">
            <v>0</v>
          </cell>
          <cell r="B2227">
            <v>0</v>
          </cell>
        </row>
        <row r="2228">
          <cell r="A2228">
            <v>0</v>
          </cell>
          <cell r="B2228">
            <v>0</v>
          </cell>
        </row>
        <row r="2229">
          <cell r="A2229">
            <v>0</v>
          </cell>
          <cell r="B2229">
            <v>0</v>
          </cell>
        </row>
        <row r="2230">
          <cell r="A2230">
            <v>0</v>
          </cell>
          <cell r="B2230">
            <v>0</v>
          </cell>
        </row>
        <row r="2231">
          <cell r="A2231">
            <v>0</v>
          </cell>
          <cell r="B2231">
            <v>0</v>
          </cell>
        </row>
        <row r="2232">
          <cell r="A2232">
            <v>0</v>
          </cell>
          <cell r="B2232">
            <v>0</v>
          </cell>
        </row>
        <row r="2233">
          <cell r="A2233">
            <v>0</v>
          </cell>
          <cell r="B2233">
            <v>0</v>
          </cell>
        </row>
        <row r="2234">
          <cell r="A2234">
            <v>0</v>
          </cell>
          <cell r="B2234">
            <v>0</v>
          </cell>
        </row>
        <row r="2235">
          <cell r="A2235">
            <v>0</v>
          </cell>
          <cell r="B2235">
            <v>0</v>
          </cell>
        </row>
        <row r="2236">
          <cell r="A2236">
            <v>0</v>
          </cell>
          <cell r="B2236">
            <v>0</v>
          </cell>
        </row>
        <row r="2237">
          <cell r="A2237">
            <v>0</v>
          </cell>
          <cell r="B2237">
            <v>0</v>
          </cell>
        </row>
        <row r="2238">
          <cell r="A2238">
            <v>0</v>
          </cell>
          <cell r="B2238">
            <v>0</v>
          </cell>
        </row>
        <row r="2239">
          <cell r="A2239">
            <v>0</v>
          </cell>
          <cell r="B2239">
            <v>0</v>
          </cell>
        </row>
        <row r="2240">
          <cell r="A2240">
            <v>0</v>
          </cell>
          <cell r="B2240">
            <v>0</v>
          </cell>
        </row>
        <row r="2241">
          <cell r="A2241">
            <v>0</v>
          </cell>
          <cell r="B2241">
            <v>0</v>
          </cell>
        </row>
        <row r="2242">
          <cell r="A2242">
            <v>0</v>
          </cell>
          <cell r="B2242">
            <v>0</v>
          </cell>
        </row>
        <row r="2243">
          <cell r="A2243">
            <v>0</v>
          </cell>
          <cell r="B2243">
            <v>0</v>
          </cell>
        </row>
        <row r="2244">
          <cell r="A2244">
            <v>0</v>
          </cell>
          <cell r="B2244">
            <v>0</v>
          </cell>
        </row>
        <row r="2245">
          <cell r="A2245">
            <v>0</v>
          </cell>
          <cell r="B2245">
            <v>0</v>
          </cell>
        </row>
        <row r="2246">
          <cell r="A2246">
            <v>0</v>
          </cell>
          <cell r="B2246">
            <v>0</v>
          </cell>
        </row>
        <row r="2247">
          <cell r="A2247">
            <v>0</v>
          </cell>
          <cell r="B2247">
            <v>0</v>
          </cell>
        </row>
        <row r="2248">
          <cell r="A2248">
            <v>0</v>
          </cell>
          <cell r="B2248">
            <v>0</v>
          </cell>
        </row>
        <row r="2249">
          <cell r="A2249">
            <v>0</v>
          </cell>
          <cell r="B2249">
            <v>0</v>
          </cell>
        </row>
        <row r="2250">
          <cell r="A2250">
            <v>0</v>
          </cell>
          <cell r="B2250">
            <v>0</v>
          </cell>
        </row>
        <row r="2251">
          <cell r="A2251">
            <v>0</v>
          </cell>
          <cell r="B2251">
            <v>0</v>
          </cell>
        </row>
        <row r="2252">
          <cell r="A2252">
            <v>0</v>
          </cell>
          <cell r="B2252">
            <v>0</v>
          </cell>
        </row>
        <row r="2253">
          <cell r="A2253">
            <v>0</v>
          </cell>
          <cell r="B2253">
            <v>0</v>
          </cell>
        </row>
        <row r="2254">
          <cell r="A2254">
            <v>0</v>
          </cell>
          <cell r="B2254">
            <v>0</v>
          </cell>
        </row>
        <row r="2255">
          <cell r="A2255">
            <v>0</v>
          </cell>
          <cell r="B2255">
            <v>0</v>
          </cell>
        </row>
        <row r="2256">
          <cell r="A2256">
            <v>0</v>
          </cell>
          <cell r="B2256">
            <v>0</v>
          </cell>
        </row>
        <row r="2257">
          <cell r="A2257">
            <v>0</v>
          </cell>
          <cell r="B2257">
            <v>0</v>
          </cell>
        </row>
        <row r="2258">
          <cell r="A2258">
            <v>0</v>
          </cell>
          <cell r="B2258">
            <v>0</v>
          </cell>
        </row>
        <row r="2259">
          <cell r="A2259">
            <v>0</v>
          </cell>
          <cell r="B2259">
            <v>0</v>
          </cell>
        </row>
        <row r="2260">
          <cell r="A2260">
            <v>0</v>
          </cell>
          <cell r="B2260">
            <v>0</v>
          </cell>
        </row>
        <row r="2261">
          <cell r="A2261">
            <v>0</v>
          </cell>
          <cell r="B2261">
            <v>0</v>
          </cell>
        </row>
        <row r="2262">
          <cell r="A2262">
            <v>0</v>
          </cell>
          <cell r="B2262">
            <v>0</v>
          </cell>
        </row>
        <row r="2263">
          <cell r="A2263">
            <v>0</v>
          </cell>
          <cell r="B2263">
            <v>0</v>
          </cell>
        </row>
        <row r="2264">
          <cell r="A2264">
            <v>0</v>
          </cell>
          <cell r="B2264">
            <v>0</v>
          </cell>
        </row>
        <row r="2265">
          <cell r="A2265">
            <v>0</v>
          </cell>
          <cell r="B2265">
            <v>0</v>
          </cell>
        </row>
        <row r="2266">
          <cell r="A2266">
            <v>0</v>
          </cell>
          <cell r="B2266">
            <v>0</v>
          </cell>
        </row>
        <row r="2267">
          <cell r="A2267">
            <v>0</v>
          </cell>
          <cell r="B2267">
            <v>0</v>
          </cell>
        </row>
        <row r="2268">
          <cell r="A2268">
            <v>0</v>
          </cell>
          <cell r="B2268">
            <v>0</v>
          </cell>
        </row>
        <row r="2269">
          <cell r="A2269">
            <v>0</v>
          </cell>
          <cell r="B2269">
            <v>0</v>
          </cell>
        </row>
        <row r="2270">
          <cell r="A2270">
            <v>0</v>
          </cell>
          <cell r="B2270">
            <v>0</v>
          </cell>
        </row>
        <row r="2271">
          <cell r="A2271">
            <v>0</v>
          </cell>
          <cell r="B2271">
            <v>0</v>
          </cell>
        </row>
        <row r="2272">
          <cell r="A2272">
            <v>0</v>
          </cell>
          <cell r="B2272">
            <v>0</v>
          </cell>
        </row>
        <row r="2273">
          <cell r="A2273">
            <v>0</v>
          </cell>
          <cell r="B2273">
            <v>0</v>
          </cell>
        </row>
        <row r="2274">
          <cell r="A2274">
            <v>0</v>
          </cell>
          <cell r="B2274">
            <v>0</v>
          </cell>
        </row>
        <row r="2275">
          <cell r="A2275">
            <v>0</v>
          </cell>
          <cell r="B2275">
            <v>0</v>
          </cell>
        </row>
        <row r="2276">
          <cell r="A2276">
            <v>0</v>
          </cell>
          <cell r="B2276">
            <v>0</v>
          </cell>
        </row>
        <row r="2277">
          <cell r="A2277">
            <v>0</v>
          </cell>
          <cell r="B2277">
            <v>0</v>
          </cell>
        </row>
        <row r="2278">
          <cell r="A2278">
            <v>0</v>
          </cell>
          <cell r="B2278">
            <v>0</v>
          </cell>
        </row>
        <row r="2279">
          <cell r="A2279">
            <v>0</v>
          </cell>
          <cell r="B2279">
            <v>0</v>
          </cell>
        </row>
        <row r="2280">
          <cell r="A2280">
            <v>0</v>
          </cell>
          <cell r="B2280">
            <v>0</v>
          </cell>
        </row>
        <row r="2281">
          <cell r="A2281">
            <v>0</v>
          </cell>
          <cell r="B2281">
            <v>0</v>
          </cell>
        </row>
        <row r="2282">
          <cell r="A2282">
            <v>0</v>
          </cell>
          <cell r="B2282">
            <v>0</v>
          </cell>
        </row>
        <row r="2283">
          <cell r="A2283">
            <v>0</v>
          </cell>
          <cell r="B2283">
            <v>0</v>
          </cell>
        </row>
        <row r="2284">
          <cell r="A2284">
            <v>0</v>
          </cell>
          <cell r="B2284">
            <v>0</v>
          </cell>
        </row>
        <row r="2285">
          <cell r="A2285">
            <v>0</v>
          </cell>
          <cell r="B2285">
            <v>0</v>
          </cell>
        </row>
        <row r="2286">
          <cell r="A2286">
            <v>0</v>
          </cell>
          <cell r="B2286">
            <v>0</v>
          </cell>
        </row>
        <row r="2287">
          <cell r="A2287">
            <v>0</v>
          </cell>
          <cell r="B2287">
            <v>0</v>
          </cell>
        </row>
        <row r="2288">
          <cell r="A2288">
            <v>0</v>
          </cell>
          <cell r="B2288">
            <v>0</v>
          </cell>
        </row>
        <row r="2289">
          <cell r="A2289">
            <v>0</v>
          </cell>
          <cell r="B2289">
            <v>0</v>
          </cell>
        </row>
        <row r="2290">
          <cell r="A2290">
            <v>0</v>
          </cell>
          <cell r="B2290">
            <v>0</v>
          </cell>
        </row>
        <row r="2291">
          <cell r="A2291">
            <v>0</v>
          </cell>
          <cell r="B2291">
            <v>0</v>
          </cell>
        </row>
        <row r="2292">
          <cell r="A2292">
            <v>0</v>
          </cell>
          <cell r="B2292">
            <v>0</v>
          </cell>
        </row>
        <row r="2293">
          <cell r="A2293">
            <v>0</v>
          </cell>
          <cell r="B2293">
            <v>0</v>
          </cell>
        </row>
        <row r="2294">
          <cell r="A2294">
            <v>0</v>
          </cell>
          <cell r="B2294">
            <v>0</v>
          </cell>
        </row>
        <row r="2295">
          <cell r="A2295">
            <v>0</v>
          </cell>
          <cell r="B2295">
            <v>0</v>
          </cell>
        </row>
        <row r="2296">
          <cell r="A2296">
            <v>0</v>
          </cell>
          <cell r="B2296">
            <v>0</v>
          </cell>
        </row>
        <row r="2297">
          <cell r="A2297">
            <v>0</v>
          </cell>
          <cell r="B2297">
            <v>0</v>
          </cell>
        </row>
        <row r="2298">
          <cell r="A2298">
            <v>0</v>
          </cell>
          <cell r="B2298">
            <v>0</v>
          </cell>
        </row>
        <row r="2299">
          <cell r="A2299">
            <v>0</v>
          </cell>
          <cell r="B2299">
            <v>0</v>
          </cell>
        </row>
        <row r="2300">
          <cell r="A2300">
            <v>0</v>
          </cell>
          <cell r="B2300">
            <v>0</v>
          </cell>
        </row>
        <row r="2301">
          <cell r="A2301">
            <v>0</v>
          </cell>
          <cell r="B2301">
            <v>0</v>
          </cell>
        </row>
        <row r="2302">
          <cell r="A2302">
            <v>0</v>
          </cell>
          <cell r="B2302">
            <v>0</v>
          </cell>
        </row>
        <row r="2303">
          <cell r="A2303">
            <v>0</v>
          </cell>
          <cell r="B2303">
            <v>0</v>
          </cell>
        </row>
        <row r="2304">
          <cell r="A2304">
            <v>0</v>
          </cell>
          <cell r="B2304">
            <v>0</v>
          </cell>
        </row>
        <row r="2305">
          <cell r="A2305">
            <v>0</v>
          </cell>
          <cell r="B2305">
            <v>0</v>
          </cell>
        </row>
        <row r="2306">
          <cell r="A2306">
            <v>0</v>
          </cell>
          <cell r="B2306">
            <v>0</v>
          </cell>
        </row>
        <row r="2307">
          <cell r="A2307">
            <v>0</v>
          </cell>
          <cell r="B2307">
            <v>0</v>
          </cell>
        </row>
        <row r="2308">
          <cell r="A2308">
            <v>0</v>
          </cell>
          <cell r="B2308">
            <v>0</v>
          </cell>
        </row>
        <row r="2309">
          <cell r="A2309">
            <v>0</v>
          </cell>
          <cell r="B2309">
            <v>0</v>
          </cell>
        </row>
        <row r="2310">
          <cell r="A2310">
            <v>0</v>
          </cell>
          <cell r="B2310">
            <v>0</v>
          </cell>
        </row>
        <row r="2311">
          <cell r="A2311">
            <v>0</v>
          </cell>
          <cell r="B2311">
            <v>0</v>
          </cell>
        </row>
        <row r="2312">
          <cell r="A2312">
            <v>0</v>
          </cell>
          <cell r="B2312">
            <v>0</v>
          </cell>
        </row>
        <row r="2313">
          <cell r="A2313">
            <v>0</v>
          </cell>
          <cell r="B2313">
            <v>0</v>
          </cell>
        </row>
        <row r="2314">
          <cell r="A2314">
            <v>0</v>
          </cell>
          <cell r="B2314">
            <v>0</v>
          </cell>
        </row>
        <row r="2315">
          <cell r="A2315">
            <v>0</v>
          </cell>
          <cell r="B2315">
            <v>0</v>
          </cell>
        </row>
        <row r="2316">
          <cell r="A2316">
            <v>0</v>
          </cell>
          <cell r="B2316">
            <v>0</v>
          </cell>
        </row>
        <row r="2317">
          <cell r="A2317">
            <v>0</v>
          </cell>
          <cell r="B2317">
            <v>0</v>
          </cell>
        </row>
        <row r="2318">
          <cell r="A2318">
            <v>0</v>
          </cell>
          <cell r="B2318">
            <v>0</v>
          </cell>
        </row>
        <row r="2319">
          <cell r="A2319">
            <v>0</v>
          </cell>
          <cell r="B2319">
            <v>0</v>
          </cell>
        </row>
        <row r="2320">
          <cell r="A2320">
            <v>0</v>
          </cell>
          <cell r="B2320">
            <v>0</v>
          </cell>
        </row>
        <row r="2321">
          <cell r="A2321">
            <v>0</v>
          </cell>
          <cell r="B2321">
            <v>0</v>
          </cell>
        </row>
        <row r="2322">
          <cell r="A2322">
            <v>0</v>
          </cell>
          <cell r="B2322">
            <v>0</v>
          </cell>
        </row>
        <row r="2323">
          <cell r="A2323">
            <v>0</v>
          </cell>
          <cell r="B2323">
            <v>0</v>
          </cell>
        </row>
        <row r="2324">
          <cell r="A2324">
            <v>0</v>
          </cell>
          <cell r="B2324">
            <v>0</v>
          </cell>
        </row>
        <row r="2325">
          <cell r="A2325">
            <v>0</v>
          </cell>
          <cell r="B2325">
            <v>0</v>
          </cell>
        </row>
        <row r="2326">
          <cell r="A2326">
            <v>0</v>
          </cell>
          <cell r="B2326">
            <v>0</v>
          </cell>
        </row>
        <row r="2327">
          <cell r="A2327">
            <v>0</v>
          </cell>
          <cell r="B2327">
            <v>0</v>
          </cell>
        </row>
        <row r="2328">
          <cell r="A2328">
            <v>0</v>
          </cell>
          <cell r="B2328">
            <v>0</v>
          </cell>
        </row>
        <row r="2329">
          <cell r="A2329">
            <v>0</v>
          </cell>
          <cell r="B2329">
            <v>0</v>
          </cell>
        </row>
        <row r="2330">
          <cell r="A2330">
            <v>0</v>
          </cell>
          <cell r="B2330">
            <v>0</v>
          </cell>
        </row>
        <row r="2331">
          <cell r="A2331">
            <v>0</v>
          </cell>
          <cell r="B2331">
            <v>0</v>
          </cell>
        </row>
        <row r="2332">
          <cell r="A2332">
            <v>0</v>
          </cell>
          <cell r="B2332">
            <v>0</v>
          </cell>
        </row>
        <row r="2333">
          <cell r="A2333">
            <v>0</v>
          </cell>
          <cell r="B2333">
            <v>0</v>
          </cell>
        </row>
        <row r="2334">
          <cell r="A2334">
            <v>0</v>
          </cell>
          <cell r="B2334">
            <v>0</v>
          </cell>
        </row>
        <row r="2335">
          <cell r="A2335">
            <v>0</v>
          </cell>
          <cell r="B2335">
            <v>0</v>
          </cell>
        </row>
        <row r="2336">
          <cell r="A2336">
            <v>0</v>
          </cell>
          <cell r="B2336">
            <v>0</v>
          </cell>
        </row>
        <row r="2337">
          <cell r="A2337">
            <v>0</v>
          </cell>
          <cell r="B2337">
            <v>0</v>
          </cell>
        </row>
        <row r="2338">
          <cell r="A2338">
            <v>0</v>
          </cell>
          <cell r="B2338">
            <v>0</v>
          </cell>
        </row>
        <row r="2339">
          <cell r="A2339">
            <v>0</v>
          </cell>
          <cell r="B2339">
            <v>0</v>
          </cell>
        </row>
        <row r="2340">
          <cell r="A2340">
            <v>0</v>
          </cell>
          <cell r="B2340">
            <v>0</v>
          </cell>
        </row>
        <row r="2341">
          <cell r="A2341">
            <v>0</v>
          </cell>
          <cell r="B2341">
            <v>0</v>
          </cell>
        </row>
        <row r="2342">
          <cell r="A2342">
            <v>0</v>
          </cell>
          <cell r="B2342">
            <v>0</v>
          </cell>
        </row>
        <row r="2343">
          <cell r="A2343">
            <v>0</v>
          </cell>
          <cell r="B2343">
            <v>0</v>
          </cell>
        </row>
        <row r="2344">
          <cell r="A2344">
            <v>0</v>
          </cell>
          <cell r="B2344">
            <v>0</v>
          </cell>
        </row>
        <row r="2345">
          <cell r="A2345">
            <v>0</v>
          </cell>
          <cell r="B2345">
            <v>0</v>
          </cell>
        </row>
        <row r="2346">
          <cell r="A2346">
            <v>0</v>
          </cell>
          <cell r="B2346">
            <v>0</v>
          </cell>
        </row>
        <row r="2347">
          <cell r="A2347">
            <v>0</v>
          </cell>
          <cell r="B2347">
            <v>0</v>
          </cell>
        </row>
        <row r="2348">
          <cell r="A2348">
            <v>0</v>
          </cell>
          <cell r="B2348">
            <v>0</v>
          </cell>
        </row>
        <row r="2349">
          <cell r="A2349">
            <v>0</v>
          </cell>
          <cell r="B2349">
            <v>0</v>
          </cell>
        </row>
        <row r="2350">
          <cell r="A2350">
            <v>0</v>
          </cell>
          <cell r="B2350">
            <v>0</v>
          </cell>
        </row>
        <row r="2351">
          <cell r="A2351">
            <v>0</v>
          </cell>
          <cell r="B2351">
            <v>0</v>
          </cell>
        </row>
        <row r="2352">
          <cell r="A2352">
            <v>0</v>
          </cell>
          <cell r="B2352">
            <v>0</v>
          </cell>
        </row>
        <row r="2353">
          <cell r="A2353">
            <v>0</v>
          </cell>
          <cell r="B2353">
            <v>0</v>
          </cell>
        </row>
        <row r="2354">
          <cell r="A2354">
            <v>0</v>
          </cell>
          <cell r="B2354">
            <v>0</v>
          </cell>
        </row>
        <row r="2355">
          <cell r="A2355">
            <v>0</v>
          </cell>
          <cell r="B2355">
            <v>0</v>
          </cell>
        </row>
        <row r="2356">
          <cell r="A2356">
            <v>0</v>
          </cell>
          <cell r="B2356">
            <v>0</v>
          </cell>
        </row>
        <row r="2357">
          <cell r="A2357">
            <v>0</v>
          </cell>
          <cell r="B2357">
            <v>0</v>
          </cell>
        </row>
        <row r="2358">
          <cell r="A2358">
            <v>0</v>
          </cell>
          <cell r="B2358">
            <v>0</v>
          </cell>
        </row>
        <row r="2359">
          <cell r="A2359">
            <v>0</v>
          </cell>
          <cell r="B2359">
            <v>0</v>
          </cell>
        </row>
        <row r="2360">
          <cell r="A2360">
            <v>0</v>
          </cell>
          <cell r="B2360">
            <v>0</v>
          </cell>
        </row>
        <row r="2361">
          <cell r="A2361">
            <v>0</v>
          </cell>
          <cell r="B2361">
            <v>0</v>
          </cell>
        </row>
        <row r="2362">
          <cell r="A2362">
            <v>0</v>
          </cell>
          <cell r="B2362">
            <v>0</v>
          </cell>
        </row>
        <row r="2363">
          <cell r="A2363">
            <v>0</v>
          </cell>
          <cell r="B2363">
            <v>0</v>
          </cell>
        </row>
        <row r="2364">
          <cell r="A2364">
            <v>0</v>
          </cell>
          <cell r="B2364">
            <v>0</v>
          </cell>
        </row>
        <row r="2365">
          <cell r="A2365">
            <v>0</v>
          </cell>
          <cell r="B2365">
            <v>0</v>
          </cell>
        </row>
        <row r="2366">
          <cell r="A2366">
            <v>0</v>
          </cell>
          <cell r="B2366">
            <v>0</v>
          </cell>
        </row>
        <row r="2367">
          <cell r="A2367">
            <v>0</v>
          </cell>
          <cell r="B2367">
            <v>0</v>
          </cell>
        </row>
        <row r="2368">
          <cell r="A2368">
            <v>0</v>
          </cell>
          <cell r="B2368">
            <v>0</v>
          </cell>
        </row>
        <row r="2369">
          <cell r="A2369">
            <v>0</v>
          </cell>
          <cell r="B2369">
            <v>0</v>
          </cell>
        </row>
        <row r="2370">
          <cell r="A2370">
            <v>0</v>
          </cell>
          <cell r="B2370">
            <v>0</v>
          </cell>
        </row>
        <row r="2371">
          <cell r="A2371">
            <v>0</v>
          </cell>
          <cell r="B2371">
            <v>0</v>
          </cell>
        </row>
        <row r="2372">
          <cell r="A2372">
            <v>0</v>
          </cell>
          <cell r="B2372">
            <v>0</v>
          </cell>
        </row>
        <row r="2373">
          <cell r="A2373">
            <v>0</v>
          </cell>
          <cell r="B2373">
            <v>0</v>
          </cell>
        </row>
        <row r="2374">
          <cell r="A2374">
            <v>0</v>
          </cell>
          <cell r="B2374">
            <v>0</v>
          </cell>
        </row>
        <row r="2375">
          <cell r="A2375">
            <v>0</v>
          </cell>
          <cell r="B2375">
            <v>0</v>
          </cell>
        </row>
        <row r="2376">
          <cell r="A2376">
            <v>0</v>
          </cell>
          <cell r="B2376">
            <v>0</v>
          </cell>
        </row>
        <row r="2377">
          <cell r="A2377">
            <v>0</v>
          </cell>
          <cell r="B2377">
            <v>0</v>
          </cell>
        </row>
        <row r="2378">
          <cell r="A2378">
            <v>0</v>
          </cell>
          <cell r="B2378">
            <v>0</v>
          </cell>
        </row>
        <row r="2379">
          <cell r="A2379">
            <v>0</v>
          </cell>
          <cell r="B2379">
            <v>0</v>
          </cell>
        </row>
        <row r="2380">
          <cell r="A2380">
            <v>0</v>
          </cell>
          <cell r="B2380">
            <v>0</v>
          </cell>
        </row>
        <row r="2381">
          <cell r="A2381">
            <v>0</v>
          </cell>
          <cell r="B2381">
            <v>0</v>
          </cell>
        </row>
        <row r="2382">
          <cell r="A2382">
            <v>0</v>
          </cell>
          <cell r="B2382">
            <v>0</v>
          </cell>
        </row>
        <row r="2383">
          <cell r="A2383">
            <v>0</v>
          </cell>
          <cell r="B2383">
            <v>0</v>
          </cell>
        </row>
        <row r="2384">
          <cell r="A2384">
            <v>0</v>
          </cell>
          <cell r="B2384">
            <v>0</v>
          </cell>
        </row>
        <row r="2385">
          <cell r="A2385">
            <v>0</v>
          </cell>
          <cell r="B2385">
            <v>0</v>
          </cell>
        </row>
        <row r="2386">
          <cell r="A2386">
            <v>0</v>
          </cell>
          <cell r="B2386">
            <v>0</v>
          </cell>
        </row>
        <row r="2387">
          <cell r="A2387">
            <v>0</v>
          </cell>
          <cell r="B2387">
            <v>0</v>
          </cell>
        </row>
        <row r="2388">
          <cell r="A2388">
            <v>0</v>
          </cell>
          <cell r="B2388">
            <v>0</v>
          </cell>
        </row>
        <row r="2389">
          <cell r="A2389">
            <v>0</v>
          </cell>
          <cell r="B2389">
            <v>0</v>
          </cell>
        </row>
        <row r="2390">
          <cell r="A2390">
            <v>0</v>
          </cell>
          <cell r="B2390">
            <v>0</v>
          </cell>
        </row>
        <row r="2391">
          <cell r="A2391">
            <v>0</v>
          </cell>
          <cell r="B2391">
            <v>0</v>
          </cell>
        </row>
        <row r="2392">
          <cell r="A2392">
            <v>0</v>
          </cell>
          <cell r="B2392">
            <v>0</v>
          </cell>
        </row>
        <row r="2393">
          <cell r="A2393">
            <v>0</v>
          </cell>
          <cell r="B2393">
            <v>0</v>
          </cell>
        </row>
        <row r="2394">
          <cell r="A2394">
            <v>0</v>
          </cell>
          <cell r="B2394">
            <v>0</v>
          </cell>
        </row>
        <row r="2395">
          <cell r="A2395">
            <v>0</v>
          </cell>
          <cell r="B2395">
            <v>0</v>
          </cell>
        </row>
        <row r="2396">
          <cell r="A2396">
            <v>0</v>
          </cell>
          <cell r="B2396">
            <v>0</v>
          </cell>
        </row>
        <row r="2397">
          <cell r="A2397">
            <v>0</v>
          </cell>
          <cell r="B2397">
            <v>0</v>
          </cell>
        </row>
        <row r="2398">
          <cell r="A2398">
            <v>0</v>
          </cell>
          <cell r="B2398">
            <v>0</v>
          </cell>
        </row>
        <row r="2399">
          <cell r="A2399">
            <v>0</v>
          </cell>
          <cell r="B2399">
            <v>0</v>
          </cell>
        </row>
        <row r="2400">
          <cell r="A2400">
            <v>0</v>
          </cell>
          <cell r="B2400">
            <v>0</v>
          </cell>
        </row>
        <row r="2401">
          <cell r="A2401">
            <v>0</v>
          </cell>
          <cell r="B2401">
            <v>0</v>
          </cell>
        </row>
        <row r="2402">
          <cell r="A2402">
            <v>0</v>
          </cell>
          <cell r="B2402">
            <v>0</v>
          </cell>
        </row>
        <row r="2403">
          <cell r="A2403">
            <v>0</v>
          </cell>
          <cell r="B2403">
            <v>0</v>
          </cell>
        </row>
        <row r="2404">
          <cell r="A2404">
            <v>0</v>
          </cell>
          <cell r="B2404">
            <v>0</v>
          </cell>
        </row>
        <row r="2405">
          <cell r="A2405">
            <v>0</v>
          </cell>
          <cell r="B2405">
            <v>0</v>
          </cell>
        </row>
        <row r="2406">
          <cell r="A2406">
            <v>0</v>
          </cell>
          <cell r="B2406">
            <v>0</v>
          </cell>
        </row>
        <row r="2407">
          <cell r="A2407">
            <v>0</v>
          </cell>
          <cell r="B2407">
            <v>0</v>
          </cell>
        </row>
        <row r="2408">
          <cell r="A2408">
            <v>0</v>
          </cell>
          <cell r="B2408">
            <v>0</v>
          </cell>
        </row>
        <row r="2409">
          <cell r="A2409">
            <v>0</v>
          </cell>
          <cell r="B2409">
            <v>0</v>
          </cell>
        </row>
        <row r="2410">
          <cell r="A2410">
            <v>0</v>
          </cell>
          <cell r="B2410">
            <v>0</v>
          </cell>
        </row>
        <row r="2411">
          <cell r="A2411">
            <v>0</v>
          </cell>
          <cell r="B2411">
            <v>0</v>
          </cell>
        </row>
        <row r="2412">
          <cell r="A2412">
            <v>0</v>
          </cell>
          <cell r="B2412">
            <v>0</v>
          </cell>
        </row>
        <row r="2413">
          <cell r="A2413">
            <v>0</v>
          </cell>
          <cell r="B2413">
            <v>0</v>
          </cell>
        </row>
        <row r="2414">
          <cell r="A2414">
            <v>0</v>
          </cell>
          <cell r="B2414">
            <v>0</v>
          </cell>
        </row>
        <row r="2415">
          <cell r="A2415">
            <v>0</v>
          </cell>
          <cell r="B2415">
            <v>0</v>
          </cell>
        </row>
        <row r="2416">
          <cell r="A2416">
            <v>0</v>
          </cell>
          <cell r="B2416">
            <v>0</v>
          </cell>
        </row>
        <row r="2417">
          <cell r="A2417">
            <v>0</v>
          </cell>
          <cell r="B2417">
            <v>0</v>
          </cell>
        </row>
        <row r="2418">
          <cell r="A2418">
            <v>0</v>
          </cell>
          <cell r="B2418">
            <v>0</v>
          </cell>
        </row>
        <row r="2419">
          <cell r="A2419">
            <v>0</v>
          </cell>
          <cell r="B2419">
            <v>0</v>
          </cell>
        </row>
        <row r="2420">
          <cell r="A2420">
            <v>0</v>
          </cell>
          <cell r="B2420">
            <v>0</v>
          </cell>
        </row>
        <row r="2421">
          <cell r="A2421">
            <v>0</v>
          </cell>
          <cell r="B2421">
            <v>0</v>
          </cell>
        </row>
        <row r="2422">
          <cell r="A2422">
            <v>0</v>
          </cell>
          <cell r="B2422">
            <v>0</v>
          </cell>
        </row>
        <row r="2423">
          <cell r="A2423">
            <v>0</v>
          </cell>
          <cell r="B2423">
            <v>0</v>
          </cell>
        </row>
        <row r="2424">
          <cell r="A2424">
            <v>0</v>
          </cell>
          <cell r="B2424">
            <v>0</v>
          </cell>
        </row>
        <row r="2425">
          <cell r="A2425">
            <v>0</v>
          </cell>
          <cell r="B2425">
            <v>0</v>
          </cell>
        </row>
        <row r="2426">
          <cell r="A2426">
            <v>0</v>
          </cell>
          <cell r="B2426">
            <v>0</v>
          </cell>
        </row>
        <row r="2427">
          <cell r="A2427">
            <v>0</v>
          </cell>
          <cell r="B2427">
            <v>0</v>
          </cell>
        </row>
        <row r="2428">
          <cell r="A2428">
            <v>0</v>
          </cell>
          <cell r="B2428">
            <v>0</v>
          </cell>
        </row>
        <row r="2429">
          <cell r="A2429">
            <v>0</v>
          </cell>
          <cell r="B2429">
            <v>0</v>
          </cell>
        </row>
        <row r="2430">
          <cell r="A2430">
            <v>0</v>
          </cell>
          <cell r="B2430">
            <v>0</v>
          </cell>
        </row>
        <row r="2431">
          <cell r="A2431">
            <v>0</v>
          </cell>
          <cell r="B2431">
            <v>0</v>
          </cell>
        </row>
        <row r="2432">
          <cell r="A2432">
            <v>0</v>
          </cell>
          <cell r="B2432">
            <v>0</v>
          </cell>
        </row>
        <row r="2433">
          <cell r="A2433">
            <v>0</v>
          </cell>
          <cell r="B2433">
            <v>0</v>
          </cell>
        </row>
        <row r="2434">
          <cell r="A2434">
            <v>0</v>
          </cell>
          <cell r="B2434">
            <v>0</v>
          </cell>
        </row>
        <row r="2435">
          <cell r="A2435">
            <v>0</v>
          </cell>
          <cell r="B2435">
            <v>0</v>
          </cell>
        </row>
        <row r="2436">
          <cell r="A2436">
            <v>0</v>
          </cell>
          <cell r="B2436">
            <v>0</v>
          </cell>
        </row>
        <row r="2437">
          <cell r="A2437">
            <v>0</v>
          </cell>
          <cell r="B2437">
            <v>0</v>
          </cell>
        </row>
        <row r="2438">
          <cell r="A2438">
            <v>0</v>
          </cell>
          <cell r="B2438">
            <v>0</v>
          </cell>
        </row>
        <row r="2439">
          <cell r="A2439">
            <v>0</v>
          </cell>
          <cell r="B2439">
            <v>0</v>
          </cell>
        </row>
        <row r="2440">
          <cell r="A2440">
            <v>0</v>
          </cell>
          <cell r="B2440">
            <v>0</v>
          </cell>
        </row>
        <row r="2441">
          <cell r="A2441">
            <v>0</v>
          </cell>
          <cell r="B2441">
            <v>0</v>
          </cell>
        </row>
        <row r="2442">
          <cell r="A2442">
            <v>0</v>
          </cell>
          <cell r="B2442">
            <v>0</v>
          </cell>
        </row>
        <row r="2443">
          <cell r="A2443">
            <v>0</v>
          </cell>
          <cell r="B2443">
            <v>0</v>
          </cell>
        </row>
        <row r="2444">
          <cell r="A2444">
            <v>0</v>
          </cell>
          <cell r="B2444">
            <v>0</v>
          </cell>
        </row>
        <row r="2445">
          <cell r="A2445">
            <v>0</v>
          </cell>
          <cell r="B2445">
            <v>0</v>
          </cell>
        </row>
        <row r="2446">
          <cell r="A2446">
            <v>0</v>
          </cell>
          <cell r="B2446">
            <v>0</v>
          </cell>
        </row>
        <row r="2447">
          <cell r="A2447">
            <v>0</v>
          </cell>
          <cell r="B2447">
            <v>0</v>
          </cell>
        </row>
        <row r="2448">
          <cell r="A2448">
            <v>0</v>
          </cell>
          <cell r="B2448">
            <v>0</v>
          </cell>
        </row>
        <row r="2449">
          <cell r="A2449">
            <v>0</v>
          </cell>
          <cell r="B2449">
            <v>0</v>
          </cell>
        </row>
        <row r="2450">
          <cell r="A2450">
            <v>0</v>
          </cell>
          <cell r="B2450">
            <v>0</v>
          </cell>
        </row>
        <row r="2451">
          <cell r="A2451">
            <v>0</v>
          </cell>
          <cell r="B2451">
            <v>0</v>
          </cell>
        </row>
        <row r="2452">
          <cell r="A2452">
            <v>0</v>
          </cell>
          <cell r="B2452">
            <v>0</v>
          </cell>
        </row>
        <row r="2453">
          <cell r="A2453">
            <v>0</v>
          </cell>
          <cell r="B2453">
            <v>0</v>
          </cell>
        </row>
        <row r="2454">
          <cell r="A2454">
            <v>0</v>
          </cell>
          <cell r="B2454">
            <v>0</v>
          </cell>
        </row>
        <row r="2455">
          <cell r="A2455">
            <v>0</v>
          </cell>
          <cell r="B2455">
            <v>0</v>
          </cell>
        </row>
        <row r="2456">
          <cell r="A2456">
            <v>0</v>
          </cell>
          <cell r="B2456">
            <v>0</v>
          </cell>
        </row>
        <row r="2457">
          <cell r="A2457">
            <v>0</v>
          </cell>
          <cell r="B2457">
            <v>0</v>
          </cell>
        </row>
        <row r="2458">
          <cell r="A2458">
            <v>0</v>
          </cell>
          <cell r="B2458">
            <v>0</v>
          </cell>
        </row>
        <row r="2459">
          <cell r="A2459">
            <v>0</v>
          </cell>
          <cell r="B2459">
            <v>0</v>
          </cell>
        </row>
        <row r="2460">
          <cell r="A2460">
            <v>0</v>
          </cell>
          <cell r="B2460">
            <v>0</v>
          </cell>
        </row>
        <row r="2461">
          <cell r="A2461">
            <v>0</v>
          </cell>
          <cell r="B2461">
            <v>0</v>
          </cell>
        </row>
        <row r="2462">
          <cell r="A2462">
            <v>0</v>
          </cell>
          <cell r="B2462">
            <v>0</v>
          </cell>
        </row>
        <row r="2463">
          <cell r="A2463">
            <v>0</v>
          </cell>
          <cell r="B2463">
            <v>0</v>
          </cell>
        </row>
        <row r="2464">
          <cell r="A2464">
            <v>0</v>
          </cell>
          <cell r="B2464">
            <v>0</v>
          </cell>
        </row>
        <row r="2465">
          <cell r="A2465">
            <v>0</v>
          </cell>
          <cell r="B2465">
            <v>0</v>
          </cell>
        </row>
        <row r="2466">
          <cell r="A2466">
            <v>0</v>
          </cell>
          <cell r="B2466">
            <v>0</v>
          </cell>
        </row>
        <row r="2467">
          <cell r="A2467">
            <v>0</v>
          </cell>
          <cell r="B2467">
            <v>0</v>
          </cell>
        </row>
        <row r="2468">
          <cell r="A2468">
            <v>0</v>
          </cell>
          <cell r="B2468">
            <v>0</v>
          </cell>
        </row>
        <row r="2469">
          <cell r="A2469">
            <v>0</v>
          </cell>
          <cell r="B2469">
            <v>0</v>
          </cell>
        </row>
        <row r="2470">
          <cell r="A2470">
            <v>0</v>
          </cell>
          <cell r="B2470">
            <v>0</v>
          </cell>
        </row>
        <row r="2471">
          <cell r="A2471">
            <v>0</v>
          </cell>
          <cell r="B2471">
            <v>0</v>
          </cell>
        </row>
        <row r="2472">
          <cell r="A2472">
            <v>0</v>
          </cell>
          <cell r="B2472">
            <v>0</v>
          </cell>
        </row>
        <row r="2473">
          <cell r="A2473">
            <v>0</v>
          </cell>
          <cell r="B2473">
            <v>0</v>
          </cell>
        </row>
        <row r="2474">
          <cell r="A2474">
            <v>0</v>
          </cell>
          <cell r="B2474">
            <v>0</v>
          </cell>
        </row>
        <row r="2475">
          <cell r="A2475">
            <v>0</v>
          </cell>
          <cell r="B2475">
            <v>0</v>
          </cell>
        </row>
        <row r="2476">
          <cell r="A2476">
            <v>0</v>
          </cell>
          <cell r="B2476">
            <v>0</v>
          </cell>
        </row>
        <row r="2477">
          <cell r="A2477">
            <v>0</v>
          </cell>
          <cell r="B2477">
            <v>0</v>
          </cell>
        </row>
        <row r="2478">
          <cell r="A2478">
            <v>0</v>
          </cell>
          <cell r="B2478">
            <v>0</v>
          </cell>
        </row>
        <row r="2479">
          <cell r="A2479">
            <v>0</v>
          </cell>
          <cell r="B2479">
            <v>0</v>
          </cell>
        </row>
        <row r="2480">
          <cell r="A2480">
            <v>0</v>
          </cell>
          <cell r="B2480">
            <v>0</v>
          </cell>
        </row>
        <row r="2481">
          <cell r="A2481">
            <v>0</v>
          </cell>
          <cell r="B2481">
            <v>0</v>
          </cell>
        </row>
        <row r="2482">
          <cell r="A2482">
            <v>0</v>
          </cell>
          <cell r="B2482">
            <v>0</v>
          </cell>
        </row>
        <row r="2483">
          <cell r="A2483">
            <v>0</v>
          </cell>
          <cell r="B2483">
            <v>0</v>
          </cell>
        </row>
        <row r="2484">
          <cell r="A2484">
            <v>0</v>
          </cell>
          <cell r="B2484">
            <v>0</v>
          </cell>
        </row>
        <row r="2485">
          <cell r="A2485">
            <v>0</v>
          </cell>
          <cell r="B2485">
            <v>0</v>
          </cell>
        </row>
        <row r="2486">
          <cell r="A2486">
            <v>0</v>
          </cell>
          <cell r="B2486">
            <v>0</v>
          </cell>
        </row>
        <row r="2487">
          <cell r="A2487">
            <v>0</v>
          </cell>
          <cell r="B2487">
            <v>0</v>
          </cell>
        </row>
        <row r="2488">
          <cell r="A2488">
            <v>0</v>
          </cell>
          <cell r="B2488">
            <v>0</v>
          </cell>
        </row>
        <row r="2489">
          <cell r="A2489">
            <v>0</v>
          </cell>
          <cell r="B2489">
            <v>0</v>
          </cell>
        </row>
        <row r="2490">
          <cell r="A2490">
            <v>0</v>
          </cell>
          <cell r="B2490">
            <v>0</v>
          </cell>
        </row>
        <row r="2491">
          <cell r="A2491">
            <v>0</v>
          </cell>
          <cell r="B2491">
            <v>0</v>
          </cell>
        </row>
        <row r="2492">
          <cell r="A2492">
            <v>0</v>
          </cell>
          <cell r="B2492">
            <v>0</v>
          </cell>
        </row>
        <row r="2493">
          <cell r="A2493">
            <v>0</v>
          </cell>
          <cell r="B2493">
            <v>0</v>
          </cell>
        </row>
        <row r="2494">
          <cell r="A2494">
            <v>0</v>
          </cell>
          <cell r="B2494">
            <v>0</v>
          </cell>
        </row>
        <row r="2495">
          <cell r="A2495">
            <v>0</v>
          </cell>
          <cell r="B2495">
            <v>0</v>
          </cell>
        </row>
        <row r="2496">
          <cell r="A2496">
            <v>0</v>
          </cell>
          <cell r="B2496">
            <v>0</v>
          </cell>
        </row>
        <row r="2497">
          <cell r="A2497">
            <v>0</v>
          </cell>
          <cell r="B2497">
            <v>0</v>
          </cell>
        </row>
        <row r="2498">
          <cell r="A2498">
            <v>0</v>
          </cell>
          <cell r="B2498">
            <v>0</v>
          </cell>
        </row>
        <row r="2499">
          <cell r="A2499">
            <v>0</v>
          </cell>
          <cell r="B2499">
            <v>0</v>
          </cell>
        </row>
        <row r="2500">
          <cell r="A2500">
            <v>0</v>
          </cell>
          <cell r="B2500">
            <v>0</v>
          </cell>
        </row>
        <row r="2501">
          <cell r="A2501">
            <v>0</v>
          </cell>
          <cell r="B2501">
            <v>0</v>
          </cell>
        </row>
        <row r="2502">
          <cell r="A2502">
            <v>0</v>
          </cell>
          <cell r="B2502">
            <v>0</v>
          </cell>
        </row>
        <row r="2503">
          <cell r="A2503">
            <v>0</v>
          </cell>
          <cell r="B2503">
            <v>0</v>
          </cell>
        </row>
        <row r="2504">
          <cell r="A2504">
            <v>0</v>
          </cell>
          <cell r="B2504">
            <v>0</v>
          </cell>
        </row>
        <row r="2505">
          <cell r="A2505">
            <v>0</v>
          </cell>
          <cell r="B2505">
            <v>0</v>
          </cell>
        </row>
        <row r="2506">
          <cell r="A2506">
            <v>0</v>
          </cell>
          <cell r="B2506">
            <v>0</v>
          </cell>
        </row>
        <row r="2507">
          <cell r="A2507">
            <v>0</v>
          </cell>
          <cell r="B2507">
            <v>0</v>
          </cell>
        </row>
        <row r="2508">
          <cell r="A2508">
            <v>0</v>
          </cell>
          <cell r="B2508">
            <v>0</v>
          </cell>
        </row>
        <row r="2509">
          <cell r="A2509">
            <v>0</v>
          </cell>
          <cell r="B2509">
            <v>0</v>
          </cell>
        </row>
        <row r="2510">
          <cell r="A2510">
            <v>0</v>
          </cell>
          <cell r="B2510">
            <v>0</v>
          </cell>
        </row>
        <row r="2511">
          <cell r="A2511">
            <v>0</v>
          </cell>
          <cell r="B2511">
            <v>0</v>
          </cell>
        </row>
        <row r="2512">
          <cell r="A2512">
            <v>0</v>
          </cell>
          <cell r="B2512">
            <v>0</v>
          </cell>
        </row>
        <row r="2513">
          <cell r="A2513">
            <v>0</v>
          </cell>
          <cell r="B2513">
            <v>0</v>
          </cell>
        </row>
        <row r="2514">
          <cell r="A2514">
            <v>0</v>
          </cell>
          <cell r="B2514">
            <v>0</v>
          </cell>
        </row>
        <row r="2515">
          <cell r="A2515">
            <v>0</v>
          </cell>
          <cell r="B2515">
            <v>0</v>
          </cell>
        </row>
        <row r="2516">
          <cell r="A2516">
            <v>0</v>
          </cell>
          <cell r="B2516">
            <v>0</v>
          </cell>
        </row>
        <row r="2517">
          <cell r="A2517">
            <v>0</v>
          </cell>
          <cell r="B2517">
            <v>0</v>
          </cell>
        </row>
        <row r="2518">
          <cell r="A2518">
            <v>0</v>
          </cell>
          <cell r="B2518">
            <v>0</v>
          </cell>
        </row>
        <row r="2519">
          <cell r="A2519">
            <v>0</v>
          </cell>
          <cell r="B2519">
            <v>0</v>
          </cell>
        </row>
        <row r="2520">
          <cell r="A2520">
            <v>0</v>
          </cell>
          <cell r="B2520">
            <v>0</v>
          </cell>
        </row>
        <row r="2521">
          <cell r="A2521">
            <v>0</v>
          </cell>
          <cell r="B2521">
            <v>0</v>
          </cell>
        </row>
        <row r="2522">
          <cell r="A2522">
            <v>0</v>
          </cell>
          <cell r="B2522">
            <v>0</v>
          </cell>
        </row>
        <row r="2523">
          <cell r="A2523">
            <v>0</v>
          </cell>
          <cell r="B2523">
            <v>0</v>
          </cell>
        </row>
        <row r="2524">
          <cell r="A2524">
            <v>0</v>
          </cell>
          <cell r="B2524">
            <v>0</v>
          </cell>
        </row>
        <row r="2525">
          <cell r="A2525">
            <v>0</v>
          </cell>
          <cell r="B2525">
            <v>0</v>
          </cell>
        </row>
        <row r="2526">
          <cell r="A2526">
            <v>0</v>
          </cell>
          <cell r="B2526">
            <v>0</v>
          </cell>
        </row>
        <row r="2527">
          <cell r="A2527">
            <v>0</v>
          </cell>
          <cell r="B2527">
            <v>0</v>
          </cell>
        </row>
        <row r="2528">
          <cell r="A2528">
            <v>0</v>
          </cell>
          <cell r="B2528">
            <v>0</v>
          </cell>
        </row>
        <row r="2529">
          <cell r="A2529">
            <v>0</v>
          </cell>
          <cell r="B2529">
            <v>0</v>
          </cell>
        </row>
        <row r="2530">
          <cell r="A2530">
            <v>0</v>
          </cell>
          <cell r="B2530">
            <v>0</v>
          </cell>
        </row>
        <row r="2531">
          <cell r="A2531">
            <v>0</v>
          </cell>
          <cell r="B2531">
            <v>0</v>
          </cell>
        </row>
        <row r="2532">
          <cell r="A2532">
            <v>0</v>
          </cell>
          <cell r="B2532">
            <v>0</v>
          </cell>
        </row>
        <row r="2533">
          <cell r="A2533">
            <v>0</v>
          </cell>
          <cell r="B2533">
            <v>0</v>
          </cell>
        </row>
        <row r="2534">
          <cell r="A2534">
            <v>0</v>
          </cell>
          <cell r="B2534">
            <v>0</v>
          </cell>
        </row>
        <row r="2535">
          <cell r="A2535">
            <v>0</v>
          </cell>
          <cell r="B2535">
            <v>0</v>
          </cell>
        </row>
        <row r="2536">
          <cell r="A2536">
            <v>0</v>
          </cell>
          <cell r="B2536">
            <v>0</v>
          </cell>
        </row>
        <row r="2537">
          <cell r="A2537">
            <v>0</v>
          </cell>
          <cell r="B2537">
            <v>0</v>
          </cell>
        </row>
        <row r="2538">
          <cell r="A2538">
            <v>0</v>
          </cell>
          <cell r="B2538">
            <v>0</v>
          </cell>
        </row>
        <row r="2539">
          <cell r="A2539">
            <v>0</v>
          </cell>
          <cell r="B2539">
            <v>0</v>
          </cell>
        </row>
        <row r="2540">
          <cell r="A2540">
            <v>0</v>
          </cell>
          <cell r="B2540">
            <v>0</v>
          </cell>
        </row>
        <row r="2541">
          <cell r="A2541">
            <v>0</v>
          </cell>
          <cell r="B2541">
            <v>0</v>
          </cell>
        </row>
        <row r="2542">
          <cell r="A2542">
            <v>0</v>
          </cell>
          <cell r="B2542">
            <v>0</v>
          </cell>
        </row>
        <row r="2543">
          <cell r="A2543">
            <v>0</v>
          </cell>
          <cell r="B2543">
            <v>0</v>
          </cell>
        </row>
        <row r="2544">
          <cell r="A2544">
            <v>0</v>
          </cell>
          <cell r="B2544">
            <v>0</v>
          </cell>
        </row>
        <row r="2545">
          <cell r="A2545">
            <v>0</v>
          </cell>
          <cell r="B2545">
            <v>0</v>
          </cell>
        </row>
        <row r="2546">
          <cell r="A2546">
            <v>0</v>
          </cell>
          <cell r="B2546">
            <v>0</v>
          </cell>
        </row>
        <row r="2547">
          <cell r="A2547">
            <v>0</v>
          </cell>
          <cell r="B2547">
            <v>0</v>
          </cell>
        </row>
        <row r="2548">
          <cell r="A2548">
            <v>0</v>
          </cell>
          <cell r="B2548">
            <v>0</v>
          </cell>
        </row>
        <row r="2549">
          <cell r="A2549">
            <v>0</v>
          </cell>
          <cell r="B2549">
            <v>0</v>
          </cell>
        </row>
        <row r="2550">
          <cell r="A2550">
            <v>0</v>
          </cell>
          <cell r="B2550">
            <v>0</v>
          </cell>
        </row>
        <row r="2551">
          <cell r="A2551">
            <v>0</v>
          </cell>
          <cell r="B2551">
            <v>0</v>
          </cell>
        </row>
        <row r="2552">
          <cell r="A2552">
            <v>0</v>
          </cell>
          <cell r="B2552">
            <v>0</v>
          </cell>
        </row>
        <row r="2553">
          <cell r="A2553">
            <v>0</v>
          </cell>
          <cell r="B2553">
            <v>0</v>
          </cell>
        </row>
        <row r="2554">
          <cell r="A2554">
            <v>0</v>
          </cell>
          <cell r="B2554">
            <v>0</v>
          </cell>
        </row>
        <row r="2555">
          <cell r="A2555">
            <v>0</v>
          </cell>
          <cell r="B2555">
            <v>0</v>
          </cell>
        </row>
        <row r="2556">
          <cell r="A2556">
            <v>0</v>
          </cell>
          <cell r="B2556">
            <v>0</v>
          </cell>
        </row>
        <row r="2557">
          <cell r="A2557">
            <v>0</v>
          </cell>
          <cell r="B2557">
            <v>0</v>
          </cell>
        </row>
        <row r="2558">
          <cell r="A2558">
            <v>0</v>
          </cell>
          <cell r="B2558">
            <v>0</v>
          </cell>
        </row>
        <row r="2559">
          <cell r="A2559">
            <v>0</v>
          </cell>
          <cell r="B2559">
            <v>0</v>
          </cell>
        </row>
        <row r="2560">
          <cell r="A2560">
            <v>0</v>
          </cell>
          <cell r="B2560">
            <v>0</v>
          </cell>
        </row>
        <row r="2561">
          <cell r="A2561">
            <v>0</v>
          </cell>
          <cell r="B2561">
            <v>0</v>
          </cell>
        </row>
        <row r="2562">
          <cell r="A2562">
            <v>0</v>
          </cell>
          <cell r="B2562">
            <v>0</v>
          </cell>
        </row>
        <row r="2563">
          <cell r="A2563">
            <v>0</v>
          </cell>
          <cell r="B2563">
            <v>0</v>
          </cell>
        </row>
        <row r="2564">
          <cell r="A2564">
            <v>0</v>
          </cell>
          <cell r="B2564">
            <v>0</v>
          </cell>
        </row>
        <row r="2565">
          <cell r="A2565">
            <v>0</v>
          </cell>
          <cell r="B2565">
            <v>0</v>
          </cell>
        </row>
        <row r="2566">
          <cell r="A2566">
            <v>0</v>
          </cell>
          <cell r="B2566">
            <v>0</v>
          </cell>
        </row>
        <row r="2567">
          <cell r="A2567">
            <v>0</v>
          </cell>
          <cell r="B2567">
            <v>0</v>
          </cell>
        </row>
        <row r="2568">
          <cell r="A2568">
            <v>0</v>
          </cell>
          <cell r="B2568">
            <v>0</v>
          </cell>
        </row>
        <row r="2569">
          <cell r="A2569">
            <v>0</v>
          </cell>
          <cell r="B2569">
            <v>0</v>
          </cell>
        </row>
        <row r="2570">
          <cell r="A2570">
            <v>0</v>
          </cell>
          <cell r="B2570">
            <v>0</v>
          </cell>
        </row>
        <row r="2571">
          <cell r="A2571">
            <v>0</v>
          </cell>
          <cell r="B2571">
            <v>0</v>
          </cell>
        </row>
        <row r="2572">
          <cell r="A2572">
            <v>0</v>
          </cell>
          <cell r="B2572">
            <v>0</v>
          </cell>
        </row>
        <row r="2573">
          <cell r="A2573">
            <v>0</v>
          </cell>
          <cell r="B2573">
            <v>0</v>
          </cell>
        </row>
        <row r="2574">
          <cell r="A2574">
            <v>0</v>
          </cell>
          <cell r="B2574">
            <v>0</v>
          </cell>
        </row>
        <row r="2575">
          <cell r="A2575">
            <v>0</v>
          </cell>
          <cell r="B2575">
            <v>0</v>
          </cell>
        </row>
        <row r="2576">
          <cell r="A2576">
            <v>0</v>
          </cell>
          <cell r="B2576">
            <v>0</v>
          </cell>
        </row>
        <row r="2577">
          <cell r="A2577">
            <v>0</v>
          </cell>
          <cell r="B2577">
            <v>0</v>
          </cell>
        </row>
        <row r="2578">
          <cell r="A2578">
            <v>0</v>
          </cell>
          <cell r="B2578">
            <v>0</v>
          </cell>
        </row>
        <row r="2579">
          <cell r="A2579">
            <v>0</v>
          </cell>
          <cell r="B2579">
            <v>0</v>
          </cell>
        </row>
        <row r="2580">
          <cell r="A2580">
            <v>0</v>
          </cell>
          <cell r="B2580">
            <v>0</v>
          </cell>
        </row>
        <row r="2581">
          <cell r="A2581">
            <v>0</v>
          </cell>
          <cell r="B2581">
            <v>0</v>
          </cell>
        </row>
        <row r="2582">
          <cell r="A2582">
            <v>0</v>
          </cell>
          <cell r="B2582">
            <v>0</v>
          </cell>
        </row>
        <row r="2583">
          <cell r="A2583">
            <v>0</v>
          </cell>
          <cell r="B2583">
            <v>0</v>
          </cell>
        </row>
        <row r="2584">
          <cell r="A2584">
            <v>0</v>
          </cell>
          <cell r="B2584">
            <v>0</v>
          </cell>
        </row>
        <row r="2585">
          <cell r="A2585">
            <v>0</v>
          </cell>
          <cell r="B2585">
            <v>0</v>
          </cell>
        </row>
        <row r="2586">
          <cell r="A2586">
            <v>0</v>
          </cell>
          <cell r="B2586">
            <v>0</v>
          </cell>
        </row>
        <row r="2587">
          <cell r="A2587">
            <v>0</v>
          </cell>
          <cell r="B2587">
            <v>0</v>
          </cell>
        </row>
        <row r="2588">
          <cell r="A2588">
            <v>0</v>
          </cell>
          <cell r="B2588">
            <v>0</v>
          </cell>
        </row>
        <row r="2589">
          <cell r="A2589">
            <v>0</v>
          </cell>
          <cell r="B2589">
            <v>0</v>
          </cell>
        </row>
        <row r="2590">
          <cell r="A2590">
            <v>0</v>
          </cell>
          <cell r="B2590">
            <v>0</v>
          </cell>
        </row>
        <row r="2591">
          <cell r="A2591">
            <v>0</v>
          </cell>
          <cell r="B2591">
            <v>0</v>
          </cell>
        </row>
        <row r="2592">
          <cell r="A2592">
            <v>0</v>
          </cell>
          <cell r="B2592">
            <v>0</v>
          </cell>
        </row>
        <row r="2593">
          <cell r="A2593">
            <v>0</v>
          </cell>
          <cell r="B2593">
            <v>0</v>
          </cell>
        </row>
        <row r="2594">
          <cell r="A2594">
            <v>0</v>
          </cell>
          <cell r="B2594">
            <v>0</v>
          </cell>
        </row>
        <row r="2595">
          <cell r="A2595">
            <v>0</v>
          </cell>
          <cell r="B2595">
            <v>0</v>
          </cell>
        </row>
        <row r="2596">
          <cell r="A2596">
            <v>0</v>
          </cell>
          <cell r="B2596">
            <v>0</v>
          </cell>
        </row>
        <row r="2597">
          <cell r="A2597">
            <v>0</v>
          </cell>
          <cell r="B2597">
            <v>0</v>
          </cell>
        </row>
        <row r="2598">
          <cell r="A2598">
            <v>0</v>
          </cell>
          <cell r="B2598">
            <v>0</v>
          </cell>
        </row>
        <row r="2599">
          <cell r="A2599">
            <v>0</v>
          </cell>
          <cell r="B2599">
            <v>0</v>
          </cell>
        </row>
        <row r="2600">
          <cell r="A2600">
            <v>0</v>
          </cell>
          <cell r="B2600">
            <v>0</v>
          </cell>
        </row>
        <row r="2601">
          <cell r="A2601">
            <v>0</v>
          </cell>
          <cell r="B2601">
            <v>0</v>
          </cell>
        </row>
        <row r="2602">
          <cell r="A2602">
            <v>0</v>
          </cell>
          <cell r="B2602">
            <v>0</v>
          </cell>
        </row>
        <row r="2603">
          <cell r="A2603">
            <v>0</v>
          </cell>
          <cell r="B2603">
            <v>0</v>
          </cell>
        </row>
        <row r="2604">
          <cell r="A2604">
            <v>0</v>
          </cell>
          <cell r="B2604">
            <v>0</v>
          </cell>
        </row>
        <row r="2605">
          <cell r="A2605">
            <v>0</v>
          </cell>
          <cell r="B2605">
            <v>0</v>
          </cell>
        </row>
        <row r="2606">
          <cell r="A2606">
            <v>0</v>
          </cell>
          <cell r="B2606">
            <v>0</v>
          </cell>
        </row>
        <row r="2607">
          <cell r="A2607">
            <v>0</v>
          </cell>
          <cell r="B2607">
            <v>0</v>
          </cell>
        </row>
        <row r="2608">
          <cell r="A2608">
            <v>0</v>
          </cell>
          <cell r="B2608">
            <v>0</v>
          </cell>
        </row>
        <row r="2609">
          <cell r="A2609">
            <v>0</v>
          </cell>
          <cell r="B2609">
            <v>0</v>
          </cell>
        </row>
        <row r="2610">
          <cell r="A2610">
            <v>0</v>
          </cell>
          <cell r="B2610">
            <v>0</v>
          </cell>
        </row>
        <row r="2611">
          <cell r="A2611">
            <v>0</v>
          </cell>
          <cell r="B2611">
            <v>0</v>
          </cell>
        </row>
        <row r="2612">
          <cell r="A2612">
            <v>0</v>
          </cell>
          <cell r="B2612">
            <v>0</v>
          </cell>
        </row>
        <row r="2613">
          <cell r="A2613">
            <v>0</v>
          </cell>
          <cell r="B2613">
            <v>0</v>
          </cell>
        </row>
        <row r="2614">
          <cell r="A2614">
            <v>0</v>
          </cell>
          <cell r="B2614">
            <v>0</v>
          </cell>
        </row>
        <row r="2615">
          <cell r="A2615">
            <v>0</v>
          </cell>
          <cell r="B2615">
            <v>0</v>
          </cell>
        </row>
        <row r="2616">
          <cell r="A2616">
            <v>0</v>
          </cell>
          <cell r="B2616">
            <v>0</v>
          </cell>
        </row>
        <row r="2617">
          <cell r="A2617">
            <v>0</v>
          </cell>
          <cell r="B2617">
            <v>0</v>
          </cell>
        </row>
        <row r="2618">
          <cell r="A2618">
            <v>0</v>
          </cell>
          <cell r="B2618">
            <v>0</v>
          </cell>
        </row>
        <row r="2619">
          <cell r="A2619">
            <v>0</v>
          </cell>
          <cell r="B2619">
            <v>0</v>
          </cell>
        </row>
        <row r="2620">
          <cell r="A2620">
            <v>0</v>
          </cell>
          <cell r="B2620">
            <v>0</v>
          </cell>
        </row>
        <row r="2621">
          <cell r="A2621">
            <v>0</v>
          </cell>
          <cell r="B2621">
            <v>0</v>
          </cell>
        </row>
        <row r="2622">
          <cell r="A2622">
            <v>0</v>
          </cell>
          <cell r="B2622">
            <v>0</v>
          </cell>
        </row>
        <row r="2623">
          <cell r="A2623">
            <v>0</v>
          </cell>
          <cell r="B2623">
            <v>0</v>
          </cell>
        </row>
        <row r="2624">
          <cell r="A2624">
            <v>0</v>
          </cell>
          <cell r="B2624">
            <v>0</v>
          </cell>
        </row>
        <row r="2625">
          <cell r="A2625">
            <v>0</v>
          </cell>
          <cell r="B2625">
            <v>0</v>
          </cell>
        </row>
        <row r="2626">
          <cell r="A2626">
            <v>0</v>
          </cell>
          <cell r="B2626">
            <v>0</v>
          </cell>
        </row>
        <row r="2627">
          <cell r="A2627">
            <v>0</v>
          </cell>
          <cell r="B2627">
            <v>0</v>
          </cell>
        </row>
        <row r="2628">
          <cell r="A2628">
            <v>0</v>
          </cell>
          <cell r="B2628">
            <v>0</v>
          </cell>
        </row>
        <row r="2629">
          <cell r="A2629">
            <v>0</v>
          </cell>
          <cell r="B2629">
            <v>0</v>
          </cell>
        </row>
        <row r="2630">
          <cell r="A2630">
            <v>0</v>
          </cell>
          <cell r="B2630">
            <v>0</v>
          </cell>
        </row>
        <row r="2631">
          <cell r="A2631">
            <v>0</v>
          </cell>
          <cell r="B2631">
            <v>0</v>
          </cell>
        </row>
        <row r="2632">
          <cell r="A2632">
            <v>0</v>
          </cell>
          <cell r="B2632">
            <v>0</v>
          </cell>
        </row>
        <row r="2633">
          <cell r="A2633">
            <v>0</v>
          </cell>
          <cell r="B2633">
            <v>0</v>
          </cell>
        </row>
        <row r="2634">
          <cell r="A2634">
            <v>0</v>
          </cell>
          <cell r="B2634">
            <v>0</v>
          </cell>
        </row>
        <row r="2635">
          <cell r="A2635">
            <v>0</v>
          </cell>
          <cell r="B2635">
            <v>0</v>
          </cell>
        </row>
        <row r="2636">
          <cell r="A2636">
            <v>0</v>
          </cell>
          <cell r="B2636">
            <v>0</v>
          </cell>
        </row>
        <row r="2637">
          <cell r="A2637">
            <v>0</v>
          </cell>
          <cell r="B2637">
            <v>0</v>
          </cell>
        </row>
        <row r="2638">
          <cell r="A2638">
            <v>0</v>
          </cell>
          <cell r="B2638">
            <v>0</v>
          </cell>
        </row>
        <row r="2639">
          <cell r="A2639">
            <v>0</v>
          </cell>
          <cell r="B2639">
            <v>0</v>
          </cell>
        </row>
        <row r="2640">
          <cell r="A2640">
            <v>0</v>
          </cell>
          <cell r="B2640">
            <v>0</v>
          </cell>
        </row>
        <row r="2641">
          <cell r="A2641">
            <v>0</v>
          </cell>
          <cell r="B2641">
            <v>0</v>
          </cell>
        </row>
        <row r="2642">
          <cell r="A2642">
            <v>0</v>
          </cell>
          <cell r="B2642">
            <v>0</v>
          </cell>
        </row>
        <row r="2643">
          <cell r="A2643">
            <v>0</v>
          </cell>
          <cell r="B2643">
            <v>0</v>
          </cell>
        </row>
        <row r="2644">
          <cell r="A2644">
            <v>0</v>
          </cell>
          <cell r="B2644">
            <v>0</v>
          </cell>
        </row>
        <row r="2645">
          <cell r="A2645">
            <v>0</v>
          </cell>
          <cell r="B2645">
            <v>0</v>
          </cell>
        </row>
        <row r="2646">
          <cell r="A2646">
            <v>0</v>
          </cell>
          <cell r="B2646">
            <v>0</v>
          </cell>
        </row>
        <row r="2647">
          <cell r="A2647">
            <v>0</v>
          </cell>
          <cell r="B2647">
            <v>0</v>
          </cell>
        </row>
        <row r="2648">
          <cell r="A2648">
            <v>0</v>
          </cell>
          <cell r="B2648">
            <v>0</v>
          </cell>
        </row>
        <row r="2649">
          <cell r="A2649">
            <v>0</v>
          </cell>
          <cell r="B2649">
            <v>0</v>
          </cell>
        </row>
        <row r="2650">
          <cell r="A2650">
            <v>0</v>
          </cell>
          <cell r="B2650">
            <v>0</v>
          </cell>
        </row>
        <row r="2651">
          <cell r="A2651">
            <v>0</v>
          </cell>
          <cell r="B2651">
            <v>0</v>
          </cell>
        </row>
        <row r="2652">
          <cell r="A2652">
            <v>0</v>
          </cell>
          <cell r="B2652">
            <v>0</v>
          </cell>
        </row>
        <row r="2653">
          <cell r="A2653">
            <v>0</v>
          </cell>
          <cell r="B2653">
            <v>0</v>
          </cell>
        </row>
        <row r="2654">
          <cell r="A2654">
            <v>0</v>
          </cell>
          <cell r="B2654">
            <v>0</v>
          </cell>
        </row>
        <row r="2655">
          <cell r="A2655">
            <v>0</v>
          </cell>
          <cell r="B2655">
            <v>0</v>
          </cell>
        </row>
        <row r="2656">
          <cell r="A2656">
            <v>0</v>
          </cell>
          <cell r="B2656">
            <v>0</v>
          </cell>
        </row>
        <row r="2657">
          <cell r="A2657">
            <v>0</v>
          </cell>
          <cell r="B2657">
            <v>0</v>
          </cell>
        </row>
        <row r="2658">
          <cell r="A2658">
            <v>0</v>
          </cell>
          <cell r="B2658">
            <v>0</v>
          </cell>
        </row>
        <row r="2659">
          <cell r="A2659">
            <v>0</v>
          </cell>
          <cell r="B2659">
            <v>0</v>
          </cell>
        </row>
        <row r="2660">
          <cell r="A2660">
            <v>0</v>
          </cell>
          <cell r="B2660">
            <v>0</v>
          </cell>
        </row>
        <row r="2661">
          <cell r="A2661">
            <v>0</v>
          </cell>
          <cell r="B2661">
            <v>0</v>
          </cell>
        </row>
        <row r="2662">
          <cell r="A2662">
            <v>0</v>
          </cell>
          <cell r="B2662">
            <v>0</v>
          </cell>
        </row>
        <row r="2663">
          <cell r="A2663">
            <v>0</v>
          </cell>
          <cell r="B2663">
            <v>0</v>
          </cell>
        </row>
        <row r="2664">
          <cell r="A2664">
            <v>0</v>
          </cell>
          <cell r="B2664">
            <v>0</v>
          </cell>
        </row>
        <row r="2665">
          <cell r="A2665">
            <v>0</v>
          </cell>
          <cell r="B2665">
            <v>0</v>
          </cell>
        </row>
        <row r="2666">
          <cell r="A2666">
            <v>0</v>
          </cell>
          <cell r="B2666">
            <v>0</v>
          </cell>
        </row>
        <row r="2667">
          <cell r="A2667">
            <v>0</v>
          </cell>
          <cell r="B2667">
            <v>0</v>
          </cell>
        </row>
        <row r="2668">
          <cell r="A2668">
            <v>0</v>
          </cell>
          <cell r="B2668">
            <v>0</v>
          </cell>
        </row>
        <row r="2669">
          <cell r="A2669">
            <v>0</v>
          </cell>
          <cell r="B2669">
            <v>0</v>
          </cell>
        </row>
        <row r="2670">
          <cell r="A2670">
            <v>0</v>
          </cell>
          <cell r="B2670">
            <v>0</v>
          </cell>
        </row>
        <row r="2671">
          <cell r="A2671">
            <v>0</v>
          </cell>
          <cell r="B2671">
            <v>0</v>
          </cell>
        </row>
        <row r="2672">
          <cell r="A2672">
            <v>0</v>
          </cell>
          <cell r="B2672">
            <v>0</v>
          </cell>
        </row>
        <row r="2673">
          <cell r="A2673">
            <v>0</v>
          </cell>
          <cell r="B2673">
            <v>0</v>
          </cell>
        </row>
        <row r="2674">
          <cell r="A2674">
            <v>0</v>
          </cell>
          <cell r="B2674">
            <v>0</v>
          </cell>
        </row>
        <row r="2675">
          <cell r="A2675">
            <v>0</v>
          </cell>
          <cell r="B2675">
            <v>0</v>
          </cell>
        </row>
        <row r="2676">
          <cell r="A2676">
            <v>0</v>
          </cell>
          <cell r="B2676">
            <v>0</v>
          </cell>
        </row>
        <row r="2677">
          <cell r="A2677">
            <v>0</v>
          </cell>
          <cell r="B2677">
            <v>0</v>
          </cell>
        </row>
        <row r="2678">
          <cell r="A2678">
            <v>0</v>
          </cell>
          <cell r="B2678">
            <v>0</v>
          </cell>
        </row>
        <row r="2679">
          <cell r="A2679">
            <v>0</v>
          </cell>
          <cell r="B2679">
            <v>0</v>
          </cell>
        </row>
        <row r="2680">
          <cell r="A2680">
            <v>0</v>
          </cell>
          <cell r="B2680">
            <v>0</v>
          </cell>
        </row>
        <row r="2681">
          <cell r="A2681">
            <v>0</v>
          </cell>
          <cell r="B2681">
            <v>0</v>
          </cell>
        </row>
        <row r="2682">
          <cell r="A2682">
            <v>0</v>
          </cell>
          <cell r="B2682">
            <v>0</v>
          </cell>
        </row>
        <row r="2683">
          <cell r="A2683">
            <v>0</v>
          </cell>
          <cell r="B2683">
            <v>0</v>
          </cell>
        </row>
        <row r="2684">
          <cell r="A2684">
            <v>0</v>
          </cell>
          <cell r="B2684">
            <v>0</v>
          </cell>
        </row>
        <row r="2685">
          <cell r="A2685">
            <v>0</v>
          </cell>
          <cell r="B2685">
            <v>0</v>
          </cell>
        </row>
        <row r="2686">
          <cell r="A2686">
            <v>0</v>
          </cell>
          <cell r="B2686">
            <v>0</v>
          </cell>
        </row>
        <row r="2687">
          <cell r="A2687">
            <v>0</v>
          </cell>
          <cell r="B2687">
            <v>0</v>
          </cell>
        </row>
        <row r="2688">
          <cell r="A2688">
            <v>0</v>
          </cell>
          <cell r="B2688">
            <v>0</v>
          </cell>
        </row>
        <row r="2689">
          <cell r="A2689">
            <v>0</v>
          </cell>
          <cell r="B2689">
            <v>0</v>
          </cell>
        </row>
        <row r="2690">
          <cell r="A2690">
            <v>0</v>
          </cell>
          <cell r="B2690">
            <v>0</v>
          </cell>
        </row>
        <row r="2691">
          <cell r="A2691">
            <v>0</v>
          </cell>
          <cell r="B2691">
            <v>0</v>
          </cell>
        </row>
        <row r="2692">
          <cell r="A2692">
            <v>0</v>
          </cell>
          <cell r="B2692">
            <v>0</v>
          </cell>
        </row>
        <row r="2693">
          <cell r="A2693">
            <v>0</v>
          </cell>
          <cell r="B2693">
            <v>0</v>
          </cell>
        </row>
        <row r="2694">
          <cell r="A2694">
            <v>0</v>
          </cell>
          <cell r="B2694">
            <v>0</v>
          </cell>
        </row>
        <row r="2695">
          <cell r="A2695">
            <v>0</v>
          </cell>
          <cell r="B2695">
            <v>0</v>
          </cell>
        </row>
        <row r="2696">
          <cell r="A2696">
            <v>0</v>
          </cell>
          <cell r="B2696">
            <v>0</v>
          </cell>
        </row>
        <row r="2697">
          <cell r="A2697">
            <v>0</v>
          </cell>
          <cell r="B2697">
            <v>0</v>
          </cell>
        </row>
        <row r="2698">
          <cell r="A2698">
            <v>0</v>
          </cell>
          <cell r="B2698">
            <v>0</v>
          </cell>
        </row>
        <row r="2699">
          <cell r="A2699">
            <v>0</v>
          </cell>
          <cell r="B2699">
            <v>0</v>
          </cell>
        </row>
        <row r="2700">
          <cell r="A2700">
            <v>0</v>
          </cell>
          <cell r="B2700">
            <v>0</v>
          </cell>
        </row>
        <row r="2701">
          <cell r="A2701">
            <v>0</v>
          </cell>
          <cell r="B2701">
            <v>0</v>
          </cell>
        </row>
        <row r="2702">
          <cell r="A2702">
            <v>0</v>
          </cell>
          <cell r="B2702">
            <v>0</v>
          </cell>
        </row>
        <row r="2703">
          <cell r="A2703">
            <v>0</v>
          </cell>
          <cell r="B2703">
            <v>0</v>
          </cell>
        </row>
        <row r="2704">
          <cell r="A2704">
            <v>0</v>
          </cell>
          <cell r="B2704">
            <v>0</v>
          </cell>
        </row>
        <row r="2705">
          <cell r="A2705">
            <v>0</v>
          </cell>
          <cell r="B2705">
            <v>0</v>
          </cell>
        </row>
        <row r="2706">
          <cell r="A2706">
            <v>0</v>
          </cell>
          <cell r="B2706">
            <v>0</v>
          </cell>
        </row>
        <row r="2707">
          <cell r="A2707">
            <v>0</v>
          </cell>
          <cell r="B2707">
            <v>0</v>
          </cell>
        </row>
        <row r="2708">
          <cell r="A2708">
            <v>0</v>
          </cell>
          <cell r="B2708">
            <v>0</v>
          </cell>
        </row>
        <row r="2709">
          <cell r="A2709">
            <v>0</v>
          </cell>
          <cell r="B2709">
            <v>0</v>
          </cell>
        </row>
        <row r="2710">
          <cell r="A2710">
            <v>0</v>
          </cell>
          <cell r="B2710">
            <v>0</v>
          </cell>
        </row>
        <row r="2711">
          <cell r="A2711">
            <v>0</v>
          </cell>
          <cell r="B2711">
            <v>0</v>
          </cell>
        </row>
        <row r="2712">
          <cell r="A2712">
            <v>0</v>
          </cell>
          <cell r="B2712">
            <v>0</v>
          </cell>
        </row>
        <row r="2713">
          <cell r="A2713">
            <v>0</v>
          </cell>
          <cell r="B2713">
            <v>0</v>
          </cell>
        </row>
        <row r="2714">
          <cell r="A2714">
            <v>0</v>
          </cell>
          <cell r="B2714">
            <v>0</v>
          </cell>
        </row>
        <row r="2715">
          <cell r="A2715">
            <v>0</v>
          </cell>
          <cell r="B2715">
            <v>0</v>
          </cell>
        </row>
        <row r="2716">
          <cell r="A2716">
            <v>0</v>
          </cell>
          <cell r="B2716">
            <v>0</v>
          </cell>
        </row>
        <row r="2717">
          <cell r="A2717">
            <v>0</v>
          </cell>
          <cell r="B2717">
            <v>0</v>
          </cell>
        </row>
        <row r="2718">
          <cell r="A2718">
            <v>0</v>
          </cell>
          <cell r="B2718">
            <v>0</v>
          </cell>
        </row>
        <row r="2719">
          <cell r="A2719">
            <v>0</v>
          </cell>
          <cell r="B2719">
            <v>0</v>
          </cell>
        </row>
        <row r="2720">
          <cell r="A2720">
            <v>0</v>
          </cell>
          <cell r="B2720">
            <v>0</v>
          </cell>
        </row>
        <row r="2721">
          <cell r="A2721">
            <v>0</v>
          </cell>
          <cell r="B2721">
            <v>0</v>
          </cell>
        </row>
        <row r="2722">
          <cell r="A2722">
            <v>0</v>
          </cell>
          <cell r="B2722">
            <v>0</v>
          </cell>
        </row>
        <row r="2723">
          <cell r="A2723">
            <v>0</v>
          </cell>
          <cell r="B2723">
            <v>0</v>
          </cell>
        </row>
        <row r="2724">
          <cell r="A2724">
            <v>0</v>
          </cell>
          <cell r="B2724">
            <v>0</v>
          </cell>
        </row>
        <row r="2725">
          <cell r="A2725">
            <v>0</v>
          </cell>
          <cell r="B2725">
            <v>0</v>
          </cell>
        </row>
        <row r="2726">
          <cell r="A2726">
            <v>0</v>
          </cell>
          <cell r="B2726">
            <v>0</v>
          </cell>
        </row>
        <row r="2727">
          <cell r="A2727">
            <v>0</v>
          </cell>
          <cell r="B2727">
            <v>0</v>
          </cell>
        </row>
        <row r="2728">
          <cell r="A2728">
            <v>0</v>
          </cell>
          <cell r="B2728">
            <v>0</v>
          </cell>
        </row>
        <row r="2729">
          <cell r="A2729">
            <v>0</v>
          </cell>
          <cell r="B2729">
            <v>0</v>
          </cell>
        </row>
        <row r="2730">
          <cell r="A2730">
            <v>0</v>
          </cell>
          <cell r="B2730">
            <v>0</v>
          </cell>
        </row>
        <row r="2731">
          <cell r="A2731">
            <v>0</v>
          </cell>
          <cell r="B2731">
            <v>0</v>
          </cell>
        </row>
        <row r="2732">
          <cell r="A2732">
            <v>0</v>
          </cell>
          <cell r="B2732">
            <v>0</v>
          </cell>
        </row>
        <row r="2733">
          <cell r="A2733">
            <v>0</v>
          </cell>
          <cell r="B2733">
            <v>0</v>
          </cell>
        </row>
        <row r="2734">
          <cell r="A2734">
            <v>0</v>
          </cell>
          <cell r="B2734">
            <v>0</v>
          </cell>
        </row>
        <row r="2735">
          <cell r="A2735">
            <v>0</v>
          </cell>
          <cell r="B2735">
            <v>0</v>
          </cell>
        </row>
        <row r="2736">
          <cell r="A2736">
            <v>0</v>
          </cell>
          <cell r="B2736">
            <v>0</v>
          </cell>
        </row>
        <row r="2737">
          <cell r="A2737">
            <v>0</v>
          </cell>
          <cell r="B2737">
            <v>0</v>
          </cell>
        </row>
        <row r="2738">
          <cell r="A2738">
            <v>0</v>
          </cell>
          <cell r="B2738">
            <v>0</v>
          </cell>
        </row>
        <row r="2739">
          <cell r="A2739">
            <v>0</v>
          </cell>
          <cell r="B2739">
            <v>0</v>
          </cell>
        </row>
        <row r="2740">
          <cell r="A2740">
            <v>0</v>
          </cell>
          <cell r="B2740">
            <v>0</v>
          </cell>
        </row>
        <row r="2741">
          <cell r="A2741">
            <v>0</v>
          </cell>
          <cell r="B2741">
            <v>0</v>
          </cell>
        </row>
        <row r="2742">
          <cell r="A2742">
            <v>0</v>
          </cell>
          <cell r="B2742">
            <v>0</v>
          </cell>
        </row>
        <row r="2743">
          <cell r="A2743">
            <v>0</v>
          </cell>
          <cell r="B2743">
            <v>0</v>
          </cell>
        </row>
        <row r="2744">
          <cell r="A2744">
            <v>0</v>
          </cell>
          <cell r="B2744">
            <v>0</v>
          </cell>
        </row>
        <row r="2745">
          <cell r="A2745">
            <v>0</v>
          </cell>
          <cell r="B2745">
            <v>0</v>
          </cell>
        </row>
        <row r="2746">
          <cell r="A2746">
            <v>0</v>
          </cell>
          <cell r="B2746">
            <v>0</v>
          </cell>
        </row>
        <row r="2747">
          <cell r="A2747">
            <v>0</v>
          </cell>
          <cell r="B2747">
            <v>0</v>
          </cell>
        </row>
        <row r="2748">
          <cell r="A2748">
            <v>0</v>
          </cell>
          <cell r="B2748">
            <v>0</v>
          </cell>
        </row>
        <row r="2749">
          <cell r="A2749">
            <v>0</v>
          </cell>
          <cell r="B2749">
            <v>0</v>
          </cell>
        </row>
        <row r="2750">
          <cell r="A2750">
            <v>0</v>
          </cell>
          <cell r="B2750">
            <v>0</v>
          </cell>
        </row>
        <row r="2751">
          <cell r="A2751">
            <v>0</v>
          </cell>
          <cell r="B2751">
            <v>0</v>
          </cell>
        </row>
        <row r="2752">
          <cell r="A2752">
            <v>0</v>
          </cell>
          <cell r="B2752">
            <v>0</v>
          </cell>
        </row>
        <row r="2753">
          <cell r="A2753">
            <v>0</v>
          </cell>
          <cell r="B2753">
            <v>0</v>
          </cell>
        </row>
        <row r="2754">
          <cell r="A2754">
            <v>0</v>
          </cell>
          <cell r="B2754">
            <v>0</v>
          </cell>
        </row>
        <row r="2755">
          <cell r="A2755">
            <v>0</v>
          </cell>
          <cell r="B2755">
            <v>0</v>
          </cell>
        </row>
        <row r="2756">
          <cell r="A2756">
            <v>0</v>
          </cell>
          <cell r="B2756">
            <v>0</v>
          </cell>
        </row>
        <row r="2757">
          <cell r="A2757">
            <v>0</v>
          </cell>
          <cell r="B2757">
            <v>0</v>
          </cell>
        </row>
        <row r="2758">
          <cell r="A2758">
            <v>0</v>
          </cell>
          <cell r="B2758">
            <v>0</v>
          </cell>
        </row>
        <row r="2759">
          <cell r="A2759">
            <v>0</v>
          </cell>
          <cell r="B2759">
            <v>0</v>
          </cell>
        </row>
        <row r="2760">
          <cell r="A2760">
            <v>0</v>
          </cell>
          <cell r="B2760">
            <v>0</v>
          </cell>
        </row>
        <row r="2761">
          <cell r="A2761">
            <v>0</v>
          </cell>
          <cell r="B2761">
            <v>0</v>
          </cell>
        </row>
        <row r="2762">
          <cell r="A2762">
            <v>0</v>
          </cell>
          <cell r="B2762">
            <v>0</v>
          </cell>
        </row>
        <row r="2763">
          <cell r="A2763">
            <v>0</v>
          </cell>
          <cell r="B2763">
            <v>0</v>
          </cell>
        </row>
        <row r="2764">
          <cell r="A2764">
            <v>0</v>
          </cell>
          <cell r="B2764">
            <v>0</v>
          </cell>
        </row>
        <row r="2765">
          <cell r="A2765">
            <v>0</v>
          </cell>
          <cell r="B2765">
            <v>0</v>
          </cell>
        </row>
        <row r="2766">
          <cell r="A2766">
            <v>0</v>
          </cell>
          <cell r="B2766">
            <v>0</v>
          </cell>
        </row>
        <row r="2767">
          <cell r="A2767">
            <v>0</v>
          </cell>
          <cell r="B2767">
            <v>0</v>
          </cell>
        </row>
        <row r="2768">
          <cell r="A2768">
            <v>0</v>
          </cell>
          <cell r="B2768">
            <v>0</v>
          </cell>
        </row>
        <row r="2769">
          <cell r="A2769">
            <v>0</v>
          </cell>
          <cell r="B2769">
            <v>0</v>
          </cell>
        </row>
        <row r="2770">
          <cell r="A2770">
            <v>0</v>
          </cell>
          <cell r="B2770">
            <v>0</v>
          </cell>
        </row>
        <row r="2771">
          <cell r="A2771">
            <v>0</v>
          </cell>
          <cell r="B2771">
            <v>0</v>
          </cell>
        </row>
        <row r="2772">
          <cell r="A2772">
            <v>0</v>
          </cell>
          <cell r="B2772">
            <v>0</v>
          </cell>
        </row>
        <row r="2773">
          <cell r="A2773">
            <v>0</v>
          </cell>
          <cell r="B2773">
            <v>0</v>
          </cell>
        </row>
        <row r="2774">
          <cell r="A2774">
            <v>0</v>
          </cell>
          <cell r="B2774">
            <v>0</v>
          </cell>
        </row>
        <row r="2775">
          <cell r="A2775">
            <v>0</v>
          </cell>
          <cell r="B2775">
            <v>0</v>
          </cell>
        </row>
        <row r="2776">
          <cell r="A2776">
            <v>0</v>
          </cell>
          <cell r="B2776">
            <v>0</v>
          </cell>
        </row>
        <row r="2777">
          <cell r="A2777">
            <v>0</v>
          </cell>
          <cell r="B2777">
            <v>0</v>
          </cell>
        </row>
        <row r="2778">
          <cell r="A2778">
            <v>0</v>
          </cell>
          <cell r="B2778">
            <v>0</v>
          </cell>
        </row>
        <row r="2779">
          <cell r="A2779">
            <v>0</v>
          </cell>
          <cell r="B2779">
            <v>0</v>
          </cell>
        </row>
        <row r="2780">
          <cell r="A2780">
            <v>0</v>
          </cell>
          <cell r="B2780">
            <v>0</v>
          </cell>
        </row>
        <row r="2781">
          <cell r="A2781">
            <v>0</v>
          </cell>
          <cell r="B2781">
            <v>0</v>
          </cell>
        </row>
        <row r="2782">
          <cell r="A2782">
            <v>0</v>
          </cell>
          <cell r="B2782">
            <v>0</v>
          </cell>
        </row>
        <row r="2783">
          <cell r="A2783">
            <v>0</v>
          </cell>
          <cell r="B2783">
            <v>0</v>
          </cell>
        </row>
        <row r="2784">
          <cell r="A2784">
            <v>0</v>
          </cell>
          <cell r="B2784">
            <v>0</v>
          </cell>
        </row>
        <row r="2785">
          <cell r="A2785">
            <v>0</v>
          </cell>
          <cell r="B2785">
            <v>0</v>
          </cell>
        </row>
        <row r="2786">
          <cell r="A2786">
            <v>0</v>
          </cell>
          <cell r="B2786">
            <v>0</v>
          </cell>
        </row>
        <row r="2787">
          <cell r="A2787">
            <v>0</v>
          </cell>
          <cell r="B2787">
            <v>0</v>
          </cell>
        </row>
        <row r="2788">
          <cell r="A2788">
            <v>0</v>
          </cell>
          <cell r="B2788">
            <v>0</v>
          </cell>
        </row>
        <row r="2789">
          <cell r="A2789">
            <v>0</v>
          </cell>
          <cell r="B2789">
            <v>0</v>
          </cell>
        </row>
        <row r="2790">
          <cell r="A2790">
            <v>0</v>
          </cell>
          <cell r="B2790">
            <v>0</v>
          </cell>
        </row>
        <row r="2791">
          <cell r="A2791">
            <v>0</v>
          </cell>
          <cell r="B2791">
            <v>0</v>
          </cell>
        </row>
        <row r="2792">
          <cell r="A2792">
            <v>0</v>
          </cell>
          <cell r="B2792">
            <v>0</v>
          </cell>
        </row>
        <row r="2793">
          <cell r="A2793">
            <v>0</v>
          </cell>
          <cell r="B2793">
            <v>0</v>
          </cell>
        </row>
        <row r="2794">
          <cell r="A2794">
            <v>0</v>
          </cell>
          <cell r="B2794">
            <v>0</v>
          </cell>
        </row>
        <row r="2795">
          <cell r="A2795">
            <v>0</v>
          </cell>
          <cell r="B2795">
            <v>0</v>
          </cell>
        </row>
        <row r="2796">
          <cell r="A2796">
            <v>0</v>
          </cell>
          <cell r="B2796">
            <v>0</v>
          </cell>
        </row>
        <row r="2797">
          <cell r="A2797">
            <v>0</v>
          </cell>
          <cell r="B2797">
            <v>0</v>
          </cell>
        </row>
        <row r="2798">
          <cell r="A2798">
            <v>0</v>
          </cell>
          <cell r="B2798">
            <v>0</v>
          </cell>
        </row>
        <row r="2799">
          <cell r="A2799">
            <v>0</v>
          </cell>
          <cell r="B2799">
            <v>0</v>
          </cell>
        </row>
        <row r="2800">
          <cell r="A2800">
            <v>0</v>
          </cell>
          <cell r="B2800">
            <v>0</v>
          </cell>
        </row>
        <row r="2801">
          <cell r="A2801">
            <v>0</v>
          </cell>
          <cell r="B2801">
            <v>0</v>
          </cell>
        </row>
        <row r="2802">
          <cell r="A2802">
            <v>0</v>
          </cell>
          <cell r="B2802">
            <v>0</v>
          </cell>
        </row>
        <row r="2803">
          <cell r="A2803">
            <v>0</v>
          </cell>
          <cell r="B2803">
            <v>0</v>
          </cell>
        </row>
        <row r="2804">
          <cell r="A2804">
            <v>0</v>
          </cell>
          <cell r="B2804">
            <v>0</v>
          </cell>
        </row>
        <row r="2805">
          <cell r="A2805">
            <v>0</v>
          </cell>
          <cell r="B2805">
            <v>0</v>
          </cell>
        </row>
        <row r="2806">
          <cell r="A2806">
            <v>0</v>
          </cell>
          <cell r="B2806">
            <v>0</v>
          </cell>
        </row>
        <row r="2807">
          <cell r="A2807">
            <v>0</v>
          </cell>
          <cell r="B2807">
            <v>0</v>
          </cell>
        </row>
        <row r="2808">
          <cell r="A2808">
            <v>0</v>
          </cell>
          <cell r="B2808">
            <v>0</v>
          </cell>
        </row>
        <row r="2809">
          <cell r="A2809">
            <v>0</v>
          </cell>
          <cell r="B2809">
            <v>0</v>
          </cell>
        </row>
        <row r="2810">
          <cell r="A2810">
            <v>0</v>
          </cell>
          <cell r="B2810">
            <v>0</v>
          </cell>
        </row>
        <row r="2811">
          <cell r="A2811">
            <v>0</v>
          </cell>
          <cell r="B2811">
            <v>0</v>
          </cell>
        </row>
        <row r="2812">
          <cell r="A2812">
            <v>0</v>
          </cell>
          <cell r="B2812">
            <v>0</v>
          </cell>
        </row>
        <row r="2813">
          <cell r="A2813">
            <v>0</v>
          </cell>
          <cell r="B2813">
            <v>0</v>
          </cell>
        </row>
        <row r="2814">
          <cell r="A2814">
            <v>0</v>
          </cell>
          <cell r="B2814">
            <v>0</v>
          </cell>
        </row>
        <row r="2815">
          <cell r="A2815">
            <v>0</v>
          </cell>
          <cell r="B2815">
            <v>0</v>
          </cell>
        </row>
        <row r="2816">
          <cell r="A2816">
            <v>0</v>
          </cell>
          <cell r="B2816">
            <v>0</v>
          </cell>
        </row>
        <row r="2817">
          <cell r="A2817">
            <v>0</v>
          </cell>
          <cell r="B2817">
            <v>0</v>
          </cell>
        </row>
        <row r="2818">
          <cell r="A2818">
            <v>0</v>
          </cell>
          <cell r="B2818">
            <v>0</v>
          </cell>
        </row>
        <row r="2819">
          <cell r="A2819">
            <v>0</v>
          </cell>
          <cell r="B2819">
            <v>0</v>
          </cell>
        </row>
        <row r="2820">
          <cell r="A2820">
            <v>0</v>
          </cell>
          <cell r="B2820">
            <v>0</v>
          </cell>
        </row>
        <row r="2821">
          <cell r="A2821">
            <v>0</v>
          </cell>
          <cell r="B2821">
            <v>0</v>
          </cell>
        </row>
        <row r="2822">
          <cell r="A2822">
            <v>0</v>
          </cell>
          <cell r="B2822">
            <v>0</v>
          </cell>
        </row>
        <row r="2823">
          <cell r="A2823">
            <v>0</v>
          </cell>
          <cell r="B2823">
            <v>0</v>
          </cell>
        </row>
        <row r="2824">
          <cell r="A2824">
            <v>0</v>
          </cell>
          <cell r="B2824">
            <v>0</v>
          </cell>
        </row>
        <row r="2825">
          <cell r="A2825">
            <v>0</v>
          </cell>
          <cell r="B2825">
            <v>0</v>
          </cell>
        </row>
        <row r="2826">
          <cell r="A2826">
            <v>0</v>
          </cell>
          <cell r="B2826">
            <v>0</v>
          </cell>
        </row>
        <row r="2827">
          <cell r="A2827">
            <v>0</v>
          </cell>
          <cell r="B2827">
            <v>0</v>
          </cell>
        </row>
        <row r="2828">
          <cell r="A2828">
            <v>0</v>
          </cell>
          <cell r="B2828">
            <v>0</v>
          </cell>
        </row>
        <row r="2829">
          <cell r="A2829">
            <v>0</v>
          </cell>
          <cell r="B2829">
            <v>0</v>
          </cell>
        </row>
        <row r="2830">
          <cell r="A2830">
            <v>0</v>
          </cell>
          <cell r="B2830">
            <v>0</v>
          </cell>
        </row>
        <row r="2831">
          <cell r="A2831">
            <v>0</v>
          </cell>
          <cell r="B2831">
            <v>0</v>
          </cell>
        </row>
        <row r="2832">
          <cell r="A2832">
            <v>0</v>
          </cell>
          <cell r="B2832">
            <v>0</v>
          </cell>
        </row>
        <row r="2833">
          <cell r="A2833">
            <v>0</v>
          </cell>
          <cell r="B2833">
            <v>0</v>
          </cell>
        </row>
        <row r="2834">
          <cell r="A2834">
            <v>0</v>
          </cell>
          <cell r="B2834">
            <v>0</v>
          </cell>
        </row>
        <row r="2835">
          <cell r="A2835">
            <v>0</v>
          </cell>
          <cell r="B2835">
            <v>0</v>
          </cell>
        </row>
        <row r="2836">
          <cell r="A2836">
            <v>0</v>
          </cell>
          <cell r="B2836">
            <v>0</v>
          </cell>
        </row>
        <row r="2837">
          <cell r="A2837">
            <v>0</v>
          </cell>
          <cell r="B2837">
            <v>0</v>
          </cell>
        </row>
        <row r="2838">
          <cell r="A2838">
            <v>0</v>
          </cell>
          <cell r="B2838">
            <v>0</v>
          </cell>
        </row>
        <row r="2839">
          <cell r="A2839">
            <v>0</v>
          </cell>
          <cell r="B2839">
            <v>0</v>
          </cell>
        </row>
        <row r="2840">
          <cell r="A2840">
            <v>0</v>
          </cell>
          <cell r="B2840">
            <v>0</v>
          </cell>
        </row>
        <row r="2841">
          <cell r="A2841">
            <v>0</v>
          </cell>
          <cell r="B2841">
            <v>0</v>
          </cell>
        </row>
        <row r="2842">
          <cell r="A2842">
            <v>0</v>
          </cell>
          <cell r="B2842">
            <v>0</v>
          </cell>
        </row>
        <row r="2843">
          <cell r="A2843">
            <v>0</v>
          </cell>
          <cell r="B2843">
            <v>0</v>
          </cell>
        </row>
        <row r="2844">
          <cell r="A2844">
            <v>0</v>
          </cell>
          <cell r="B2844">
            <v>0</v>
          </cell>
        </row>
        <row r="2845">
          <cell r="A2845">
            <v>0</v>
          </cell>
          <cell r="B2845">
            <v>0</v>
          </cell>
        </row>
        <row r="2846">
          <cell r="A2846">
            <v>0</v>
          </cell>
          <cell r="B2846">
            <v>0</v>
          </cell>
        </row>
        <row r="2847">
          <cell r="A2847">
            <v>0</v>
          </cell>
          <cell r="B2847">
            <v>0</v>
          </cell>
        </row>
        <row r="2848">
          <cell r="A2848">
            <v>0</v>
          </cell>
          <cell r="B2848">
            <v>0</v>
          </cell>
        </row>
        <row r="2849">
          <cell r="A2849">
            <v>0</v>
          </cell>
          <cell r="B2849">
            <v>0</v>
          </cell>
        </row>
        <row r="2850">
          <cell r="A2850">
            <v>0</v>
          </cell>
          <cell r="B2850">
            <v>0</v>
          </cell>
        </row>
        <row r="2851">
          <cell r="A2851">
            <v>0</v>
          </cell>
          <cell r="B2851">
            <v>0</v>
          </cell>
        </row>
        <row r="2852">
          <cell r="A2852">
            <v>0</v>
          </cell>
          <cell r="B2852">
            <v>0</v>
          </cell>
        </row>
        <row r="2853">
          <cell r="A2853">
            <v>0</v>
          </cell>
          <cell r="B2853">
            <v>0</v>
          </cell>
        </row>
        <row r="2854">
          <cell r="A2854">
            <v>0</v>
          </cell>
          <cell r="B2854">
            <v>0</v>
          </cell>
        </row>
        <row r="2855">
          <cell r="A2855">
            <v>0</v>
          </cell>
          <cell r="B2855">
            <v>0</v>
          </cell>
        </row>
        <row r="2856">
          <cell r="A2856">
            <v>0</v>
          </cell>
          <cell r="B2856">
            <v>0</v>
          </cell>
        </row>
        <row r="2857">
          <cell r="A2857">
            <v>0</v>
          </cell>
          <cell r="B2857">
            <v>0</v>
          </cell>
        </row>
        <row r="2858">
          <cell r="A2858">
            <v>0</v>
          </cell>
          <cell r="B2858">
            <v>0</v>
          </cell>
        </row>
        <row r="2859">
          <cell r="A2859">
            <v>0</v>
          </cell>
          <cell r="B2859">
            <v>0</v>
          </cell>
        </row>
        <row r="2860">
          <cell r="A2860">
            <v>0</v>
          </cell>
          <cell r="B2860">
            <v>0</v>
          </cell>
        </row>
        <row r="2861">
          <cell r="A2861">
            <v>0</v>
          </cell>
          <cell r="B2861">
            <v>0</v>
          </cell>
        </row>
        <row r="2862">
          <cell r="A2862">
            <v>0</v>
          </cell>
          <cell r="B2862">
            <v>0</v>
          </cell>
        </row>
        <row r="2863">
          <cell r="A2863">
            <v>0</v>
          </cell>
          <cell r="B2863">
            <v>0</v>
          </cell>
        </row>
        <row r="2864">
          <cell r="A2864">
            <v>0</v>
          </cell>
          <cell r="B2864">
            <v>0</v>
          </cell>
        </row>
        <row r="2865">
          <cell r="A2865">
            <v>0</v>
          </cell>
          <cell r="B2865">
            <v>0</v>
          </cell>
        </row>
        <row r="2866">
          <cell r="A2866">
            <v>0</v>
          </cell>
          <cell r="B2866">
            <v>0</v>
          </cell>
        </row>
        <row r="2867">
          <cell r="A2867">
            <v>0</v>
          </cell>
          <cell r="B2867">
            <v>0</v>
          </cell>
        </row>
        <row r="2868">
          <cell r="A2868">
            <v>0</v>
          </cell>
          <cell r="B2868">
            <v>0</v>
          </cell>
        </row>
        <row r="2869">
          <cell r="A2869">
            <v>0</v>
          </cell>
          <cell r="B2869">
            <v>0</v>
          </cell>
        </row>
        <row r="2870">
          <cell r="A2870">
            <v>0</v>
          </cell>
          <cell r="B2870">
            <v>0</v>
          </cell>
        </row>
        <row r="2871">
          <cell r="A2871">
            <v>0</v>
          </cell>
          <cell r="B2871">
            <v>0</v>
          </cell>
        </row>
        <row r="2872">
          <cell r="A2872">
            <v>0</v>
          </cell>
          <cell r="B2872">
            <v>0</v>
          </cell>
        </row>
        <row r="2873">
          <cell r="A2873">
            <v>0</v>
          </cell>
          <cell r="B2873">
            <v>0</v>
          </cell>
        </row>
        <row r="2874">
          <cell r="A2874">
            <v>0</v>
          </cell>
          <cell r="B2874">
            <v>0</v>
          </cell>
        </row>
        <row r="2875">
          <cell r="A2875">
            <v>0</v>
          </cell>
          <cell r="B2875">
            <v>0</v>
          </cell>
        </row>
        <row r="2876">
          <cell r="A2876">
            <v>0</v>
          </cell>
          <cell r="B2876">
            <v>0</v>
          </cell>
        </row>
        <row r="2877">
          <cell r="A2877">
            <v>0</v>
          </cell>
          <cell r="B2877">
            <v>0</v>
          </cell>
        </row>
        <row r="2878">
          <cell r="A2878">
            <v>0</v>
          </cell>
          <cell r="B2878">
            <v>0</v>
          </cell>
        </row>
        <row r="2879">
          <cell r="A2879">
            <v>0</v>
          </cell>
          <cell r="B2879">
            <v>0</v>
          </cell>
        </row>
        <row r="2880">
          <cell r="A2880">
            <v>0</v>
          </cell>
          <cell r="B2880">
            <v>0</v>
          </cell>
        </row>
        <row r="2881">
          <cell r="A2881">
            <v>0</v>
          </cell>
          <cell r="B2881">
            <v>0</v>
          </cell>
        </row>
        <row r="2882">
          <cell r="A2882">
            <v>0</v>
          </cell>
          <cell r="B2882">
            <v>0</v>
          </cell>
        </row>
        <row r="2883">
          <cell r="A2883">
            <v>0</v>
          </cell>
          <cell r="B2883">
            <v>0</v>
          </cell>
        </row>
        <row r="2884">
          <cell r="A2884">
            <v>0</v>
          </cell>
          <cell r="B2884">
            <v>0</v>
          </cell>
        </row>
        <row r="2885">
          <cell r="A2885">
            <v>0</v>
          </cell>
          <cell r="B2885">
            <v>0</v>
          </cell>
        </row>
        <row r="2886">
          <cell r="A2886">
            <v>0</v>
          </cell>
          <cell r="B2886">
            <v>0</v>
          </cell>
        </row>
        <row r="2887">
          <cell r="A2887">
            <v>0</v>
          </cell>
          <cell r="B2887">
            <v>0</v>
          </cell>
        </row>
        <row r="2888">
          <cell r="A2888">
            <v>0</v>
          </cell>
          <cell r="B2888">
            <v>0</v>
          </cell>
        </row>
        <row r="2889">
          <cell r="A2889">
            <v>0</v>
          </cell>
          <cell r="B2889">
            <v>0</v>
          </cell>
        </row>
        <row r="2890">
          <cell r="A2890">
            <v>0</v>
          </cell>
          <cell r="B2890">
            <v>0</v>
          </cell>
        </row>
        <row r="2891">
          <cell r="A2891">
            <v>0</v>
          </cell>
          <cell r="B2891">
            <v>0</v>
          </cell>
        </row>
        <row r="2892">
          <cell r="A2892">
            <v>0</v>
          </cell>
          <cell r="B2892">
            <v>0</v>
          </cell>
        </row>
        <row r="2893">
          <cell r="A2893">
            <v>0</v>
          </cell>
          <cell r="B2893">
            <v>0</v>
          </cell>
        </row>
        <row r="2894">
          <cell r="A2894">
            <v>0</v>
          </cell>
          <cell r="B2894">
            <v>0</v>
          </cell>
        </row>
        <row r="2895">
          <cell r="A2895">
            <v>0</v>
          </cell>
          <cell r="B2895">
            <v>0</v>
          </cell>
        </row>
        <row r="2896">
          <cell r="A2896">
            <v>0</v>
          </cell>
          <cell r="B2896">
            <v>0</v>
          </cell>
        </row>
        <row r="2897">
          <cell r="A2897">
            <v>0</v>
          </cell>
          <cell r="B2897">
            <v>0</v>
          </cell>
        </row>
        <row r="2898">
          <cell r="A2898">
            <v>0</v>
          </cell>
          <cell r="B2898">
            <v>0</v>
          </cell>
        </row>
        <row r="2899">
          <cell r="A2899">
            <v>0</v>
          </cell>
          <cell r="B2899">
            <v>0</v>
          </cell>
        </row>
        <row r="2900">
          <cell r="A2900">
            <v>0</v>
          </cell>
          <cell r="B2900">
            <v>0</v>
          </cell>
        </row>
        <row r="2901">
          <cell r="A2901">
            <v>0</v>
          </cell>
          <cell r="B2901">
            <v>0</v>
          </cell>
        </row>
        <row r="2902">
          <cell r="A2902">
            <v>0</v>
          </cell>
          <cell r="B2902">
            <v>0</v>
          </cell>
        </row>
        <row r="2903">
          <cell r="A2903">
            <v>0</v>
          </cell>
          <cell r="B2903">
            <v>0</v>
          </cell>
        </row>
        <row r="2904">
          <cell r="A2904">
            <v>0</v>
          </cell>
          <cell r="B2904">
            <v>0</v>
          </cell>
        </row>
        <row r="2905">
          <cell r="A2905">
            <v>0</v>
          </cell>
          <cell r="B2905">
            <v>0</v>
          </cell>
        </row>
        <row r="2906">
          <cell r="A2906">
            <v>0</v>
          </cell>
          <cell r="B2906">
            <v>0</v>
          </cell>
        </row>
        <row r="2907">
          <cell r="A2907">
            <v>0</v>
          </cell>
          <cell r="B2907">
            <v>0</v>
          </cell>
        </row>
        <row r="2908">
          <cell r="A2908">
            <v>0</v>
          </cell>
          <cell r="B2908">
            <v>0</v>
          </cell>
        </row>
        <row r="2909">
          <cell r="A2909">
            <v>0</v>
          </cell>
          <cell r="B2909">
            <v>0</v>
          </cell>
        </row>
        <row r="2910">
          <cell r="A2910">
            <v>0</v>
          </cell>
          <cell r="B2910">
            <v>0</v>
          </cell>
        </row>
        <row r="2911">
          <cell r="A2911">
            <v>0</v>
          </cell>
          <cell r="B2911">
            <v>0</v>
          </cell>
        </row>
        <row r="2912">
          <cell r="A2912">
            <v>0</v>
          </cell>
          <cell r="B2912">
            <v>0</v>
          </cell>
        </row>
        <row r="2913">
          <cell r="A2913">
            <v>0</v>
          </cell>
          <cell r="B2913">
            <v>0</v>
          </cell>
        </row>
        <row r="2914">
          <cell r="A2914">
            <v>0</v>
          </cell>
          <cell r="B2914">
            <v>0</v>
          </cell>
        </row>
        <row r="2915">
          <cell r="A2915">
            <v>0</v>
          </cell>
          <cell r="B2915">
            <v>0</v>
          </cell>
        </row>
        <row r="2916">
          <cell r="A2916">
            <v>0</v>
          </cell>
          <cell r="B2916">
            <v>0</v>
          </cell>
        </row>
        <row r="2917">
          <cell r="A2917">
            <v>0</v>
          </cell>
          <cell r="B2917">
            <v>0</v>
          </cell>
        </row>
        <row r="2918">
          <cell r="A2918">
            <v>0</v>
          </cell>
          <cell r="B2918">
            <v>0</v>
          </cell>
        </row>
        <row r="2919">
          <cell r="A2919">
            <v>0</v>
          </cell>
          <cell r="B2919">
            <v>0</v>
          </cell>
        </row>
        <row r="2920">
          <cell r="A2920">
            <v>0</v>
          </cell>
          <cell r="B2920">
            <v>0</v>
          </cell>
        </row>
        <row r="2921">
          <cell r="A2921">
            <v>0</v>
          </cell>
          <cell r="B2921">
            <v>0</v>
          </cell>
        </row>
        <row r="2922">
          <cell r="A2922">
            <v>0</v>
          </cell>
          <cell r="B2922">
            <v>0</v>
          </cell>
        </row>
        <row r="2923">
          <cell r="A2923">
            <v>0</v>
          </cell>
          <cell r="B2923">
            <v>0</v>
          </cell>
        </row>
        <row r="2924">
          <cell r="A2924">
            <v>0</v>
          </cell>
          <cell r="B2924">
            <v>0</v>
          </cell>
        </row>
        <row r="2925">
          <cell r="A2925">
            <v>0</v>
          </cell>
          <cell r="B2925">
            <v>0</v>
          </cell>
        </row>
        <row r="2926">
          <cell r="A2926">
            <v>0</v>
          </cell>
          <cell r="B2926">
            <v>0</v>
          </cell>
        </row>
        <row r="2927">
          <cell r="A2927">
            <v>0</v>
          </cell>
          <cell r="B2927">
            <v>0</v>
          </cell>
        </row>
        <row r="2928">
          <cell r="A2928">
            <v>0</v>
          </cell>
          <cell r="B2928">
            <v>0</v>
          </cell>
        </row>
        <row r="2929">
          <cell r="A2929">
            <v>0</v>
          </cell>
          <cell r="B2929">
            <v>0</v>
          </cell>
        </row>
        <row r="2930">
          <cell r="A2930">
            <v>0</v>
          </cell>
          <cell r="B2930">
            <v>0</v>
          </cell>
        </row>
        <row r="2931">
          <cell r="A2931">
            <v>0</v>
          </cell>
          <cell r="B2931">
            <v>0</v>
          </cell>
        </row>
        <row r="2932">
          <cell r="A2932">
            <v>0</v>
          </cell>
          <cell r="B2932">
            <v>0</v>
          </cell>
        </row>
        <row r="2933">
          <cell r="A2933">
            <v>0</v>
          </cell>
          <cell r="B2933">
            <v>0</v>
          </cell>
        </row>
        <row r="2934">
          <cell r="A2934">
            <v>0</v>
          </cell>
          <cell r="B2934">
            <v>0</v>
          </cell>
        </row>
        <row r="2935">
          <cell r="A2935">
            <v>0</v>
          </cell>
          <cell r="B2935">
            <v>0</v>
          </cell>
        </row>
        <row r="2936">
          <cell r="A2936">
            <v>0</v>
          </cell>
          <cell r="B2936">
            <v>0</v>
          </cell>
        </row>
        <row r="2937">
          <cell r="A2937">
            <v>0</v>
          </cell>
          <cell r="B2937">
            <v>0</v>
          </cell>
        </row>
        <row r="2938">
          <cell r="A2938">
            <v>0</v>
          </cell>
          <cell r="B2938">
            <v>0</v>
          </cell>
        </row>
        <row r="2939">
          <cell r="A2939">
            <v>0</v>
          </cell>
          <cell r="B2939">
            <v>0</v>
          </cell>
        </row>
        <row r="2940">
          <cell r="A2940">
            <v>0</v>
          </cell>
          <cell r="B2940">
            <v>0</v>
          </cell>
        </row>
        <row r="2941">
          <cell r="A2941">
            <v>0</v>
          </cell>
          <cell r="B2941">
            <v>0</v>
          </cell>
        </row>
        <row r="2942">
          <cell r="A2942">
            <v>0</v>
          </cell>
          <cell r="B2942">
            <v>0</v>
          </cell>
        </row>
        <row r="2943">
          <cell r="A2943">
            <v>0</v>
          </cell>
          <cell r="B2943">
            <v>0</v>
          </cell>
        </row>
        <row r="2944">
          <cell r="A2944">
            <v>0</v>
          </cell>
          <cell r="B2944">
            <v>0</v>
          </cell>
        </row>
        <row r="2945">
          <cell r="A2945">
            <v>0</v>
          </cell>
          <cell r="B2945">
            <v>0</v>
          </cell>
        </row>
        <row r="2946">
          <cell r="A2946">
            <v>0</v>
          </cell>
          <cell r="B2946">
            <v>0</v>
          </cell>
        </row>
        <row r="2947">
          <cell r="A2947">
            <v>0</v>
          </cell>
          <cell r="B2947">
            <v>0</v>
          </cell>
        </row>
        <row r="2948">
          <cell r="A2948">
            <v>0</v>
          </cell>
          <cell r="B2948">
            <v>0</v>
          </cell>
        </row>
        <row r="2949">
          <cell r="A2949">
            <v>0</v>
          </cell>
          <cell r="B2949">
            <v>0</v>
          </cell>
        </row>
        <row r="2950">
          <cell r="A2950">
            <v>0</v>
          </cell>
          <cell r="B2950">
            <v>0</v>
          </cell>
        </row>
        <row r="2951">
          <cell r="A2951">
            <v>0</v>
          </cell>
          <cell r="B2951">
            <v>0</v>
          </cell>
        </row>
        <row r="2952">
          <cell r="A2952">
            <v>0</v>
          </cell>
          <cell r="B2952">
            <v>0</v>
          </cell>
        </row>
        <row r="2953">
          <cell r="A2953">
            <v>0</v>
          </cell>
          <cell r="B2953">
            <v>0</v>
          </cell>
        </row>
        <row r="2954">
          <cell r="A2954">
            <v>0</v>
          </cell>
          <cell r="B2954">
            <v>0</v>
          </cell>
        </row>
        <row r="2955">
          <cell r="A2955">
            <v>0</v>
          </cell>
          <cell r="B2955">
            <v>0</v>
          </cell>
        </row>
        <row r="2956">
          <cell r="A2956">
            <v>0</v>
          </cell>
          <cell r="B2956">
            <v>0</v>
          </cell>
        </row>
        <row r="2957">
          <cell r="A2957">
            <v>0</v>
          </cell>
          <cell r="B2957">
            <v>0</v>
          </cell>
        </row>
        <row r="2958">
          <cell r="A2958">
            <v>0</v>
          </cell>
          <cell r="B2958">
            <v>0</v>
          </cell>
        </row>
        <row r="2959">
          <cell r="A2959">
            <v>0</v>
          </cell>
          <cell r="B2959">
            <v>0</v>
          </cell>
        </row>
        <row r="2960">
          <cell r="A2960">
            <v>0</v>
          </cell>
          <cell r="B2960">
            <v>0</v>
          </cell>
        </row>
        <row r="2961">
          <cell r="A2961">
            <v>0</v>
          </cell>
          <cell r="B2961">
            <v>0</v>
          </cell>
        </row>
        <row r="2962">
          <cell r="A2962">
            <v>0</v>
          </cell>
          <cell r="B2962">
            <v>0</v>
          </cell>
        </row>
        <row r="2963">
          <cell r="A2963">
            <v>0</v>
          </cell>
          <cell r="B2963">
            <v>0</v>
          </cell>
        </row>
        <row r="2964">
          <cell r="A2964">
            <v>0</v>
          </cell>
          <cell r="B2964">
            <v>0</v>
          </cell>
        </row>
        <row r="2965">
          <cell r="A2965">
            <v>0</v>
          </cell>
          <cell r="B2965">
            <v>0</v>
          </cell>
        </row>
        <row r="2966">
          <cell r="A2966">
            <v>0</v>
          </cell>
          <cell r="B2966">
            <v>0</v>
          </cell>
        </row>
        <row r="2967">
          <cell r="A2967">
            <v>0</v>
          </cell>
          <cell r="B2967">
            <v>0</v>
          </cell>
        </row>
        <row r="2968">
          <cell r="A2968">
            <v>0</v>
          </cell>
          <cell r="B2968">
            <v>0</v>
          </cell>
        </row>
        <row r="2969">
          <cell r="A2969">
            <v>0</v>
          </cell>
          <cell r="B2969">
            <v>0</v>
          </cell>
        </row>
        <row r="2970">
          <cell r="A2970">
            <v>0</v>
          </cell>
          <cell r="B2970">
            <v>0</v>
          </cell>
        </row>
        <row r="2971">
          <cell r="A2971">
            <v>0</v>
          </cell>
          <cell r="B2971">
            <v>0</v>
          </cell>
        </row>
        <row r="2972">
          <cell r="A2972">
            <v>0</v>
          </cell>
          <cell r="B2972">
            <v>0</v>
          </cell>
        </row>
        <row r="2973">
          <cell r="A2973">
            <v>0</v>
          </cell>
          <cell r="B2973">
            <v>0</v>
          </cell>
        </row>
        <row r="2974">
          <cell r="A2974">
            <v>0</v>
          </cell>
          <cell r="B2974">
            <v>0</v>
          </cell>
        </row>
        <row r="2975">
          <cell r="A2975">
            <v>0</v>
          </cell>
          <cell r="B2975">
            <v>0</v>
          </cell>
        </row>
        <row r="2976">
          <cell r="A2976">
            <v>0</v>
          </cell>
          <cell r="B2976">
            <v>0</v>
          </cell>
        </row>
        <row r="2977">
          <cell r="A2977">
            <v>0</v>
          </cell>
          <cell r="B2977">
            <v>0</v>
          </cell>
        </row>
        <row r="2978">
          <cell r="A2978">
            <v>0</v>
          </cell>
          <cell r="B2978">
            <v>0</v>
          </cell>
        </row>
        <row r="2979">
          <cell r="A2979">
            <v>0</v>
          </cell>
          <cell r="B2979">
            <v>0</v>
          </cell>
        </row>
        <row r="2980">
          <cell r="A2980">
            <v>0</v>
          </cell>
          <cell r="B2980">
            <v>0</v>
          </cell>
        </row>
        <row r="2981">
          <cell r="A2981">
            <v>0</v>
          </cell>
          <cell r="B2981">
            <v>0</v>
          </cell>
        </row>
        <row r="2982">
          <cell r="A2982">
            <v>0</v>
          </cell>
          <cell r="B2982">
            <v>0</v>
          </cell>
        </row>
        <row r="2983">
          <cell r="A2983">
            <v>0</v>
          </cell>
          <cell r="B2983">
            <v>0</v>
          </cell>
        </row>
        <row r="2984">
          <cell r="A2984">
            <v>0</v>
          </cell>
          <cell r="B2984">
            <v>0</v>
          </cell>
        </row>
        <row r="2985">
          <cell r="A2985">
            <v>0</v>
          </cell>
          <cell r="B2985">
            <v>0</v>
          </cell>
        </row>
        <row r="2986">
          <cell r="A2986">
            <v>0</v>
          </cell>
          <cell r="B2986">
            <v>0</v>
          </cell>
        </row>
        <row r="2987">
          <cell r="A2987">
            <v>0</v>
          </cell>
          <cell r="B2987">
            <v>0</v>
          </cell>
        </row>
        <row r="2988">
          <cell r="A2988">
            <v>0</v>
          </cell>
          <cell r="B2988">
            <v>0</v>
          </cell>
        </row>
        <row r="2989">
          <cell r="A2989">
            <v>0</v>
          </cell>
          <cell r="B2989">
            <v>0</v>
          </cell>
        </row>
        <row r="2990">
          <cell r="A2990">
            <v>0</v>
          </cell>
          <cell r="B2990">
            <v>0</v>
          </cell>
        </row>
        <row r="2991">
          <cell r="A2991">
            <v>0</v>
          </cell>
          <cell r="B2991">
            <v>0</v>
          </cell>
        </row>
        <row r="2992">
          <cell r="A2992">
            <v>0</v>
          </cell>
          <cell r="B2992">
            <v>0</v>
          </cell>
        </row>
        <row r="2993">
          <cell r="A2993">
            <v>0</v>
          </cell>
          <cell r="B2993">
            <v>0</v>
          </cell>
        </row>
        <row r="2994">
          <cell r="A2994">
            <v>0</v>
          </cell>
          <cell r="B2994">
            <v>0</v>
          </cell>
        </row>
        <row r="2995">
          <cell r="A2995">
            <v>0</v>
          </cell>
          <cell r="B2995">
            <v>0</v>
          </cell>
        </row>
        <row r="2996">
          <cell r="A2996">
            <v>0</v>
          </cell>
          <cell r="B2996">
            <v>0</v>
          </cell>
        </row>
        <row r="2997">
          <cell r="A2997">
            <v>0</v>
          </cell>
          <cell r="B2997">
            <v>0</v>
          </cell>
        </row>
        <row r="2998">
          <cell r="A2998">
            <v>0</v>
          </cell>
          <cell r="B2998">
            <v>0</v>
          </cell>
        </row>
        <row r="2999">
          <cell r="A2999">
            <v>0</v>
          </cell>
          <cell r="B2999">
            <v>0</v>
          </cell>
        </row>
        <row r="3000">
          <cell r="A3000">
            <v>0</v>
          </cell>
          <cell r="B3000">
            <v>0</v>
          </cell>
        </row>
        <row r="3001">
          <cell r="A3001">
            <v>0</v>
          </cell>
          <cell r="B3001">
            <v>0</v>
          </cell>
        </row>
        <row r="3002">
          <cell r="A3002">
            <v>0</v>
          </cell>
          <cell r="B3002">
            <v>0</v>
          </cell>
        </row>
        <row r="3003">
          <cell r="A3003">
            <v>0</v>
          </cell>
          <cell r="B3003">
            <v>0</v>
          </cell>
        </row>
        <row r="3004">
          <cell r="A3004">
            <v>0</v>
          </cell>
          <cell r="B3004">
            <v>0</v>
          </cell>
        </row>
        <row r="3005">
          <cell r="A3005">
            <v>0</v>
          </cell>
          <cell r="B3005">
            <v>0</v>
          </cell>
        </row>
        <row r="3006">
          <cell r="A3006">
            <v>0</v>
          </cell>
          <cell r="B3006">
            <v>0</v>
          </cell>
        </row>
        <row r="3007">
          <cell r="A3007">
            <v>0</v>
          </cell>
          <cell r="B3007">
            <v>0</v>
          </cell>
        </row>
        <row r="3008">
          <cell r="A3008">
            <v>0</v>
          </cell>
          <cell r="B3008">
            <v>0</v>
          </cell>
        </row>
        <row r="3009">
          <cell r="A3009">
            <v>0</v>
          </cell>
          <cell r="B3009">
            <v>0</v>
          </cell>
        </row>
        <row r="3010">
          <cell r="A3010">
            <v>0</v>
          </cell>
          <cell r="B3010">
            <v>0</v>
          </cell>
        </row>
        <row r="3011">
          <cell r="A3011">
            <v>0</v>
          </cell>
          <cell r="B3011">
            <v>0</v>
          </cell>
        </row>
        <row r="3012">
          <cell r="A3012">
            <v>0</v>
          </cell>
          <cell r="B3012">
            <v>0</v>
          </cell>
        </row>
        <row r="3013">
          <cell r="A3013">
            <v>0</v>
          </cell>
          <cell r="B3013">
            <v>0</v>
          </cell>
        </row>
        <row r="3014">
          <cell r="A3014">
            <v>0</v>
          </cell>
          <cell r="B3014">
            <v>0</v>
          </cell>
        </row>
        <row r="3015">
          <cell r="A3015">
            <v>0</v>
          </cell>
          <cell r="B3015">
            <v>0</v>
          </cell>
        </row>
        <row r="3016">
          <cell r="A3016">
            <v>0</v>
          </cell>
          <cell r="B3016">
            <v>0</v>
          </cell>
        </row>
        <row r="3017">
          <cell r="A3017">
            <v>0</v>
          </cell>
          <cell r="B3017">
            <v>0</v>
          </cell>
        </row>
        <row r="3018">
          <cell r="A3018">
            <v>0</v>
          </cell>
          <cell r="B3018">
            <v>0</v>
          </cell>
        </row>
        <row r="3019">
          <cell r="A3019">
            <v>0</v>
          </cell>
          <cell r="B3019">
            <v>0</v>
          </cell>
        </row>
        <row r="3020">
          <cell r="A3020">
            <v>0</v>
          </cell>
          <cell r="B3020">
            <v>0</v>
          </cell>
        </row>
        <row r="3021">
          <cell r="A3021">
            <v>0</v>
          </cell>
          <cell r="B3021">
            <v>0</v>
          </cell>
        </row>
        <row r="3022">
          <cell r="A3022">
            <v>0</v>
          </cell>
          <cell r="B3022">
            <v>0</v>
          </cell>
        </row>
        <row r="3023">
          <cell r="A3023">
            <v>0</v>
          </cell>
          <cell r="B3023">
            <v>0</v>
          </cell>
        </row>
        <row r="3024">
          <cell r="A3024">
            <v>0</v>
          </cell>
          <cell r="B3024">
            <v>0</v>
          </cell>
        </row>
        <row r="3025">
          <cell r="A3025">
            <v>0</v>
          </cell>
          <cell r="B3025">
            <v>0</v>
          </cell>
        </row>
        <row r="3026">
          <cell r="A3026">
            <v>0</v>
          </cell>
          <cell r="B3026">
            <v>0</v>
          </cell>
        </row>
        <row r="3027">
          <cell r="A3027">
            <v>0</v>
          </cell>
          <cell r="B3027">
            <v>0</v>
          </cell>
        </row>
        <row r="3028">
          <cell r="A3028">
            <v>0</v>
          </cell>
          <cell r="B3028">
            <v>0</v>
          </cell>
        </row>
        <row r="3029">
          <cell r="A3029">
            <v>0</v>
          </cell>
          <cell r="B3029">
            <v>0</v>
          </cell>
        </row>
        <row r="3030">
          <cell r="A3030">
            <v>0</v>
          </cell>
          <cell r="B3030">
            <v>0</v>
          </cell>
        </row>
        <row r="3031">
          <cell r="A3031">
            <v>0</v>
          </cell>
          <cell r="B3031">
            <v>0</v>
          </cell>
        </row>
        <row r="3032">
          <cell r="A3032">
            <v>0</v>
          </cell>
          <cell r="B3032">
            <v>0</v>
          </cell>
        </row>
        <row r="3033">
          <cell r="A3033">
            <v>0</v>
          </cell>
          <cell r="B3033">
            <v>0</v>
          </cell>
        </row>
        <row r="3034">
          <cell r="A3034">
            <v>0</v>
          </cell>
          <cell r="B3034">
            <v>0</v>
          </cell>
        </row>
        <row r="3035">
          <cell r="A3035">
            <v>0</v>
          </cell>
          <cell r="B3035">
            <v>0</v>
          </cell>
        </row>
        <row r="3036">
          <cell r="A3036">
            <v>0</v>
          </cell>
          <cell r="B3036">
            <v>0</v>
          </cell>
        </row>
        <row r="3037">
          <cell r="A3037">
            <v>0</v>
          </cell>
          <cell r="B3037">
            <v>0</v>
          </cell>
        </row>
        <row r="3038">
          <cell r="A3038">
            <v>0</v>
          </cell>
          <cell r="B3038">
            <v>0</v>
          </cell>
        </row>
        <row r="3039">
          <cell r="A3039">
            <v>0</v>
          </cell>
          <cell r="B3039">
            <v>0</v>
          </cell>
        </row>
        <row r="3040">
          <cell r="A3040">
            <v>0</v>
          </cell>
          <cell r="B3040">
            <v>0</v>
          </cell>
        </row>
        <row r="3041">
          <cell r="A3041">
            <v>0</v>
          </cell>
          <cell r="B3041">
            <v>0</v>
          </cell>
        </row>
        <row r="3042">
          <cell r="A3042">
            <v>0</v>
          </cell>
          <cell r="B3042">
            <v>0</v>
          </cell>
        </row>
        <row r="3043">
          <cell r="A3043">
            <v>0</v>
          </cell>
          <cell r="B3043">
            <v>0</v>
          </cell>
        </row>
        <row r="3044">
          <cell r="A3044">
            <v>0</v>
          </cell>
          <cell r="B3044">
            <v>0</v>
          </cell>
        </row>
        <row r="3045">
          <cell r="A3045">
            <v>0</v>
          </cell>
          <cell r="B3045">
            <v>0</v>
          </cell>
        </row>
        <row r="3046">
          <cell r="A3046">
            <v>0</v>
          </cell>
          <cell r="B3046">
            <v>0</v>
          </cell>
        </row>
        <row r="3047">
          <cell r="A3047">
            <v>0</v>
          </cell>
          <cell r="B3047">
            <v>0</v>
          </cell>
        </row>
        <row r="3048">
          <cell r="A3048">
            <v>0</v>
          </cell>
          <cell r="B3048">
            <v>0</v>
          </cell>
        </row>
        <row r="3049">
          <cell r="A3049">
            <v>0</v>
          </cell>
          <cell r="B3049">
            <v>0</v>
          </cell>
        </row>
        <row r="3050">
          <cell r="A3050">
            <v>0</v>
          </cell>
          <cell r="B3050">
            <v>0</v>
          </cell>
        </row>
        <row r="3051">
          <cell r="A3051">
            <v>0</v>
          </cell>
          <cell r="B3051">
            <v>0</v>
          </cell>
        </row>
        <row r="3052">
          <cell r="A3052">
            <v>0</v>
          </cell>
          <cell r="B3052">
            <v>0</v>
          </cell>
        </row>
        <row r="3053">
          <cell r="A3053">
            <v>0</v>
          </cell>
          <cell r="B3053">
            <v>0</v>
          </cell>
        </row>
        <row r="3054">
          <cell r="A3054">
            <v>0</v>
          </cell>
          <cell r="B3054">
            <v>0</v>
          </cell>
        </row>
        <row r="3055">
          <cell r="A3055">
            <v>0</v>
          </cell>
          <cell r="B3055">
            <v>0</v>
          </cell>
        </row>
        <row r="3056">
          <cell r="A3056">
            <v>0</v>
          </cell>
          <cell r="B3056">
            <v>0</v>
          </cell>
        </row>
        <row r="3057">
          <cell r="A3057">
            <v>0</v>
          </cell>
          <cell r="B3057">
            <v>0</v>
          </cell>
        </row>
        <row r="3058">
          <cell r="A3058">
            <v>0</v>
          </cell>
          <cell r="B3058">
            <v>0</v>
          </cell>
        </row>
        <row r="3059">
          <cell r="A3059">
            <v>0</v>
          </cell>
          <cell r="B3059">
            <v>0</v>
          </cell>
        </row>
        <row r="3060">
          <cell r="A3060">
            <v>0</v>
          </cell>
          <cell r="B3060">
            <v>0</v>
          </cell>
        </row>
        <row r="3061">
          <cell r="A3061">
            <v>0</v>
          </cell>
          <cell r="B3061">
            <v>0</v>
          </cell>
        </row>
        <row r="3062">
          <cell r="A3062">
            <v>0</v>
          </cell>
          <cell r="B3062">
            <v>0</v>
          </cell>
        </row>
        <row r="3063">
          <cell r="A3063">
            <v>0</v>
          </cell>
          <cell r="B3063">
            <v>0</v>
          </cell>
        </row>
        <row r="3064">
          <cell r="A3064">
            <v>0</v>
          </cell>
          <cell r="B3064">
            <v>0</v>
          </cell>
        </row>
        <row r="3065">
          <cell r="A3065">
            <v>0</v>
          </cell>
          <cell r="B3065">
            <v>0</v>
          </cell>
        </row>
        <row r="3066">
          <cell r="A3066">
            <v>0</v>
          </cell>
          <cell r="B3066">
            <v>0</v>
          </cell>
        </row>
        <row r="3067">
          <cell r="A3067">
            <v>0</v>
          </cell>
          <cell r="B3067">
            <v>0</v>
          </cell>
        </row>
        <row r="3068">
          <cell r="A3068">
            <v>0</v>
          </cell>
          <cell r="B3068">
            <v>0</v>
          </cell>
        </row>
        <row r="3069">
          <cell r="A3069">
            <v>0</v>
          </cell>
          <cell r="B3069">
            <v>0</v>
          </cell>
        </row>
        <row r="3070">
          <cell r="A3070">
            <v>0</v>
          </cell>
          <cell r="B3070">
            <v>0</v>
          </cell>
        </row>
        <row r="3071">
          <cell r="A3071">
            <v>0</v>
          </cell>
          <cell r="B3071">
            <v>0</v>
          </cell>
        </row>
        <row r="3072">
          <cell r="A3072">
            <v>0</v>
          </cell>
          <cell r="B3072">
            <v>0</v>
          </cell>
        </row>
        <row r="3073">
          <cell r="A3073">
            <v>0</v>
          </cell>
          <cell r="B3073">
            <v>0</v>
          </cell>
        </row>
        <row r="3074">
          <cell r="A3074">
            <v>0</v>
          </cell>
          <cell r="B3074">
            <v>0</v>
          </cell>
        </row>
        <row r="3075">
          <cell r="A3075">
            <v>0</v>
          </cell>
          <cell r="B3075">
            <v>0</v>
          </cell>
        </row>
        <row r="3076">
          <cell r="A3076">
            <v>0</v>
          </cell>
          <cell r="B3076">
            <v>0</v>
          </cell>
        </row>
        <row r="3077">
          <cell r="A3077">
            <v>0</v>
          </cell>
          <cell r="B3077">
            <v>0</v>
          </cell>
        </row>
        <row r="3078">
          <cell r="A3078">
            <v>0</v>
          </cell>
          <cell r="B3078">
            <v>0</v>
          </cell>
        </row>
        <row r="3079">
          <cell r="A3079">
            <v>0</v>
          </cell>
          <cell r="B3079">
            <v>0</v>
          </cell>
        </row>
        <row r="3080">
          <cell r="A3080">
            <v>0</v>
          </cell>
          <cell r="B3080">
            <v>0</v>
          </cell>
        </row>
        <row r="3081">
          <cell r="A3081">
            <v>0</v>
          </cell>
          <cell r="B3081">
            <v>0</v>
          </cell>
        </row>
        <row r="3082">
          <cell r="A3082">
            <v>0</v>
          </cell>
          <cell r="B3082">
            <v>0</v>
          </cell>
        </row>
        <row r="3083">
          <cell r="A3083">
            <v>0</v>
          </cell>
          <cell r="B3083">
            <v>0</v>
          </cell>
        </row>
        <row r="3084">
          <cell r="A3084">
            <v>0</v>
          </cell>
          <cell r="B3084">
            <v>0</v>
          </cell>
        </row>
        <row r="3085">
          <cell r="A3085">
            <v>0</v>
          </cell>
          <cell r="B3085">
            <v>0</v>
          </cell>
        </row>
        <row r="3086">
          <cell r="A3086">
            <v>0</v>
          </cell>
          <cell r="B3086">
            <v>0</v>
          </cell>
        </row>
        <row r="3087">
          <cell r="A3087">
            <v>0</v>
          </cell>
          <cell r="B3087">
            <v>0</v>
          </cell>
        </row>
        <row r="3088">
          <cell r="A3088">
            <v>0</v>
          </cell>
          <cell r="B3088">
            <v>0</v>
          </cell>
        </row>
        <row r="3089">
          <cell r="A3089">
            <v>0</v>
          </cell>
          <cell r="B3089">
            <v>0</v>
          </cell>
        </row>
        <row r="3090">
          <cell r="A3090">
            <v>0</v>
          </cell>
          <cell r="B3090">
            <v>0</v>
          </cell>
        </row>
        <row r="3091">
          <cell r="A3091">
            <v>0</v>
          </cell>
          <cell r="B3091">
            <v>0</v>
          </cell>
        </row>
        <row r="3092">
          <cell r="A3092">
            <v>0</v>
          </cell>
          <cell r="B3092">
            <v>0</v>
          </cell>
        </row>
        <row r="3093">
          <cell r="A3093">
            <v>0</v>
          </cell>
          <cell r="B3093">
            <v>0</v>
          </cell>
        </row>
        <row r="3094">
          <cell r="A3094">
            <v>0</v>
          </cell>
          <cell r="B3094">
            <v>0</v>
          </cell>
        </row>
        <row r="3095">
          <cell r="A3095">
            <v>0</v>
          </cell>
          <cell r="B3095">
            <v>0</v>
          </cell>
        </row>
        <row r="3096">
          <cell r="A3096">
            <v>0</v>
          </cell>
          <cell r="B3096">
            <v>0</v>
          </cell>
        </row>
        <row r="3097">
          <cell r="A3097">
            <v>0</v>
          </cell>
          <cell r="B3097">
            <v>0</v>
          </cell>
        </row>
        <row r="3098">
          <cell r="A3098">
            <v>0</v>
          </cell>
          <cell r="B3098">
            <v>0</v>
          </cell>
        </row>
        <row r="3099">
          <cell r="A3099">
            <v>0</v>
          </cell>
          <cell r="B3099">
            <v>0</v>
          </cell>
        </row>
        <row r="3100">
          <cell r="A3100">
            <v>0</v>
          </cell>
          <cell r="B3100">
            <v>0</v>
          </cell>
        </row>
        <row r="3101">
          <cell r="A3101">
            <v>0</v>
          </cell>
          <cell r="B3101">
            <v>0</v>
          </cell>
        </row>
        <row r="3102">
          <cell r="A3102">
            <v>0</v>
          </cell>
          <cell r="B3102">
            <v>0</v>
          </cell>
        </row>
        <row r="3103">
          <cell r="A3103">
            <v>0</v>
          </cell>
          <cell r="B3103">
            <v>0</v>
          </cell>
        </row>
        <row r="3104">
          <cell r="A3104">
            <v>0</v>
          </cell>
          <cell r="B3104">
            <v>0</v>
          </cell>
        </row>
        <row r="3105">
          <cell r="A3105">
            <v>0</v>
          </cell>
          <cell r="B3105">
            <v>0</v>
          </cell>
        </row>
        <row r="3106">
          <cell r="A3106">
            <v>0</v>
          </cell>
          <cell r="B3106">
            <v>0</v>
          </cell>
        </row>
        <row r="3107">
          <cell r="A3107">
            <v>0</v>
          </cell>
          <cell r="B3107">
            <v>0</v>
          </cell>
        </row>
        <row r="3108">
          <cell r="A3108">
            <v>0</v>
          </cell>
          <cell r="B3108">
            <v>0</v>
          </cell>
        </row>
        <row r="3109">
          <cell r="A3109">
            <v>0</v>
          </cell>
          <cell r="B3109">
            <v>0</v>
          </cell>
        </row>
        <row r="3110">
          <cell r="A3110">
            <v>0</v>
          </cell>
          <cell r="B3110">
            <v>0</v>
          </cell>
        </row>
        <row r="3111">
          <cell r="A3111">
            <v>0</v>
          </cell>
          <cell r="B3111">
            <v>0</v>
          </cell>
        </row>
        <row r="3112">
          <cell r="A3112">
            <v>0</v>
          </cell>
          <cell r="B3112">
            <v>0</v>
          </cell>
        </row>
        <row r="3113">
          <cell r="A3113">
            <v>0</v>
          </cell>
          <cell r="B3113">
            <v>0</v>
          </cell>
        </row>
        <row r="3114">
          <cell r="A3114">
            <v>0</v>
          </cell>
          <cell r="B3114">
            <v>0</v>
          </cell>
        </row>
        <row r="3115">
          <cell r="A3115">
            <v>0</v>
          </cell>
          <cell r="B3115">
            <v>0</v>
          </cell>
        </row>
        <row r="3116">
          <cell r="A3116">
            <v>0</v>
          </cell>
          <cell r="B3116">
            <v>0</v>
          </cell>
        </row>
        <row r="3117">
          <cell r="A3117">
            <v>0</v>
          </cell>
          <cell r="B3117">
            <v>0</v>
          </cell>
        </row>
        <row r="3118">
          <cell r="A3118">
            <v>0</v>
          </cell>
          <cell r="B3118">
            <v>0</v>
          </cell>
        </row>
        <row r="3119">
          <cell r="A3119">
            <v>0</v>
          </cell>
          <cell r="B3119">
            <v>0</v>
          </cell>
        </row>
        <row r="3120">
          <cell r="A3120">
            <v>0</v>
          </cell>
          <cell r="B3120">
            <v>0</v>
          </cell>
        </row>
        <row r="3121">
          <cell r="A3121">
            <v>0</v>
          </cell>
          <cell r="B3121">
            <v>0</v>
          </cell>
        </row>
        <row r="3122">
          <cell r="A3122">
            <v>0</v>
          </cell>
          <cell r="B3122">
            <v>0</v>
          </cell>
        </row>
        <row r="3123">
          <cell r="A3123">
            <v>0</v>
          </cell>
          <cell r="B3123">
            <v>0</v>
          </cell>
        </row>
        <row r="3124">
          <cell r="A3124">
            <v>0</v>
          </cell>
          <cell r="B3124">
            <v>0</v>
          </cell>
        </row>
        <row r="3125">
          <cell r="A3125">
            <v>0</v>
          </cell>
          <cell r="B3125">
            <v>0</v>
          </cell>
        </row>
        <row r="3126">
          <cell r="A3126">
            <v>0</v>
          </cell>
          <cell r="B3126">
            <v>0</v>
          </cell>
        </row>
        <row r="3127">
          <cell r="A3127">
            <v>0</v>
          </cell>
          <cell r="B3127">
            <v>0</v>
          </cell>
        </row>
        <row r="3128">
          <cell r="A3128">
            <v>0</v>
          </cell>
          <cell r="B3128">
            <v>0</v>
          </cell>
        </row>
        <row r="3129">
          <cell r="A3129">
            <v>0</v>
          </cell>
          <cell r="B3129">
            <v>0</v>
          </cell>
        </row>
        <row r="3130">
          <cell r="A3130">
            <v>0</v>
          </cell>
          <cell r="B3130">
            <v>0</v>
          </cell>
        </row>
        <row r="3131">
          <cell r="A3131">
            <v>0</v>
          </cell>
          <cell r="B3131">
            <v>0</v>
          </cell>
        </row>
        <row r="3132">
          <cell r="A3132">
            <v>0</v>
          </cell>
          <cell r="B3132">
            <v>0</v>
          </cell>
        </row>
        <row r="3133">
          <cell r="A3133">
            <v>0</v>
          </cell>
          <cell r="B3133">
            <v>0</v>
          </cell>
        </row>
        <row r="3134">
          <cell r="A3134">
            <v>0</v>
          </cell>
          <cell r="B3134">
            <v>0</v>
          </cell>
        </row>
        <row r="3135">
          <cell r="A3135">
            <v>0</v>
          </cell>
          <cell r="B3135">
            <v>0</v>
          </cell>
        </row>
        <row r="3136">
          <cell r="A3136">
            <v>0</v>
          </cell>
          <cell r="B3136">
            <v>0</v>
          </cell>
        </row>
        <row r="3137">
          <cell r="A3137">
            <v>0</v>
          </cell>
          <cell r="B3137">
            <v>0</v>
          </cell>
        </row>
        <row r="3138">
          <cell r="A3138">
            <v>0</v>
          </cell>
          <cell r="B3138">
            <v>0</v>
          </cell>
        </row>
        <row r="3139">
          <cell r="A3139">
            <v>0</v>
          </cell>
          <cell r="B3139">
            <v>0</v>
          </cell>
        </row>
        <row r="3140">
          <cell r="A3140">
            <v>0</v>
          </cell>
          <cell r="B3140">
            <v>0</v>
          </cell>
        </row>
        <row r="3141">
          <cell r="A3141">
            <v>0</v>
          </cell>
          <cell r="B3141">
            <v>0</v>
          </cell>
        </row>
        <row r="3142">
          <cell r="A3142">
            <v>0</v>
          </cell>
          <cell r="B3142">
            <v>0</v>
          </cell>
        </row>
        <row r="3143">
          <cell r="A3143">
            <v>0</v>
          </cell>
          <cell r="B3143">
            <v>0</v>
          </cell>
        </row>
        <row r="3144">
          <cell r="A3144">
            <v>0</v>
          </cell>
          <cell r="B3144">
            <v>0</v>
          </cell>
        </row>
        <row r="3145">
          <cell r="A3145">
            <v>0</v>
          </cell>
          <cell r="B3145">
            <v>0</v>
          </cell>
        </row>
        <row r="3146">
          <cell r="A3146">
            <v>0</v>
          </cell>
          <cell r="B3146">
            <v>0</v>
          </cell>
        </row>
        <row r="3147">
          <cell r="A3147">
            <v>0</v>
          </cell>
          <cell r="B3147">
            <v>0</v>
          </cell>
        </row>
        <row r="3148">
          <cell r="A3148">
            <v>0</v>
          </cell>
          <cell r="B3148">
            <v>0</v>
          </cell>
        </row>
        <row r="3149">
          <cell r="A3149">
            <v>0</v>
          </cell>
          <cell r="B3149">
            <v>0</v>
          </cell>
        </row>
        <row r="3150">
          <cell r="A3150">
            <v>0</v>
          </cell>
          <cell r="B3150">
            <v>0</v>
          </cell>
        </row>
        <row r="3151">
          <cell r="A3151">
            <v>0</v>
          </cell>
          <cell r="B3151">
            <v>0</v>
          </cell>
        </row>
        <row r="3152">
          <cell r="A3152">
            <v>0</v>
          </cell>
          <cell r="B3152">
            <v>0</v>
          </cell>
        </row>
        <row r="3153">
          <cell r="A3153">
            <v>0</v>
          </cell>
          <cell r="B3153">
            <v>0</v>
          </cell>
        </row>
        <row r="3154">
          <cell r="A3154">
            <v>0</v>
          </cell>
          <cell r="B3154">
            <v>0</v>
          </cell>
        </row>
        <row r="3155">
          <cell r="A3155">
            <v>0</v>
          </cell>
          <cell r="B3155">
            <v>0</v>
          </cell>
        </row>
        <row r="3156">
          <cell r="A3156">
            <v>0</v>
          </cell>
          <cell r="B3156">
            <v>0</v>
          </cell>
        </row>
        <row r="3157">
          <cell r="A3157">
            <v>0</v>
          </cell>
          <cell r="B3157">
            <v>0</v>
          </cell>
        </row>
        <row r="3158">
          <cell r="A3158">
            <v>0</v>
          </cell>
          <cell r="B3158">
            <v>0</v>
          </cell>
        </row>
        <row r="3159">
          <cell r="A3159">
            <v>0</v>
          </cell>
          <cell r="B3159">
            <v>0</v>
          </cell>
        </row>
        <row r="3160">
          <cell r="A3160">
            <v>0</v>
          </cell>
          <cell r="B3160">
            <v>0</v>
          </cell>
        </row>
        <row r="3161">
          <cell r="A3161">
            <v>0</v>
          </cell>
          <cell r="B3161">
            <v>0</v>
          </cell>
        </row>
        <row r="3162">
          <cell r="A3162">
            <v>0</v>
          </cell>
          <cell r="B3162">
            <v>0</v>
          </cell>
        </row>
        <row r="3163">
          <cell r="A3163">
            <v>0</v>
          </cell>
          <cell r="B3163">
            <v>0</v>
          </cell>
        </row>
        <row r="3164">
          <cell r="A3164">
            <v>0</v>
          </cell>
          <cell r="B3164">
            <v>0</v>
          </cell>
        </row>
        <row r="3165">
          <cell r="A3165">
            <v>0</v>
          </cell>
          <cell r="B3165">
            <v>0</v>
          </cell>
        </row>
        <row r="3166">
          <cell r="A3166">
            <v>0</v>
          </cell>
          <cell r="B3166">
            <v>0</v>
          </cell>
        </row>
        <row r="3167">
          <cell r="A3167">
            <v>0</v>
          </cell>
          <cell r="B3167">
            <v>0</v>
          </cell>
        </row>
        <row r="3168">
          <cell r="A3168">
            <v>0</v>
          </cell>
          <cell r="B3168">
            <v>0</v>
          </cell>
        </row>
        <row r="3169">
          <cell r="A3169">
            <v>0</v>
          </cell>
          <cell r="B3169">
            <v>0</v>
          </cell>
        </row>
        <row r="3170">
          <cell r="A3170">
            <v>0</v>
          </cell>
          <cell r="B3170">
            <v>0</v>
          </cell>
        </row>
        <row r="3171">
          <cell r="A3171">
            <v>0</v>
          </cell>
          <cell r="B3171">
            <v>0</v>
          </cell>
        </row>
        <row r="3172">
          <cell r="A3172">
            <v>0</v>
          </cell>
          <cell r="B3172">
            <v>0</v>
          </cell>
        </row>
        <row r="3173">
          <cell r="A3173">
            <v>0</v>
          </cell>
          <cell r="B3173">
            <v>0</v>
          </cell>
        </row>
        <row r="3174">
          <cell r="A3174">
            <v>0</v>
          </cell>
          <cell r="B3174">
            <v>0</v>
          </cell>
        </row>
        <row r="3175">
          <cell r="A3175">
            <v>0</v>
          </cell>
          <cell r="B3175">
            <v>0</v>
          </cell>
        </row>
        <row r="3176">
          <cell r="A3176">
            <v>0</v>
          </cell>
          <cell r="B3176">
            <v>0</v>
          </cell>
        </row>
        <row r="3177">
          <cell r="A3177">
            <v>0</v>
          </cell>
          <cell r="B3177">
            <v>0</v>
          </cell>
        </row>
        <row r="3178">
          <cell r="A3178">
            <v>0</v>
          </cell>
          <cell r="B3178">
            <v>0</v>
          </cell>
        </row>
        <row r="3179">
          <cell r="A3179">
            <v>0</v>
          </cell>
          <cell r="B3179">
            <v>0</v>
          </cell>
        </row>
        <row r="3180">
          <cell r="A3180">
            <v>0</v>
          </cell>
          <cell r="B3180">
            <v>0</v>
          </cell>
        </row>
        <row r="3181">
          <cell r="A3181">
            <v>0</v>
          </cell>
          <cell r="B3181">
            <v>0</v>
          </cell>
        </row>
        <row r="3182">
          <cell r="A3182">
            <v>0</v>
          </cell>
          <cell r="B3182">
            <v>0</v>
          </cell>
        </row>
        <row r="3183">
          <cell r="A3183">
            <v>0</v>
          </cell>
          <cell r="B3183">
            <v>0</v>
          </cell>
        </row>
        <row r="3184">
          <cell r="A3184">
            <v>0</v>
          </cell>
          <cell r="B3184">
            <v>0</v>
          </cell>
        </row>
        <row r="3185">
          <cell r="A3185">
            <v>0</v>
          </cell>
          <cell r="B3185">
            <v>0</v>
          </cell>
        </row>
        <row r="3186">
          <cell r="A3186">
            <v>0</v>
          </cell>
          <cell r="B3186">
            <v>0</v>
          </cell>
        </row>
        <row r="3187">
          <cell r="A3187">
            <v>0</v>
          </cell>
          <cell r="B3187">
            <v>0</v>
          </cell>
        </row>
        <row r="3188">
          <cell r="A3188">
            <v>0</v>
          </cell>
          <cell r="B3188">
            <v>0</v>
          </cell>
        </row>
        <row r="3189">
          <cell r="A3189">
            <v>0</v>
          </cell>
          <cell r="B3189">
            <v>0</v>
          </cell>
        </row>
        <row r="3190">
          <cell r="A3190">
            <v>0</v>
          </cell>
          <cell r="B3190">
            <v>0</v>
          </cell>
        </row>
        <row r="3191">
          <cell r="A3191">
            <v>0</v>
          </cell>
          <cell r="B3191">
            <v>0</v>
          </cell>
        </row>
        <row r="3192">
          <cell r="A3192">
            <v>0</v>
          </cell>
          <cell r="B3192">
            <v>0</v>
          </cell>
        </row>
        <row r="3193">
          <cell r="A3193">
            <v>0</v>
          </cell>
          <cell r="B3193">
            <v>0</v>
          </cell>
        </row>
        <row r="3194">
          <cell r="A3194">
            <v>0</v>
          </cell>
          <cell r="B3194">
            <v>0</v>
          </cell>
        </row>
        <row r="3195">
          <cell r="A3195">
            <v>0</v>
          </cell>
          <cell r="B3195">
            <v>0</v>
          </cell>
        </row>
        <row r="3196">
          <cell r="A3196">
            <v>0</v>
          </cell>
          <cell r="B3196">
            <v>0</v>
          </cell>
        </row>
        <row r="3197">
          <cell r="A3197">
            <v>0</v>
          </cell>
          <cell r="B3197">
            <v>0</v>
          </cell>
        </row>
        <row r="3198">
          <cell r="A3198">
            <v>0</v>
          </cell>
          <cell r="B3198">
            <v>0</v>
          </cell>
        </row>
        <row r="3199">
          <cell r="A3199">
            <v>0</v>
          </cell>
          <cell r="B3199">
            <v>0</v>
          </cell>
        </row>
        <row r="3200">
          <cell r="A3200">
            <v>0</v>
          </cell>
          <cell r="B3200">
            <v>0</v>
          </cell>
        </row>
        <row r="3201">
          <cell r="A3201">
            <v>0</v>
          </cell>
          <cell r="B3201">
            <v>0</v>
          </cell>
        </row>
        <row r="3202">
          <cell r="A3202">
            <v>0</v>
          </cell>
          <cell r="B3202">
            <v>0</v>
          </cell>
        </row>
        <row r="3203">
          <cell r="A3203">
            <v>0</v>
          </cell>
          <cell r="B3203">
            <v>0</v>
          </cell>
        </row>
        <row r="3204">
          <cell r="A3204">
            <v>0</v>
          </cell>
          <cell r="B3204">
            <v>0</v>
          </cell>
        </row>
        <row r="3205">
          <cell r="A3205">
            <v>0</v>
          </cell>
          <cell r="B3205">
            <v>0</v>
          </cell>
        </row>
        <row r="3206">
          <cell r="A3206">
            <v>0</v>
          </cell>
          <cell r="B3206">
            <v>0</v>
          </cell>
        </row>
        <row r="3207">
          <cell r="A3207">
            <v>0</v>
          </cell>
          <cell r="B3207">
            <v>0</v>
          </cell>
        </row>
        <row r="3208">
          <cell r="A3208">
            <v>0</v>
          </cell>
          <cell r="B3208">
            <v>0</v>
          </cell>
        </row>
        <row r="3209">
          <cell r="A3209">
            <v>0</v>
          </cell>
          <cell r="B3209">
            <v>0</v>
          </cell>
        </row>
        <row r="3210">
          <cell r="A3210">
            <v>0</v>
          </cell>
          <cell r="B3210">
            <v>0</v>
          </cell>
        </row>
        <row r="3211">
          <cell r="A3211">
            <v>0</v>
          </cell>
          <cell r="B3211">
            <v>0</v>
          </cell>
        </row>
        <row r="3212">
          <cell r="A3212">
            <v>0</v>
          </cell>
          <cell r="B3212">
            <v>0</v>
          </cell>
        </row>
        <row r="3213">
          <cell r="A3213">
            <v>0</v>
          </cell>
          <cell r="B3213">
            <v>0</v>
          </cell>
        </row>
        <row r="3214">
          <cell r="A3214">
            <v>0</v>
          </cell>
          <cell r="B3214">
            <v>0</v>
          </cell>
        </row>
        <row r="3215">
          <cell r="A3215">
            <v>0</v>
          </cell>
          <cell r="B3215">
            <v>0</v>
          </cell>
        </row>
        <row r="3216">
          <cell r="A3216">
            <v>0</v>
          </cell>
          <cell r="B3216">
            <v>0</v>
          </cell>
        </row>
        <row r="3217">
          <cell r="A3217">
            <v>0</v>
          </cell>
          <cell r="B3217">
            <v>0</v>
          </cell>
        </row>
        <row r="3218">
          <cell r="A3218">
            <v>0</v>
          </cell>
          <cell r="B3218">
            <v>0</v>
          </cell>
        </row>
        <row r="3219">
          <cell r="A3219">
            <v>0</v>
          </cell>
          <cell r="B3219">
            <v>0</v>
          </cell>
        </row>
        <row r="3220">
          <cell r="A3220">
            <v>0</v>
          </cell>
          <cell r="B3220">
            <v>0</v>
          </cell>
        </row>
        <row r="3221">
          <cell r="A3221">
            <v>0</v>
          </cell>
          <cell r="B3221">
            <v>0</v>
          </cell>
        </row>
        <row r="3222">
          <cell r="A3222">
            <v>0</v>
          </cell>
          <cell r="B3222">
            <v>0</v>
          </cell>
        </row>
        <row r="3223">
          <cell r="A3223">
            <v>0</v>
          </cell>
          <cell r="B3223">
            <v>0</v>
          </cell>
        </row>
        <row r="3224">
          <cell r="A3224">
            <v>0</v>
          </cell>
          <cell r="B3224">
            <v>0</v>
          </cell>
        </row>
        <row r="3225">
          <cell r="A3225">
            <v>0</v>
          </cell>
          <cell r="B3225">
            <v>0</v>
          </cell>
        </row>
        <row r="3226">
          <cell r="A3226">
            <v>0</v>
          </cell>
          <cell r="B3226">
            <v>0</v>
          </cell>
        </row>
        <row r="3227">
          <cell r="A3227">
            <v>0</v>
          </cell>
          <cell r="B3227">
            <v>0</v>
          </cell>
        </row>
        <row r="3228">
          <cell r="A3228">
            <v>0</v>
          </cell>
          <cell r="B3228">
            <v>0</v>
          </cell>
        </row>
        <row r="3229">
          <cell r="A3229">
            <v>0</v>
          </cell>
          <cell r="B3229">
            <v>0</v>
          </cell>
        </row>
        <row r="3230">
          <cell r="A3230">
            <v>0</v>
          </cell>
          <cell r="B3230">
            <v>0</v>
          </cell>
        </row>
        <row r="3231">
          <cell r="A3231">
            <v>0</v>
          </cell>
          <cell r="B3231">
            <v>0</v>
          </cell>
        </row>
        <row r="3232">
          <cell r="A3232">
            <v>0</v>
          </cell>
          <cell r="B3232">
            <v>0</v>
          </cell>
        </row>
        <row r="3233">
          <cell r="A3233">
            <v>0</v>
          </cell>
          <cell r="B3233">
            <v>0</v>
          </cell>
        </row>
        <row r="3234">
          <cell r="A3234">
            <v>0</v>
          </cell>
          <cell r="B3234">
            <v>0</v>
          </cell>
        </row>
        <row r="3235">
          <cell r="A3235">
            <v>0</v>
          </cell>
          <cell r="B3235">
            <v>0</v>
          </cell>
        </row>
        <row r="3236">
          <cell r="A3236">
            <v>0</v>
          </cell>
          <cell r="B3236">
            <v>0</v>
          </cell>
        </row>
        <row r="3237">
          <cell r="A3237">
            <v>0</v>
          </cell>
          <cell r="B3237">
            <v>0</v>
          </cell>
        </row>
        <row r="3238">
          <cell r="A3238">
            <v>0</v>
          </cell>
          <cell r="B3238">
            <v>0</v>
          </cell>
        </row>
        <row r="3239">
          <cell r="A3239">
            <v>0</v>
          </cell>
          <cell r="B3239">
            <v>0</v>
          </cell>
        </row>
        <row r="3240">
          <cell r="A3240">
            <v>0</v>
          </cell>
          <cell r="B3240">
            <v>0</v>
          </cell>
        </row>
        <row r="3241">
          <cell r="A3241">
            <v>0</v>
          </cell>
          <cell r="B3241">
            <v>0</v>
          </cell>
        </row>
        <row r="3242">
          <cell r="A3242">
            <v>0</v>
          </cell>
          <cell r="B3242">
            <v>0</v>
          </cell>
        </row>
        <row r="3243">
          <cell r="A3243">
            <v>0</v>
          </cell>
          <cell r="B3243">
            <v>0</v>
          </cell>
        </row>
        <row r="3244">
          <cell r="A3244">
            <v>0</v>
          </cell>
          <cell r="B3244">
            <v>0</v>
          </cell>
        </row>
        <row r="3245">
          <cell r="A3245">
            <v>0</v>
          </cell>
          <cell r="B3245">
            <v>0</v>
          </cell>
        </row>
        <row r="3246">
          <cell r="A3246">
            <v>0</v>
          </cell>
          <cell r="B3246">
            <v>0</v>
          </cell>
        </row>
        <row r="3247">
          <cell r="A3247">
            <v>0</v>
          </cell>
          <cell r="B3247">
            <v>0</v>
          </cell>
        </row>
        <row r="3248">
          <cell r="A3248">
            <v>0</v>
          </cell>
          <cell r="B3248">
            <v>0</v>
          </cell>
        </row>
        <row r="3249">
          <cell r="A3249">
            <v>0</v>
          </cell>
          <cell r="B3249">
            <v>0</v>
          </cell>
        </row>
        <row r="3250">
          <cell r="A3250">
            <v>0</v>
          </cell>
          <cell r="B3250">
            <v>0</v>
          </cell>
        </row>
        <row r="3251">
          <cell r="A3251">
            <v>0</v>
          </cell>
          <cell r="B3251">
            <v>0</v>
          </cell>
        </row>
        <row r="3252">
          <cell r="A3252">
            <v>0</v>
          </cell>
          <cell r="B3252">
            <v>0</v>
          </cell>
        </row>
        <row r="3253">
          <cell r="A3253">
            <v>0</v>
          </cell>
          <cell r="B3253">
            <v>0</v>
          </cell>
        </row>
        <row r="3254">
          <cell r="A3254">
            <v>0</v>
          </cell>
          <cell r="B3254">
            <v>0</v>
          </cell>
        </row>
        <row r="3255">
          <cell r="A3255">
            <v>0</v>
          </cell>
          <cell r="B3255">
            <v>0</v>
          </cell>
        </row>
        <row r="3256">
          <cell r="A3256">
            <v>0</v>
          </cell>
          <cell r="B3256">
            <v>0</v>
          </cell>
        </row>
        <row r="3257">
          <cell r="A3257">
            <v>0</v>
          </cell>
          <cell r="B3257">
            <v>0</v>
          </cell>
        </row>
        <row r="3258">
          <cell r="A3258">
            <v>0</v>
          </cell>
          <cell r="B3258">
            <v>0</v>
          </cell>
        </row>
        <row r="3259">
          <cell r="A3259">
            <v>0</v>
          </cell>
          <cell r="B3259">
            <v>0</v>
          </cell>
        </row>
        <row r="3260">
          <cell r="A3260">
            <v>0</v>
          </cell>
          <cell r="B3260">
            <v>0</v>
          </cell>
        </row>
        <row r="3261">
          <cell r="A3261">
            <v>0</v>
          </cell>
          <cell r="B3261">
            <v>0</v>
          </cell>
        </row>
        <row r="3262">
          <cell r="A3262">
            <v>0</v>
          </cell>
          <cell r="B3262">
            <v>0</v>
          </cell>
        </row>
        <row r="3263">
          <cell r="A3263">
            <v>0</v>
          </cell>
          <cell r="B3263">
            <v>0</v>
          </cell>
        </row>
        <row r="3264">
          <cell r="A3264">
            <v>0</v>
          </cell>
          <cell r="B3264">
            <v>0</v>
          </cell>
        </row>
        <row r="3265">
          <cell r="A3265">
            <v>0</v>
          </cell>
          <cell r="B3265">
            <v>0</v>
          </cell>
        </row>
        <row r="3266">
          <cell r="A3266">
            <v>0</v>
          </cell>
          <cell r="B3266">
            <v>0</v>
          </cell>
        </row>
        <row r="3267">
          <cell r="A3267">
            <v>0</v>
          </cell>
          <cell r="B3267">
            <v>0</v>
          </cell>
        </row>
        <row r="3268">
          <cell r="A3268">
            <v>0</v>
          </cell>
          <cell r="B3268">
            <v>0</v>
          </cell>
        </row>
        <row r="3269">
          <cell r="A3269">
            <v>0</v>
          </cell>
          <cell r="B3269">
            <v>0</v>
          </cell>
        </row>
        <row r="3270">
          <cell r="A3270">
            <v>0</v>
          </cell>
          <cell r="B3270">
            <v>0</v>
          </cell>
        </row>
        <row r="3271">
          <cell r="A3271">
            <v>0</v>
          </cell>
          <cell r="B3271">
            <v>0</v>
          </cell>
        </row>
        <row r="3272">
          <cell r="A3272">
            <v>0</v>
          </cell>
          <cell r="B3272">
            <v>0</v>
          </cell>
        </row>
        <row r="3273">
          <cell r="A3273">
            <v>0</v>
          </cell>
          <cell r="B3273">
            <v>0</v>
          </cell>
        </row>
        <row r="3274">
          <cell r="A3274">
            <v>0</v>
          </cell>
          <cell r="B3274">
            <v>0</v>
          </cell>
        </row>
        <row r="3275">
          <cell r="A3275">
            <v>0</v>
          </cell>
          <cell r="B3275">
            <v>0</v>
          </cell>
        </row>
        <row r="3276">
          <cell r="A3276">
            <v>0</v>
          </cell>
          <cell r="B3276">
            <v>0</v>
          </cell>
        </row>
        <row r="3277">
          <cell r="A3277">
            <v>0</v>
          </cell>
          <cell r="B3277">
            <v>0</v>
          </cell>
        </row>
        <row r="3278">
          <cell r="A3278">
            <v>0</v>
          </cell>
          <cell r="B3278">
            <v>0</v>
          </cell>
        </row>
        <row r="3279">
          <cell r="A3279">
            <v>0</v>
          </cell>
          <cell r="B3279">
            <v>0</v>
          </cell>
        </row>
        <row r="3280">
          <cell r="A3280">
            <v>0</v>
          </cell>
          <cell r="B3280">
            <v>0</v>
          </cell>
        </row>
        <row r="3281">
          <cell r="A3281">
            <v>0</v>
          </cell>
          <cell r="B3281">
            <v>0</v>
          </cell>
        </row>
        <row r="3282">
          <cell r="A3282">
            <v>0</v>
          </cell>
          <cell r="B3282">
            <v>0</v>
          </cell>
        </row>
        <row r="3283">
          <cell r="A3283">
            <v>0</v>
          </cell>
          <cell r="B3283">
            <v>0</v>
          </cell>
        </row>
        <row r="3284">
          <cell r="A3284">
            <v>0</v>
          </cell>
          <cell r="B3284">
            <v>0</v>
          </cell>
        </row>
        <row r="3285">
          <cell r="A3285">
            <v>0</v>
          </cell>
          <cell r="B3285">
            <v>0</v>
          </cell>
        </row>
        <row r="3286">
          <cell r="A3286">
            <v>0</v>
          </cell>
          <cell r="B3286">
            <v>0</v>
          </cell>
        </row>
        <row r="3287">
          <cell r="A3287">
            <v>0</v>
          </cell>
          <cell r="B3287">
            <v>0</v>
          </cell>
        </row>
        <row r="3288">
          <cell r="A3288">
            <v>0</v>
          </cell>
          <cell r="B3288">
            <v>0</v>
          </cell>
        </row>
        <row r="3289">
          <cell r="A3289">
            <v>0</v>
          </cell>
          <cell r="B3289">
            <v>0</v>
          </cell>
        </row>
        <row r="3290">
          <cell r="A3290">
            <v>0</v>
          </cell>
          <cell r="B3290">
            <v>0</v>
          </cell>
        </row>
        <row r="3291">
          <cell r="A3291">
            <v>0</v>
          </cell>
          <cell r="B3291">
            <v>0</v>
          </cell>
        </row>
        <row r="3292">
          <cell r="A3292">
            <v>0</v>
          </cell>
          <cell r="B3292">
            <v>0</v>
          </cell>
        </row>
        <row r="3293">
          <cell r="A3293">
            <v>0</v>
          </cell>
          <cell r="B3293">
            <v>0</v>
          </cell>
        </row>
        <row r="3294">
          <cell r="A3294">
            <v>0</v>
          </cell>
          <cell r="B3294">
            <v>0</v>
          </cell>
        </row>
        <row r="3295">
          <cell r="A3295">
            <v>0</v>
          </cell>
          <cell r="B3295">
            <v>0</v>
          </cell>
        </row>
        <row r="3296">
          <cell r="A3296">
            <v>0</v>
          </cell>
          <cell r="B3296">
            <v>0</v>
          </cell>
        </row>
        <row r="3297">
          <cell r="A3297">
            <v>0</v>
          </cell>
          <cell r="B3297">
            <v>0</v>
          </cell>
        </row>
        <row r="3298">
          <cell r="A3298">
            <v>0</v>
          </cell>
          <cell r="B3298">
            <v>0</v>
          </cell>
        </row>
        <row r="3299">
          <cell r="A3299">
            <v>0</v>
          </cell>
          <cell r="B3299">
            <v>0</v>
          </cell>
        </row>
        <row r="3300">
          <cell r="A3300">
            <v>0</v>
          </cell>
          <cell r="B3300">
            <v>0</v>
          </cell>
        </row>
        <row r="3301">
          <cell r="A3301">
            <v>0</v>
          </cell>
          <cell r="B3301">
            <v>0</v>
          </cell>
        </row>
        <row r="3302">
          <cell r="A3302">
            <v>0</v>
          </cell>
          <cell r="B3302">
            <v>0</v>
          </cell>
        </row>
        <row r="3303">
          <cell r="A3303">
            <v>0</v>
          </cell>
          <cell r="B3303">
            <v>0</v>
          </cell>
        </row>
        <row r="3304">
          <cell r="A3304">
            <v>0</v>
          </cell>
          <cell r="B3304">
            <v>0</v>
          </cell>
        </row>
        <row r="3305">
          <cell r="A3305">
            <v>0</v>
          </cell>
          <cell r="B3305">
            <v>0</v>
          </cell>
        </row>
        <row r="3306">
          <cell r="A3306">
            <v>0</v>
          </cell>
          <cell r="B3306">
            <v>0</v>
          </cell>
        </row>
        <row r="3307">
          <cell r="A3307">
            <v>0</v>
          </cell>
          <cell r="B3307">
            <v>0</v>
          </cell>
        </row>
        <row r="3308">
          <cell r="A3308">
            <v>0</v>
          </cell>
          <cell r="B3308">
            <v>0</v>
          </cell>
        </row>
        <row r="3309">
          <cell r="A3309">
            <v>0</v>
          </cell>
          <cell r="B3309">
            <v>0</v>
          </cell>
        </row>
        <row r="3310">
          <cell r="A3310">
            <v>0</v>
          </cell>
          <cell r="B3310">
            <v>0</v>
          </cell>
        </row>
        <row r="3311">
          <cell r="A3311">
            <v>0</v>
          </cell>
          <cell r="B3311">
            <v>0</v>
          </cell>
        </row>
        <row r="3312">
          <cell r="A3312">
            <v>0</v>
          </cell>
          <cell r="B3312">
            <v>0</v>
          </cell>
        </row>
        <row r="3313">
          <cell r="A3313">
            <v>0</v>
          </cell>
          <cell r="B3313">
            <v>0</v>
          </cell>
        </row>
        <row r="3314">
          <cell r="A3314">
            <v>0</v>
          </cell>
          <cell r="B3314">
            <v>0</v>
          </cell>
        </row>
        <row r="3315">
          <cell r="A3315">
            <v>0</v>
          </cell>
          <cell r="B3315">
            <v>0</v>
          </cell>
        </row>
        <row r="3316">
          <cell r="A3316">
            <v>0</v>
          </cell>
          <cell r="B3316">
            <v>0</v>
          </cell>
        </row>
        <row r="3317">
          <cell r="A3317">
            <v>0</v>
          </cell>
          <cell r="B3317">
            <v>0</v>
          </cell>
        </row>
        <row r="3318">
          <cell r="A3318">
            <v>0</v>
          </cell>
          <cell r="B3318">
            <v>0</v>
          </cell>
        </row>
        <row r="3319">
          <cell r="A3319">
            <v>0</v>
          </cell>
          <cell r="B3319">
            <v>0</v>
          </cell>
        </row>
        <row r="3320">
          <cell r="A3320">
            <v>0</v>
          </cell>
          <cell r="B3320">
            <v>0</v>
          </cell>
        </row>
        <row r="3321">
          <cell r="A3321">
            <v>0</v>
          </cell>
          <cell r="B3321">
            <v>0</v>
          </cell>
        </row>
        <row r="3322">
          <cell r="A3322">
            <v>0</v>
          </cell>
          <cell r="B3322">
            <v>0</v>
          </cell>
        </row>
        <row r="3323">
          <cell r="A3323">
            <v>0</v>
          </cell>
          <cell r="B3323">
            <v>0</v>
          </cell>
        </row>
        <row r="3324">
          <cell r="A3324">
            <v>0</v>
          </cell>
          <cell r="B3324">
            <v>0</v>
          </cell>
        </row>
        <row r="3325">
          <cell r="A3325">
            <v>0</v>
          </cell>
          <cell r="B3325">
            <v>0</v>
          </cell>
        </row>
        <row r="3326">
          <cell r="A3326">
            <v>0</v>
          </cell>
          <cell r="B3326">
            <v>0</v>
          </cell>
        </row>
        <row r="3327">
          <cell r="A3327">
            <v>0</v>
          </cell>
          <cell r="B3327">
            <v>0</v>
          </cell>
        </row>
        <row r="3328">
          <cell r="A3328">
            <v>0</v>
          </cell>
          <cell r="B3328">
            <v>0</v>
          </cell>
        </row>
        <row r="3329">
          <cell r="A3329">
            <v>0</v>
          </cell>
          <cell r="B3329">
            <v>0</v>
          </cell>
        </row>
        <row r="3330">
          <cell r="A3330">
            <v>0</v>
          </cell>
          <cell r="B3330">
            <v>0</v>
          </cell>
        </row>
        <row r="3331">
          <cell r="A3331">
            <v>0</v>
          </cell>
          <cell r="B3331">
            <v>0</v>
          </cell>
        </row>
        <row r="3332">
          <cell r="A3332">
            <v>0</v>
          </cell>
          <cell r="B3332">
            <v>0</v>
          </cell>
        </row>
        <row r="3333">
          <cell r="A3333">
            <v>0</v>
          </cell>
          <cell r="B3333">
            <v>0</v>
          </cell>
        </row>
        <row r="3334">
          <cell r="A3334">
            <v>0</v>
          </cell>
          <cell r="B3334">
            <v>0</v>
          </cell>
        </row>
        <row r="3335">
          <cell r="A3335">
            <v>0</v>
          </cell>
          <cell r="B3335">
            <v>0</v>
          </cell>
        </row>
        <row r="3336">
          <cell r="A3336">
            <v>0</v>
          </cell>
          <cell r="B3336">
            <v>0</v>
          </cell>
        </row>
        <row r="3337">
          <cell r="A3337">
            <v>0</v>
          </cell>
          <cell r="B3337">
            <v>0</v>
          </cell>
        </row>
        <row r="3338">
          <cell r="A3338">
            <v>0</v>
          </cell>
          <cell r="B3338">
            <v>0</v>
          </cell>
        </row>
        <row r="3339">
          <cell r="A3339">
            <v>0</v>
          </cell>
          <cell r="B3339">
            <v>0</v>
          </cell>
        </row>
        <row r="3340">
          <cell r="A3340">
            <v>0</v>
          </cell>
          <cell r="B3340">
            <v>0</v>
          </cell>
        </row>
        <row r="3341">
          <cell r="A3341">
            <v>0</v>
          </cell>
          <cell r="B3341">
            <v>0</v>
          </cell>
        </row>
        <row r="3342">
          <cell r="A3342">
            <v>0</v>
          </cell>
          <cell r="B3342">
            <v>0</v>
          </cell>
        </row>
        <row r="3343">
          <cell r="A3343">
            <v>0</v>
          </cell>
          <cell r="B3343">
            <v>0</v>
          </cell>
        </row>
        <row r="3344">
          <cell r="A3344">
            <v>0</v>
          </cell>
          <cell r="B3344">
            <v>0</v>
          </cell>
        </row>
        <row r="3345">
          <cell r="A3345">
            <v>0</v>
          </cell>
          <cell r="B3345">
            <v>0</v>
          </cell>
        </row>
        <row r="3346">
          <cell r="A3346">
            <v>0</v>
          </cell>
          <cell r="B3346">
            <v>0</v>
          </cell>
        </row>
        <row r="3347">
          <cell r="A3347">
            <v>0</v>
          </cell>
          <cell r="B3347">
            <v>0</v>
          </cell>
        </row>
        <row r="3348">
          <cell r="A3348">
            <v>0</v>
          </cell>
          <cell r="B3348">
            <v>0</v>
          </cell>
        </row>
        <row r="3349">
          <cell r="A3349">
            <v>0</v>
          </cell>
          <cell r="B3349">
            <v>0</v>
          </cell>
        </row>
        <row r="3350">
          <cell r="A3350">
            <v>0</v>
          </cell>
          <cell r="B3350">
            <v>0</v>
          </cell>
        </row>
        <row r="3351">
          <cell r="A3351">
            <v>0</v>
          </cell>
          <cell r="B3351">
            <v>0</v>
          </cell>
        </row>
        <row r="3352">
          <cell r="A3352">
            <v>0</v>
          </cell>
          <cell r="B3352">
            <v>0</v>
          </cell>
        </row>
        <row r="3353">
          <cell r="A3353">
            <v>0</v>
          </cell>
          <cell r="B3353">
            <v>0</v>
          </cell>
        </row>
        <row r="3354">
          <cell r="A3354">
            <v>0</v>
          </cell>
          <cell r="B3354">
            <v>0</v>
          </cell>
        </row>
        <row r="3355">
          <cell r="A3355">
            <v>0</v>
          </cell>
          <cell r="B3355">
            <v>0</v>
          </cell>
        </row>
        <row r="3356">
          <cell r="A3356">
            <v>0</v>
          </cell>
          <cell r="B3356">
            <v>0</v>
          </cell>
        </row>
        <row r="3357">
          <cell r="A3357">
            <v>0</v>
          </cell>
          <cell r="B3357">
            <v>0</v>
          </cell>
        </row>
        <row r="3358">
          <cell r="A3358">
            <v>0</v>
          </cell>
          <cell r="B3358">
            <v>0</v>
          </cell>
        </row>
        <row r="3359">
          <cell r="A3359">
            <v>0</v>
          </cell>
          <cell r="B3359">
            <v>0</v>
          </cell>
        </row>
        <row r="3360">
          <cell r="A3360">
            <v>0</v>
          </cell>
          <cell r="B3360">
            <v>0</v>
          </cell>
        </row>
        <row r="3361">
          <cell r="A3361">
            <v>0</v>
          </cell>
          <cell r="B3361">
            <v>0</v>
          </cell>
        </row>
        <row r="3362">
          <cell r="A3362">
            <v>0</v>
          </cell>
          <cell r="B3362">
            <v>0</v>
          </cell>
        </row>
        <row r="3363">
          <cell r="A3363">
            <v>0</v>
          </cell>
          <cell r="B3363">
            <v>0</v>
          </cell>
        </row>
        <row r="3364">
          <cell r="A3364">
            <v>0</v>
          </cell>
          <cell r="B3364">
            <v>0</v>
          </cell>
        </row>
        <row r="3365">
          <cell r="A3365">
            <v>0</v>
          </cell>
          <cell r="B3365">
            <v>0</v>
          </cell>
        </row>
        <row r="3366">
          <cell r="A3366">
            <v>0</v>
          </cell>
          <cell r="B3366">
            <v>0</v>
          </cell>
        </row>
        <row r="3367">
          <cell r="A3367">
            <v>0</v>
          </cell>
          <cell r="B3367">
            <v>0</v>
          </cell>
        </row>
        <row r="3368">
          <cell r="A3368">
            <v>0</v>
          </cell>
          <cell r="B3368">
            <v>0</v>
          </cell>
        </row>
        <row r="3369">
          <cell r="A3369">
            <v>0</v>
          </cell>
          <cell r="B3369">
            <v>0</v>
          </cell>
        </row>
        <row r="3370">
          <cell r="A3370">
            <v>0</v>
          </cell>
          <cell r="B3370">
            <v>0</v>
          </cell>
        </row>
        <row r="3371">
          <cell r="A3371">
            <v>0</v>
          </cell>
          <cell r="B3371">
            <v>0</v>
          </cell>
        </row>
        <row r="3372">
          <cell r="A3372">
            <v>0</v>
          </cell>
          <cell r="B3372">
            <v>0</v>
          </cell>
        </row>
        <row r="3373">
          <cell r="A3373">
            <v>0</v>
          </cell>
          <cell r="B3373">
            <v>0</v>
          </cell>
        </row>
        <row r="3374">
          <cell r="A3374">
            <v>0</v>
          </cell>
          <cell r="B3374">
            <v>0</v>
          </cell>
        </row>
        <row r="3375">
          <cell r="A3375">
            <v>0</v>
          </cell>
          <cell r="B3375">
            <v>0</v>
          </cell>
        </row>
        <row r="3376">
          <cell r="A3376">
            <v>0</v>
          </cell>
          <cell r="B3376">
            <v>0</v>
          </cell>
        </row>
        <row r="3377">
          <cell r="A3377">
            <v>0</v>
          </cell>
          <cell r="B3377">
            <v>0</v>
          </cell>
        </row>
        <row r="3378">
          <cell r="A3378">
            <v>0</v>
          </cell>
          <cell r="B3378">
            <v>0</v>
          </cell>
        </row>
        <row r="3379">
          <cell r="A3379">
            <v>0</v>
          </cell>
          <cell r="B3379">
            <v>0</v>
          </cell>
        </row>
        <row r="3380">
          <cell r="A3380">
            <v>0</v>
          </cell>
          <cell r="B3380">
            <v>0</v>
          </cell>
        </row>
        <row r="3381">
          <cell r="A3381">
            <v>0</v>
          </cell>
          <cell r="B3381">
            <v>0</v>
          </cell>
        </row>
        <row r="3382">
          <cell r="A3382">
            <v>0</v>
          </cell>
          <cell r="B3382">
            <v>0</v>
          </cell>
        </row>
        <row r="3383">
          <cell r="A3383">
            <v>0</v>
          </cell>
          <cell r="B3383">
            <v>0</v>
          </cell>
        </row>
        <row r="3384">
          <cell r="A3384">
            <v>0</v>
          </cell>
          <cell r="B3384">
            <v>0</v>
          </cell>
        </row>
        <row r="3385">
          <cell r="A3385">
            <v>0</v>
          </cell>
          <cell r="B3385">
            <v>0</v>
          </cell>
        </row>
        <row r="3386">
          <cell r="A3386">
            <v>0</v>
          </cell>
          <cell r="B3386">
            <v>0</v>
          </cell>
        </row>
        <row r="3387">
          <cell r="A3387">
            <v>0</v>
          </cell>
          <cell r="B3387">
            <v>0</v>
          </cell>
        </row>
        <row r="3388">
          <cell r="A3388">
            <v>0</v>
          </cell>
          <cell r="B3388">
            <v>0</v>
          </cell>
        </row>
        <row r="3389">
          <cell r="A3389">
            <v>0</v>
          </cell>
          <cell r="B3389">
            <v>0</v>
          </cell>
        </row>
        <row r="3390">
          <cell r="A3390">
            <v>0</v>
          </cell>
          <cell r="B3390">
            <v>0</v>
          </cell>
        </row>
        <row r="3391">
          <cell r="A3391">
            <v>0</v>
          </cell>
          <cell r="B3391">
            <v>0</v>
          </cell>
        </row>
        <row r="3392">
          <cell r="A3392">
            <v>0</v>
          </cell>
          <cell r="B3392">
            <v>0</v>
          </cell>
        </row>
        <row r="3393">
          <cell r="A3393">
            <v>0</v>
          </cell>
          <cell r="B3393">
            <v>0</v>
          </cell>
        </row>
        <row r="3394">
          <cell r="A3394">
            <v>0</v>
          </cell>
          <cell r="B3394">
            <v>0</v>
          </cell>
        </row>
        <row r="3395">
          <cell r="A3395">
            <v>0</v>
          </cell>
          <cell r="B3395">
            <v>0</v>
          </cell>
        </row>
        <row r="3396">
          <cell r="A3396">
            <v>0</v>
          </cell>
          <cell r="B3396">
            <v>0</v>
          </cell>
        </row>
        <row r="3397">
          <cell r="A3397">
            <v>0</v>
          </cell>
          <cell r="B3397">
            <v>0</v>
          </cell>
        </row>
        <row r="3398">
          <cell r="A3398">
            <v>0</v>
          </cell>
          <cell r="B3398">
            <v>0</v>
          </cell>
        </row>
        <row r="3399">
          <cell r="A3399">
            <v>0</v>
          </cell>
          <cell r="B3399">
            <v>0</v>
          </cell>
        </row>
        <row r="3400">
          <cell r="A3400">
            <v>0</v>
          </cell>
          <cell r="B3400">
            <v>0</v>
          </cell>
        </row>
        <row r="3401">
          <cell r="A3401">
            <v>0</v>
          </cell>
          <cell r="B3401">
            <v>0</v>
          </cell>
        </row>
        <row r="3402">
          <cell r="A3402">
            <v>0</v>
          </cell>
          <cell r="B3402">
            <v>0</v>
          </cell>
        </row>
        <row r="3403">
          <cell r="A3403">
            <v>0</v>
          </cell>
          <cell r="B3403">
            <v>0</v>
          </cell>
        </row>
        <row r="3404">
          <cell r="A3404">
            <v>0</v>
          </cell>
          <cell r="B3404">
            <v>0</v>
          </cell>
        </row>
        <row r="3405">
          <cell r="A3405">
            <v>0</v>
          </cell>
          <cell r="B3405">
            <v>0</v>
          </cell>
        </row>
        <row r="3406">
          <cell r="A3406">
            <v>0</v>
          </cell>
          <cell r="B3406">
            <v>0</v>
          </cell>
        </row>
        <row r="3407">
          <cell r="A3407">
            <v>0</v>
          </cell>
          <cell r="B3407">
            <v>0</v>
          </cell>
        </row>
        <row r="3408">
          <cell r="A3408">
            <v>0</v>
          </cell>
          <cell r="B3408">
            <v>0</v>
          </cell>
        </row>
        <row r="3409">
          <cell r="A3409">
            <v>0</v>
          </cell>
          <cell r="B3409">
            <v>0</v>
          </cell>
        </row>
        <row r="3410">
          <cell r="A3410">
            <v>0</v>
          </cell>
          <cell r="B3410">
            <v>0</v>
          </cell>
        </row>
        <row r="3411">
          <cell r="A3411">
            <v>0</v>
          </cell>
          <cell r="B3411">
            <v>0</v>
          </cell>
        </row>
        <row r="3412">
          <cell r="A3412">
            <v>0</v>
          </cell>
          <cell r="B3412">
            <v>0</v>
          </cell>
        </row>
        <row r="3413">
          <cell r="A3413">
            <v>0</v>
          </cell>
          <cell r="B3413">
            <v>0</v>
          </cell>
        </row>
        <row r="3414">
          <cell r="A3414">
            <v>0</v>
          </cell>
          <cell r="B3414">
            <v>0</v>
          </cell>
        </row>
        <row r="3415">
          <cell r="A3415">
            <v>0</v>
          </cell>
          <cell r="B3415">
            <v>0</v>
          </cell>
        </row>
        <row r="3416">
          <cell r="A3416">
            <v>0</v>
          </cell>
          <cell r="B3416">
            <v>0</v>
          </cell>
        </row>
        <row r="3417">
          <cell r="A3417">
            <v>0</v>
          </cell>
          <cell r="B3417">
            <v>0</v>
          </cell>
        </row>
        <row r="3418">
          <cell r="A3418">
            <v>0</v>
          </cell>
          <cell r="B3418">
            <v>0</v>
          </cell>
        </row>
        <row r="3419">
          <cell r="A3419">
            <v>0</v>
          </cell>
          <cell r="B3419">
            <v>0</v>
          </cell>
        </row>
        <row r="3420">
          <cell r="A3420">
            <v>0</v>
          </cell>
          <cell r="B3420">
            <v>0</v>
          </cell>
        </row>
        <row r="3421">
          <cell r="A3421">
            <v>0</v>
          </cell>
          <cell r="B3421">
            <v>0</v>
          </cell>
        </row>
        <row r="3422">
          <cell r="A3422">
            <v>0</v>
          </cell>
          <cell r="B3422">
            <v>0</v>
          </cell>
        </row>
        <row r="3423">
          <cell r="A3423">
            <v>0</v>
          </cell>
          <cell r="B3423">
            <v>0</v>
          </cell>
        </row>
        <row r="3424">
          <cell r="A3424">
            <v>0</v>
          </cell>
          <cell r="B3424">
            <v>0</v>
          </cell>
        </row>
        <row r="3425">
          <cell r="A3425">
            <v>0</v>
          </cell>
          <cell r="B3425">
            <v>0</v>
          </cell>
        </row>
        <row r="3426">
          <cell r="A3426">
            <v>0</v>
          </cell>
          <cell r="B3426">
            <v>0</v>
          </cell>
        </row>
        <row r="3427">
          <cell r="A3427">
            <v>0</v>
          </cell>
          <cell r="B3427">
            <v>0</v>
          </cell>
        </row>
        <row r="3428">
          <cell r="A3428">
            <v>0</v>
          </cell>
          <cell r="B3428">
            <v>0</v>
          </cell>
        </row>
        <row r="3429">
          <cell r="A3429">
            <v>0</v>
          </cell>
          <cell r="B3429">
            <v>0</v>
          </cell>
        </row>
        <row r="3430">
          <cell r="A3430">
            <v>0</v>
          </cell>
          <cell r="B3430">
            <v>0</v>
          </cell>
        </row>
        <row r="3431">
          <cell r="A3431">
            <v>0</v>
          </cell>
          <cell r="B3431">
            <v>0</v>
          </cell>
        </row>
        <row r="3432">
          <cell r="A3432">
            <v>0</v>
          </cell>
          <cell r="B3432">
            <v>0</v>
          </cell>
        </row>
        <row r="3433">
          <cell r="A3433">
            <v>0</v>
          </cell>
          <cell r="B3433">
            <v>0</v>
          </cell>
        </row>
        <row r="3434">
          <cell r="A3434">
            <v>0</v>
          </cell>
          <cell r="B3434">
            <v>0</v>
          </cell>
        </row>
        <row r="3435">
          <cell r="A3435">
            <v>0</v>
          </cell>
          <cell r="B3435">
            <v>0</v>
          </cell>
        </row>
        <row r="3436">
          <cell r="A3436">
            <v>0</v>
          </cell>
          <cell r="B3436">
            <v>0</v>
          </cell>
        </row>
        <row r="3437">
          <cell r="A3437">
            <v>0</v>
          </cell>
          <cell r="B3437">
            <v>0</v>
          </cell>
        </row>
        <row r="3438">
          <cell r="A3438">
            <v>0</v>
          </cell>
          <cell r="B3438">
            <v>0</v>
          </cell>
        </row>
        <row r="3439">
          <cell r="A3439">
            <v>0</v>
          </cell>
          <cell r="B3439">
            <v>0</v>
          </cell>
        </row>
        <row r="3440">
          <cell r="A3440">
            <v>0</v>
          </cell>
          <cell r="B3440">
            <v>0</v>
          </cell>
        </row>
        <row r="3441">
          <cell r="A3441">
            <v>0</v>
          </cell>
          <cell r="B3441">
            <v>0</v>
          </cell>
        </row>
        <row r="3442">
          <cell r="A3442">
            <v>0</v>
          </cell>
          <cell r="B3442">
            <v>0</v>
          </cell>
        </row>
        <row r="3443">
          <cell r="A3443">
            <v>0</v>
          </cell>
          <cell r="B3443">
            <v>0</v>
          </cell>
        </row>
        <row r="3444">
          <cell r="A3444">
            <v>0</v>
          </cell>
          <cell r="B3444">
            <v>0</v>
          </cell>
        </row>
        <row r="3445">
          <cell r="A3445">
            <v>0</v>
          </cell>
          <cell r="B3445">
            <v>0</v>
          </cell>
        </row>
        <row r="3446">
          <cell r="A3446">
            <v>0</v>
          </cell>
          <cell r="B3446">
            <v>0</v>
          </cell>
        </row>
        <row r="3447">
          <cell r="A3447">
            <v>0</v>
          </cell>
          <cell r="B3447">
            <v>0</v>
          </cell>
        </row>
        <row r="3448">
          <cell r="A3448">
            <v>0</v>
          </cell>
          <cell r="B3448">
            <v>0</v>
          </cell>
        </row>
        <row r="3449">
          <cell r="A3449">
            <v>0</v>
          </cell>
          <cell r="B3449">
            <v>0</v>
          </cell>
        </row>
        <row r="3450">
          <cell r="A3450">
            <v>0</v>
          </cell>
          <cell r="B3450">
            <v>0</v>
          </cell>
        </row>
        <row r="3451">
          <cell r="A3451">
            <v>0</v>
          </cell>
          <cell r="B3451">
            <v>0</v>
          </cell>
        </row>
        <row r="3452">
          <cell r="A3452">
            <v>0</v>
          </cell>
          <cell r="B3452">
            <v>0</v>
          </cell>
        </row>
        <row r="3453">
          <cell r="A3453">
            <v>0</v>
          </cell>
          <cell r="B3453">
            <v>0</v>
          </cell>
        </row>
        <row r="3454">
          <cell r="A3454">
            <v>0</v>
          </cell>
          <cell r="B3454">
            <v>0</v>
          </cell>
        </row>
        <row r="3455">
          <cell r="A3455">
            <v>0</v>
          </cell>
          <cell r="B3455">
            <v>0</v>
          </cell>
        </row>
        <row r="3456">
          <cell r="A3456">
            <v>0</v>
          </cell>
          <cell r="B3456">
            <v>0</v>
          </cell>
        </row>
        <row r="3457">
          <cell r="A3457">
            <v>0</v>
          </cell>
          <cell r="B3457">
            <v>0</v>
          </cell>
        </row>
        <row r="3458">
          <cell r="A3458">
            <v>0</v>
          </cell>
          <cell r="B3458">
            <v>0</v>
          </cell>
        </row>
        <row r="3459">
          <cell r="A3459">
            <v>0</v>
          </cell>
          <cell r="B3459">
            <v>0</v>
          </cell>
        </row>
        <row r="3460">
          <cell r="A3460">
            <v>0</v>
          </cell>
          <cell r="B3460">
            <v>0</v>
          </cell>
        </row>
        <row r="3461">
          <cell r="A3461">
            <v>0</v>
          </cell>
          <cell r="B3461">
            <v>0</v>
          </cell>
        </row>
        <row r="3462">
          <cell r="A3462">
            <v>0</v>
          </cell>
          <cell r="B3462">
            <v>0</v>
          </cell>
        </row>
        <row r="3463">
          <cell r="A3463">
            <v>0</v>
          </cell>
          <cell r="B3463">
            <v>0</v>
          </cell>
        </row>
        <row r="3464">
          <cell r="A3464">
            <v>0</v>
          </cell>
          <cell r="B3464">
            <v>0</v>
          </cell>
        </row>
        <row r="3465">
          <cell r="A3465">
            <v>0</v>
          </cell>
          <cell r="B3465">
            <v>0</v>
          </cell>
        </row>
        <row r="3466">
          <cell r="A3466">
            <v>0</v>
          </cell>
          <cell r="B3466">
            <v>0</v>
          </cell>
        </row>
        <row r="3467">
          <cell r="A3467">
            <v>0</v>
          </cell>
          <cell r="B3467">
            <v>0</v>
          </cell>
        </row>
        <row r="3468">
          <cell r="A3468">
            <v>0</v>
          </cell>
          <cell r="B3468">
            <v>0</v>
          </cell>
        </row>
        <row r="3469">
          <cell r="A3469">
            <v>0</v>
          </cell>
          <cell r="B3469">
            <v>0</v>
          </cell>
        </row>
        <row r="3470">
          <cell r="A3470">
            <v>0</v>
          </cell>
          <cell r="B3470">
            <v>0</v>
          </cell>
        </row>
        <row r="3471">
          <cell r="A3471">
            <v>0</v>
          </cell>
          <cell r="B3471">
            <v>0</v>
          </cell>
        </row>
        <row r="3472">
          <cell r="A3472">
            <v>0</v>
          </cell>
          <cell r="B3472">
            <v>0</v>
          </cell>
        </row>
        <row r="3473">
          <cell r="A3473">
            <v>0</v>
          </cell>
          <cell r="B3473">
            <v>0</v>
          </cell>
        </row>
        <row r="3474">
          <cell r="A3474">
            <v>0</v>
          </cell>
          <cell r="B3474">
            <v>0</v>
          </cell>
        </row>
        <row r="3475">
          <cell r="A3475">
            <v>0</v>
          </cell>
          <cell r="B3475">
            <v>0</v>
          </cell>
        </row>
        <row r="3476">
          <cell r="A3476">
            <v>0</v>
          </cell>
          <cell r="B3476">
            <v>0</v>
          </cell>
        </row>
        <row r="3477">
          <cell r="A3477">
            <v>0</v>
          </cell>
          <cell r="B3477">
            <v>0</v>
          </cell>
        </row>
        <row r="3478">
          <cell r="A3478">
            <v>0</v>
          </cell>
          <cell r="B3478">
            <v>0</v>
          </cell>
        </row>
        <row r="3479">
          <cell r="A3479">
            <v>0</v>
          </cell>
          <cell r="B3479">
            <v>0</v>
          </cell>
        </row>
        <row r="3480">
          <cell r="A3480">
            <v>0</v>
          </cell>
          <cell r="B3480">
            <v>0</v>
          </cell>
        </row>
        <row r="3481">
          <cell r="A3481">
            <v>0</v>
          </cell>
          <cell r="B3481">
            <v>0</v>
          </cell>
        </row>
        <row r="3482">
          <cell r="A3482">
            <v>0</v>
          </cell>
          <cell r="B3482">
            <v>0</v>
          </cell>
        </row>
        <row r="3483">
          <cell r="A3483">
            <v>0</v>
          </cell>
          <cell r="B3483">
            <v>0</v>
          </cell>
        </row>
        <row r="3484">
          <cell r="A3484">
            <v>0</v>
          </cell>
          <cell r="B3484">
            <v>0</v>
          </cell>
        </row>
        <row r="3485">
          <cell r="A3485">
            <v>0</v>
          </cell>
          <cell r="B3485">
            <v>0</v>
          </cell>
        </row>
        <row r="3486">
          <cell r="A3486">
            <v>0</v>
          </cell>
          <cell r="B3486">
            <v>0</v>
          </cell>
        </row>
        <row r="3487">
          <cell r="A3487">
            <v>0</v>
          </cell>
          <cell r="B3487">
            <v>0</v>
          </cell>
        </row>
        <row r="3488">
          <cell r="A3488">
            <v>0</v>
          </cell>
          <cell r="B3488">
            <v>0</v>
          </cell>
        </row>
        <row r="3489">
          <cell r="A3489">
            <v>0</v>
          </cell>
          <cell r="B3489">
            <v>0</v>
          </cell>
        </row>
        <row r="3490">
          <cell r="A3490">
            <v>0</v>
          </cell>
          <cell r="B3490">
            <v>0</v>
          </cell>
        </row>
        <row r="3491">
          <cell r="A3491">
            <v>0</v>
          </cell>
          <cell r="B3491">
            <v>0</v>
          </cell>
        </row>
        <row r="3492">
          <cell r="A3492">
            <v>0</v>
          </cell>
          <cell r="B3492">
            <v>0</v>
          </cell>
        </row>
        <row r="3493">
          <cell r="A3493">
            <v>0</v>
          </cell>
          <cell r="B3493">
            <v>0</v>
          </cell>
        </row>
        <row r="3494">
          <cell r="A3494">
            <v>0</v>
          </cell>
          <cell r="B3494">
            <v>0</v>
          </cell>
        </row>
        <row r="3495">
          <cell r="A3495">
            <v>0</v>
          </cell>
          <cell r="B3495">
            <v>0</v>
          </cell>
        </row>
        <row r="3496">
          <cell r="A3496">
            <v>0</v>
          </cell>
          <cell r="B3496">
            <v>0</v>
          </cell>
        </row>
        <row r="3497">
          <cell r="A3497">
            <v>0</v>
          </cell>
          <cell r="B3497">
            <v>0</v>
          </cell>
        </row>
        <row r="3498">
          <cell r="A3498">
            <v>0</v>
          </cell>
          <cell r="B3498">
            <v>0</v>
          </cell>
        </row>
        <row r="3499">
          <cell r="A3499">
            <v>0</v>
          </cell>
          <cell r="B3499">
            <v>0</v>
          </cell>
        </row>
        <row r="3500">
          <cell r="A3500">
            <v>0</v>
          </cell>
          <cell r="B3500">
            <v>0</v>
          </cell>
        </row>
        <row r="3501">
          <cell r="A3501">
            <v>0</v>
          </cell>
          <cell r="B3501">
            <v>0</v>
          </cell>
        </row>
        <row r="3502">
          <cell r="A3502">
            <v>0</v>
          </cell>
          <cell r="B3502">
            <v>0</v>
          </cell>
        </row>
        <row r="3503">
          <cell r="A3503">
            <v>0</v>
          </cell>
          <cell r="B3503">
            <v>0</v>
          </cell>
        </row>
        <row r="3504">
          <cell r="A3504">
            <v>0</v>
          </cell>
          <cell r="B3504">
            <v>0</v>
          </cell>
        </row>
        <row r="3505">
          <cell r="A3505">
            <v>0</v>
          </cell>
          <cell r="B3505">
            <v>0</v>
          </cell>
        </row>
        <row r="3506">
          <cell r="A3506">
            <v>0</v>
          </cell>
          <cell r="B3506">
            <v>0</v>
          </cell>
        </row>
        <row r="3507">
          <cell r="A3507">
            <v>0</v>
          </cell>
          <cell r="B3507">
            <v>0</v>
          </cell>
        </row>
        <row r="3508">
          <cell r="A3508">
            <v>0</v>
          </cell>
          <cell r="B3508">
            <v>0</v>
          </cell>
        </row>
        <row r="3509">
          <cell r="A3509">
            <v>0</v>
          </cell>
          <cell r="B3509">
            <v>0</v>
          </cell>
        </row>
        <row r="3510">
          <cell r="A3510">
            <v>0</v>
          </cell>
          <cell r="B3510">
            <v>0</v>
          </cell>
        </row>
        <row r="3511">
          <cell r="A3511">
            <v>0</v>
          </cell>
          <cell r="B3511">
            <v>0</v>
          </cell>
        </row>
        <row r="3512">
          <cell r="A3512">
            <v>0</v>
          </cell>
          <cell r="B3512">
            <v>0</v>
          </cell>
        </row>
        <row r="3513">
          <cell r="A3513">
            <v>0</v>
          </cell>
          <cell r="B3513">
            <v>0</v>
          </cell>
        </row>
        <row r="3514">
          <cell r="A3514">
            <v>0</v>
          </cell>
          <cell r="B3514">
            <v>0</v>
          </cell>
        </row>
        <row r="3515">
          <cell r="A3515">
            <v>0</v>
          </cell>
          <cell r="B3515">
            <v>0</v>
          </cell>
        </row>
        <row r="3516">
          <cell r="A3516">
            <v>0</v>
          </cell>
          <cell r="B3516">
            <v>0</v>
          </cell>
        </row>
        <row r="3517">
          <cell r="A3517">
            <v>0</v>
          </cell>
          <cell r="B3517">
            <v>0</v>
          </cell>
        </row>
        <row r="3518">
          <cell r="A3518">
            <v>0</v>
          </cell>
          <cell r="B3518">
            <v>0</v>
          </cell>
        </row>
        <row r="3519">
          <cell r="A3519">
            <v>0</v>
          </cell>
          <cell r="B3519">
            <v>0</v>
          </cell>
        </row>
        <row r="3520">
          <cell r="A3520">
            <v>0</v>
          </cell>
          <cell r="B3520">
            <v>0</v>
          </cell>
        </row>
        <row r="3521">
          <cell r="A3521">
            <v>0</v>
          </cell>
          <cell r="B3521">
            <v>0</v>
          </cell>
        </row>
        <row r="3522">
          <cell r="A3522">
            <v>0</v>
          </cell>
          <cell r="B3522">
            <v>0</v>
          </cell>
        </row>
        <row r="3523">
          <cell r="A3523">
            <v>0</v>
          </cell>
          <cell r="B3523">
            <v>0</v>
          </cell>
        </row>
        <row r="3524">
          <cell r="A3524">
            <v>0</v>
          </cell>
          <cell r="B3524">
            <v>0</v>
          </cell>
        </row>
        <row r="3525">
          <cell r="A3525">
            <v>0</v>
          </cell>
          <cell r="B3525">
            <v>0</v>
          </cell>
        </row>
        <row r="3526">
          <cell r="A3526">
            <v>0</v>
          </cell>
          <cell r="B3526">
            <v>0</v>
          </cell>
        </row>
        <row r="3527">
          <cell r="A3527">
            <v>0</v>
          </cell>
          <cell r="B3527">
            <v>0</v>
          </cell>
        </row>
        <row r="3528">
          <cell r="A3528">
            <v>0</v>
          </cell>
          <cell r="B3528">
            <v>0</v>
          </cell>
        </row>
        <row r="3529">
          <cell r="A3529">
            <v>0</v>
          </cell>
          <cell r="B3529">
            <v>0</v>
          </cell>
        </row>
        <row r="3530">
          <cell r="A3530">
            <v>0</v>
          </cell>
          <cell r="B3530">
            <v>0</v>
          </cell>
        </row>
        <row r="3531">
          <cell r="A3531">
            <v>0</v>
          </cell>
          <cell r="B3531">
            <v>0</v>
          </cell>
        </row>
        <row r="3532">
          <cell r="A3532">
            <v>0</v>
          </cell>
          <cell r="B3532">
            <v>0</v>
          </cell>
        </row>
        <row r="3533">
          <cell r="A3533">
            <v>0</v>
          </cell>
          <cell r="B3533">
            <v>0</v>
          </cell>
        </row>
        <row r="3534">
          <cell r="A3534">
            <v>0</v>
          </cell>
          <cell r="B3534">
            <v>0</v>
          </cell>
        </row>
        <row r="3535">
          <cell r="A3535">
            <v>0</v>
          </cell>
          <cell r="B3535">
            <v>0</v>
          </cell>
        </row>
        <row r="3536">
          <cell r="A3536">
            <v>0</v>
          </cell>
          <cell r="B3536">
            <v>0</v>
          </cell>
        </row>
        <row r="3537">
          <cell r="A3537">
            <v>0</v>
          </cell>
          <cell r="B3537">
            <v>0</v>
          </cell>
        </row>
        <row r="3538">
          <cell r="A3538">
            <v>0</v>
          </cell>
          <cell r="B3538">
            <v>0</v>
          </cell>
        </row>
        <row r="3539">
          <cell r="A3539">
            <v>0</v>
          </cell>
          <cell r="B3539">
            <v>0</v>
          </cell>
        </row>
        <row r="3540">
          <cell r="A3540">
            <v>0</v>
          </cell>
          <cell r="B3540">
            <v>0</v>
          </cell>
        </row>
        <row r="3541">
          <cell r="A3541">
            <v>0</v>
          </cell>
          <cell r="B3541">
            <v>0</v>
          </cell>
        </row>
        <row r="3542">
          <cell r="A3542">
            <v>0</v>
          </cell>
          <cell r="B3542">
            <v>0</v>
          </cell>
        </row>
        <row r="3543">
          <cell r="A3543">
            <v>0</v>
          </cell>
          <cell r="B3543">
            <v>0</v>
          </cell>
        </row>
        <row r="3544">
          <cell r="A3544">
            <v>0</v>
          </cell>
          <cell r="B3544">
            <v>0</v>
          </cell>
        </row>
        <row r="3545">
          <cell r="A3545">
            <v>0</v>
          </cell>
          <cell r="B3545">
            <v>0</v>
          </cell>
        </row>
        <row r="3546">
          <cell r="A3546">
            <v>0</v>
          </cell>
          <cell r="B3546">
            <v>0</v>
          </cell>
        </row>
        <row r="3547">
          <cell r="A3547">
            <v>0</v>
          </cell>
          <cell r="B3547">
            <v>0</v>
          </cell>
        </row>
        <row r="3548">
          <cell r="A3548">
            <v>0</v>
          </cell>
          <cell r="B3548">
            <v>0</v>
          </cell>
        </row>
        <row r="3549">
          <cell r="A3549">
            <v>0</v>
          </cell>
          <cell r="B3549">
            <v>0</v>
          </cell>
        </row>
        <row r="3550">
          <cell r="A3550">
            <v>0</v>
          </cell>
          <cell r="B3550">
            <v>0</v>
          </cell>
        </row>
        <row r="3551">
          <cell r="A3551">
            <v>0</v>
          </cell>
          <cell r="B3551">
            <v>0</v>
          </cell>
        </row>
        <row r="3552">
          <cell r="A3552">
            <v>0</v>
          </cell>
          <cell r="B3552">
            <v>0</v>
          </cell>
        </row>
        <row r="3553">
          <cell r="A3553">
            <v>0</v>
          </cell>
          <cell r="B3553">
            <v>0</v>
          </cell>
        </row>
        <row r="3554">
          <cell r="A3554">
            <v>0</v>
          </cell>
          <cell r="B3554">
            <v>0</v>
          </cell>
        </row>
        <row r="3555">
          <cell r="A3555">
            <v>0</v>
          </cell>
          <cell r="B3555">
            <v>0</v>
          </cell>
        </row>
        <row r="3556">
          <cell r="A3556">
            <v>0</v>
          </cell>
          <cell r="B3556">
            <v>0</v>
          </cell>
        </row>
        <row r="3557">
          <cell r="A3557">
            <v>0</v>
          </cell>
          <cell r="B3557">
            <v>0</v>
          </cell>
        </row>
        <row r="3558">
          <cell r="A3558">
            <v>0</v>
          </cell>
          <cell r="B3558">
            <v>0</v>
          </cell>
        </row>
        <row r="3559">
          <cell r="A3559">
            <v>0</v>
          </cell>
          <cell r="B3559">
            <v>0</v>
          </cell>
        </row>
        <row r="3560">
          <cell r="A3560">
            <v>0</v>
          </cell>
          <cell r="B3560">
            <v>0</v>
          </cell>
        </row>
        <row r="3561">
          <cell r="A3561">
            <v>0</v>
          </cell>
          <cell r="B3561">
            <v>0</v>
          </cell>
        </row>
        <row r="3562">
          <cell r="A3562">
            <v>0</v>
          </cell>
          <cell r="B3562">
            <v>0</v>
          </cell>
        </row>
        <row r="3563">
          <cell r="A3563">
            <v>0</v>
          </cell>
          <cell r="B3563">
            <v>0</v>
          </cell>
        </row>
        <row r="3564">
          <cell r="A3564">
            <v>0</v>
          </cell>
          <cell r="B3564">
            <v>0</v>
          </cell>
        </row>
        <row r="3565">
          <cell r="A3565">
            <v>0</v>
          </cell>
          <cell r="B3565">
            <v>0</v>
          </cell>
        </row>
        <row r="3566">
          <cell r="A3566">
            <v>0</v>
          </cell>
          <cell r="B3566">
            <v>0</v>
          </cell>
        </row>
        <row r="3567">
          <cell r="A3567">
            <v>0</v>
          </cell>
          <cell r="B3567">
            <v>0</v>
          </cell>
        </row>
        <row r="3568">
          <cell r="A3568">
            <v>0</v>
          </cell>
          <cell r="B3568">
            <v>0</v>
          </cell>
        </row>
        <row r="3569">
          <cell r="A3569">
            <v>0</v>
          </cell>
          <cell r="B3569">
            <v>0</v>
          </cell>
        </row>
        <row r="3570">
          <cell r="A3570">
            <v>0</v>
          </cell>
          <cell r="B3570">
            <v>0</v>
          </cell>
        </row>
        <row r="3571">
          <cell r="A3571">
            <v>0</v>
          </cell>
          <cell r="B3571">
            <v>0</v>
          </cell>
        </row>
        <row r="3572">
          <cell r="A3572">
            <v>0</v>
          </cell>
          <cell r="B3572">
            <v>0</v>
          </cell>
        </row>
        <row r="3573">
          <cell r="A3573">
            <v>0</v>
          </cell>
          <cell r="B3573">
            <v>0</v>
          </cell>
        </row>
        <row r="3574">
          <cell r="A3574">
            <v>0</v>
          </cell>
          <cell r="B3574">
            <v>0</v>
          </cell>
        </row>
        <row r="3575">
          <cell r="A3575">
            <v>0</v>
          </cell>
          <cell r="B3575">
            <v>0</v>
          </cell>
        </row>
        <row r="3576">
          <cell r="A3576">
            <v>0</v>
          </cell>
          <cell r="B3576">
            <v>0</v>
          </cell>
        </row>
        <row r="3577">
          <cell r="A3577">
            <v>0</v>
          </cell>
          <cell r="B3577">
            <v>0</v>
          </cell>
        </row>
        <row r="3578">
          <cell r="A3578">
            <v>0</v>
          </cell>
          <cell r="B3578">
            <v>0</v>
          </cell>
        </row>
        <row r="3579">
          <cell r="A3579">
            <v>0</v>
          </cell>
          <cell r="B3579">
            <v>0</v>
          </cell>
        </row>
        <row r="3580">
          <cell r="A3580">
            <v>0</v>
          </cell>
          <cell r="B3580">
            <v>0</v>
          </cell>
        </row>
        <row r="3581">
          <cell r="A3581">
            <v>0</v>
          </cell>
          <cell r="B3581">
            <v>0</v>
          </cell>
        </row>
        <row r="3582">
          <cell r="A3582">
            <v>0</v>
          </cell>
          <cell r="B3582">
            <v>0</v>
          </cell>
        </row>
        <row r="3583">
          <cell r="A3583">
            <v>0</v>
          </cell>
          <cell r="B3583">
            <v>0</v>
          </cell>
        </row>
        <row r="3584">
          <cell r="A3584">
            <v>0</v>
          </cell>
          <cell r="B3584">
            <v>0</v>
          </cell>
        </row>
        <row r="3585">
          <cell r="A3585">
            <v>0</v>
          </cell>
          <cell r="B3585">
            <v>0</v>
          </cell>
        </row>
        <row r="3586">
          <cell r="A3586">
            <v>0</v>
          </cell>
          <cell r="B3586">
            <v>0</v>
          </cell>
        </row>
        <row r="3587">
          <cell r="A3587">
            <v>0</v>
          </cell>
          <cell r="B3587">
            <v>0</v>
          </cell>
        </row>
        <row r="3588">
          <cell r="A3588">
            <v>0</v>
          </cell>
          <cell r="B3588">
            <v>0</v>
          </cell>
        </row>
        <row r="3589">
          <cell r="A3589">
            <v>0</v>
          </cell>
          <cell r="B3589">
            <v>0</v>
          </cell>
        </row>
        <row r="3590">
          <cell r="A3590">
            <v>0</v>
          </cell>
          <cell r="B3590">
            <v>0</v>
          </cell>
        </row>
        <row r="3591">
          <cell r="A3591">
            <v>0</v>
          </cell>
          <cell r="B3591">
            <v>0</v>
          </cell>
        </row>
        <row r="3592">
          <cell r="A3592">
            <v>0</v>
          </cell>
          <cell r="B3592">
            <v>0</v>
          </cell>
        </row>
        <row r="3593">
          <cell r="A3593">
            <v>0</v>
          </cell>
          <cell r="B3593">
            <v>0</v>
          </cell>
        </row>
        <row r="3594">
          <cell r="A3594">
            <v>0</v>
          </cell>
          <cell r="B3594">
            <v>0</v>
          </cell>
        </row>
        <row r="3595">
          <cell r="A3595">
            <v>0</v>
          </cell>
          <cell r="B3595">
            <v>0</v>
          </cell>
        </row>
        <row r="3596">
          <cell r="A3596">
            <v>0</v>
          </cell>
          <cell r="B3596">
            <v>0</v>
          </cell>
        </row>
        <row r="3597">
          <cell r="A3597">
            <v>0</v>
          </cell>
          <cell r="B3597">
            <v>0</v>
          </cell>
        </row>
        <row r="3598">
          <cell r="A3598">
            <v>0</v>
          </cell>
          <cell r="B3598">
            <v>0</v>
          </cell>
        </row>
        <row r="3599">
          <cell r="A3599">
            <v>0</v>
          </cell>
          <cell r="B3599">
            <v>0</v>
          </cell>
        </row>
        <row r="3600">
          <cell r="A3600">
            <v>0</v>
          </cell>
          <cell r="B3600">
            <v>0</v>
          </cell>
        </row>
        <row r="3601">
          <cell r="A3601">
            <v>0</v>
          </cell>
          <cell r="B3601">
            <v>0</v>
          </cell>
        </row>
        <row r="3602">
          <cell r="A3602">
            <v>0</v>
          </cell>
          <cell r="B3602">
            <v>0</v>
          </cell>
        </row>
        <row r="3603">
          <cell r="A3603">
            <v>0</v>
          </cell>
          <cell r="B3603">
            <v>0</v>
          </cell>
        </row>
        <row r="3604">
          <cell r="A3604">
            <v>0</v>
          </cell>
          <cell r="B3604">
            <v>0</v>
          </cell>
        </row>
        <row r="3605">
          <cell r="A3605">
            <v>0</v>
          </cell>
          <cell r="B3605">
            <v>0</v>
          </cell>
        </row>
        <row r="3606">
          <cell r="A3606">
            <v>0</v>
          </cell>
          <cell r="B3606">
            <v>0</v>
          </cell>
        </row>
        <row r="3607">
          <cell r="A3607">
            <v>0</v>
          </cell>
          <cell r="B3607">
            <v>0</v>
          </cell>
        </row>
        <row r="3608">
          <cell r="A3608">
            <v>0</v>
          </cell>
          <cell r="B3608">
            <v>0</v>
          </cell>
        </row>
        <row r="3609">
          <cell r="A3609">
            <v>0</v>
          </cell>
          <cell r="B3609">
            <v>0</v>
          </cell>
        </row>
        <row r="3610">
          <cell r="A3610">
            <v>0</v>
          </cell>
          <cell r="B3610">
            <v>0</v>
          </cell>
        </row>
        <row r="3611">
          <cell r="A3611">
            <v>0</v>
          </cell>
          <cell r="B3611">
            <v>0</v>
          </cell>
        </row>
        <row r="3612">
          <cell r="A3612">
            <v>0</v>
          </cell>
          <cell r="B3612">
            <v>0</v>
          </cell>
        </row>
        <row r="3613">
          <cell r="A3613">
            <v>0</v>
          </cell>
          <cell r="B3613">
            <v>0</v>
          </cell>
        </row>
        <row r="3614">
          <cell r="A3614">
            <v>0</v>
          </cell>
          <cell r="B3614">
            <v>0</v>
          </cell>
        </row>
        <row r="3615">
          <cell r="A3615">
            <v>0</v>
          </cell>
          <cell r="B3615">
            <v>0</v>
          </cell>
        </row>
        <row r="3616">
          <cell r="A3616">
            <v>0</v>
          </cell>
          <cell r="B3616">
            <v>0</v>
          </cell>
        </row>
        <row r="3617">
          <cell r="A3617">
            <v>0</v>
          </cell>
          <cell r="B3617">
            <v>0</v>
          </cell>
        </row>
        <row r="3618">
          <cell r="A3618">
            <v>0</v>
          </cell>
          <cell r="B3618">
            <v>0</v>
          </cell>
        </row>
        <row r="3619">
          <cell r="A3619">
            <v>0</v>
          </cell>
          <cell r="B3619">
            <v>0</v>
          </cell>
        </row>
        <row r="3620">
          <cell r="A3620">
            <v>0</v>
          </cell>
          <cell r="B3620">
            <v>0</v>
          </cell>
        </row>
        <row r="3621">
          <cell r="A3621">
            <v>0</v>
          </cell>
          <cell r="B3621">
            <v>0</v>
          </cell>
        </row>
        <row r="3622">
          <cell r="A3622">
            <v>0</v>
          </cell>
          <cell r="B3622">
            <v>0</v>
          </cell>
        </row>
        <row r="3623">
          <cell r="A3623">
            <v>0</v>
          </cell>
          <cell r="B3623">
            <v>0</v>
          </cell>
        </row>
        <row r="3624">
          <cell r="A3624">
            <v>0</v>
          </cell>
          <cell r="B3624">
            <v>0</v>
          </cell>
        </row>
        <row r="3625">
          <cell r="A3625">
            <v>0</v>
          </cell>
          <cell r="B3625">
            <v>0</v>
          </cell>
        </row>
        <row r="3626">
          <cell r="A3626">
            <v>0</v>
          </cell>
          <cell r="B3626">
            <v>0</v>
          </cell>
        </row>
        <row r="3627">
          <cell r="A3627">
            <v>0</v>
          </cell>
          <cell r="B3627">
            <v>0</v>
          </cell>
        </row>
        <row r="3628">
          <cell r="A3628">
            <v>0</v>
          </cell>
          <cell r="B3628">
            <v>0</v>
          </cell>
        </row>
        <row r="3629">
          <cell r="A3629">
            <v>0</v>
          </cell>
          <cell r="B3629">
            <v>0</v>
          </cell>
        </row>
        <row r="3630">
          <cell r="A3630">
            <v>0</v>
          </cell>
          <cell r="B3630">
            <v>0</v>
          </cell>
        </row>
        <row r="3631">
          <cell r="A3631">
            <v>0</v>
          </cell>
          <cell r="B3631">
            <v>0</v>
          </cell>
        </row>
        <row r="3632">
          <cell r="A3632">
            <v>0</v>
          </cell>
          <cell r="B3632">
            <v>0</v>
          </cell>
        </row>
        <row r="3633">
          <cell r="A3633">
            <v>0</v>
          </cell>
          <cell r="B3633">
            <v>0</v>
          </cell>
        </row>
        <row r="3634">
          <cell r="A3634">
            <v>0</v>
          </cell>
          <cell r="B3634">
            <v>0</v>
          </cell>
        </row>
        <row r="3635">
          <cell r="A3635">
            <v>0</v>
          </cell>
          <cell r="B3635">
            <v>0</v>
          </cell>
        </row>
        <row r="3636">
          <cell r="A3636">
            <v>0</v>
          </cell>
          <cell r="B3636">
            <v>0</v>
          </cell>
        </row>
        <row r="3637">
          <cell r="A3637">
            <v>0</v>
          </cell>
          <cell r="B3637">
            <v>0</v>
          </cell>
        </row>
        <row r="3638">
          <cell r="A3638">
            <v>0</v>
          </cell>
          <cell r="B3638">
            <v>0</v>
          </cell>
        </row>
        <row r="3639">
          <cell r="A3639">
            <v>0</v>
          </cell>
          <cell r="B3639">
            <v>0</v>
          </cell>
        </row>
        <row r="3640">
          <cell r="A3640">
            <v>0</v>
          </cell>
          <cell r="B3640">
            <v>0</v>
          </cell>
        </row>
        <row r="3641">
          <cell r="A3641">
            <v>0</v>
          </cell>
          <cell r="B3641">
            <v>0</v>
          </cell>
        </row>
        <row r="3642">
          <cell r="A3642">
            <v>0</v>
          </cell>
          <cell r="B3642">
            <v>0</v>
          </cell>
        </row>
        <row r="3643">
          <cell r="A3643">
            <v>0</v>
          </cell>
          <cell r="B3643">
            <v>0</v>
          </cell>
        </row>
        <row r="3644">
          <cell r="A3644">
            <v>0</v>
          </cell>
          <cell r="B3644">
            <v>0</v>
          </cell>
        </row>
        <row r="3645">
          <cell r="A3645">
            <v>0</v>
          </cell>
          <cell r="B3645">
            <v>0</v>
          </cell>
        </row>
        <row r="3646">
          <cell r="A3646">
            <v>0</v>
          </cell>
          <cell r="B3646">
            <v>0</v>
          </cell>
        </row>
        <row r="3647">
          <cell r="A3647">
            <v>0</v>
          </cell>
          <cell r="B3647">
            <v>0</v>
          </cell>
        </row>
        <row r="3648">
          <cell r="A3648">
            <v>0</v>
          </cell>
          <cell r="B3648">
            <v>0</v>
          </cell>
        </row>
        <row r="3649">
          <cell r="A3649">
            <v>0</v>
          </cell>
          <cell r="B3649">
            <v>0</v>
          </cell>
        </row>
        <row r="3650">
          <cell r="A3650">
            <v>0</v>
          </cell>
          <cell r="B3650">
            <v>0</v>
          </cell>
        </row>
        <row r="3651">
          <cell r="A3651">
            <v>0</v>
          </cell>
          <cell r="B3651">
            <v>0</v>
          </cell>
        </row>
        <row r="3652">
          <cell r="A3652">
            <v>0</v>
          </cell>
          <cell r="B3652">
            <v>0</v>
          </cell>
        </row>
        <row r="3653">
          <cell r="A3653">
            <v>0</v>
          </cell>
          <cell r="B3653">
            <v>0</v>
          </cell>
        </row>
        <row r="3654">
          <cell r="A3654">
            <v>0</v>
          </cell>
          <cell r="B3654">
            <v>0</v>
          </cell>
        </row>
        <row r="3655">
          <cell r="A3655">
            <v>0</v>
          </cell>
          <cell r="B3655">
            <v>0</v>
          </cell>
        </row>
        <row r="3656">
          <cell r="A3656">
            <v>0</v>
          </cell>
          <cell r="B3656">
            <v>0</v>
          </cell>
        </row>
        <row r="3657">
          <cell r="A3657">
            <v>0</v>
          </cell>
          <cell r="B3657">
            <v>0</v>
          </cell>
        </row>
        <row r="3658">
          <cell r="A3658">
            <v>0</v>
          </cell>
          <cell r="B3658">
            <v>0</v>
          </cell>
        </row>
        <row r="3659">
          <cell r="A3659">
            <v>0</v>
          </cell>
          <cell r="B3659">
            <v>0</v>
          </cell>
        </row>
        <row r="3660">
          <cell r="A3660">
            <v>0</v>
          </cell>
          <cell r="B3660">
            <v>0</v>
          </cell>
        </row>
        <row r="3661">
          <cell r="A3661">
            <v>0</v>
          </cell>
          <cell r="B3661">
            <v>0</v>
          </cell>
        </row>
        <row r="3662">
          <cell r="A3662">
            <v>0</v>
          </cell>
          <cell r="B3662">
            <v>0</v>
          </cell>
        </row>
        <row r="3663">
          <cell r="A3663">
            <v>0</v>
          </cell>
          <cell r="B3663">
            <v>0</v>
          </cell>
        </row>
        <row r="3664">
          <cell r="A3664">
            <v>0</v>
          </cell>
          <cell r="B3664">
            <v>0</v>
          </cell>
        </row>
        <row r="3665">
          <cell r="A3665">
            <v>0</v>
          </cell>
          <cell r="B3665">
            <v>0</v>
          </cell>
        </row>
        <row r="3666">
          <cell r="A3666">
            <v>0</v>
          </cell>
          <cell r="B3666">
            <v>0</v>
          </cell>
        </row>
        <row r="3667">
          <cell r="A3667">
            <v>0</v>
          </cell>
          <cell r="B3667">
            <v>0</v>
          </cell>
        </row>
        <row r="3668">
          <cell r="A3668">
            <v>0</v>
          </cell>
          <cell r="B3668">
            <v>0</v>
          </cell>
        </row>
        <row r="3669">
          <cell r="A3669">
            <v>0</v>
          </cell>
          <cell r="B3669">
            <v>0</v>
          </cell>
        </row>
        <row r="3670">
          <cell r="A3670">
            <v>0</v>
          </cell>
          <cell r="B3670">
            <v>0</v>
          </cell>
        </row>
        <row r="3671">
          <cell r="A3671">
            <v>0</v>
          </cell>
          <cell r="B3671">
            <v>0</v>
          </cell>
        </row>
        <row r="3672">
          <cell r="A3672">
            <v>0</v>
          </cell>
          <cell r="B3672">
            <v>0</v>
          </cell>
        </row>
        <row r="3673">
          <cell r="A3673">
            <v>0</v>
          </cell>
          <cell r="B3673">
            <v>0</v>
          </cell>
        </row>
        <row r="3674">
          <cell r="A3674">
            <v>0</v>
          </cell>
          <cell r="B3674">
            <v>0</v>
          </cell>
        </row>
        <row r="3675">
          <cell r="A3675">
            <v>0</v>
          </cell>
          <cell r="B3675">
            <v>0</v>
          </cell>
        </row>
        <row r="3676">
          <cell r="A3676">
            <v>0</v>
          </cell>
          <cell r="B3676">
            <v>0</v>
          </cell>
        </row>
        <row r="3677">
          <cell r="A3677">
            <v>0</v>
          </cell>
          <cell r="B3677">
            <v>0</v>
          </cell>
        </row>
        <row r="3678">
          <cell r="A3678">
            <v>0</v>
          </cell>
          <cell r="B3678">
            <v>0</v>
          </cell>
        </row>
        <row r="3679">
          <cell r="A3679">
            <v>0</v>
          </cell>
          <cell r="B3679">
            <v>0</v>
          </cell>
        </row>
        <row r="3680">
          <cell r="A3680">
            <v>0</v>
          </cell>
          <cell r="B3680">
            <v>0</v>
          </cell>
        </row>
        <row r="3681">
          <cell r="A3681">
            <v>0</v>
          </cell>
          <cell r="B3681">
            <v>0</v>
          </cell>
        </row>
        <row r="3682">
          <cell r="A3682">
            <v>0</v>
          </cell>
          <cell r="B3682">
            <v>0</v>
          </cell>
        </row>
        <row r="3683">
          <cell r="A3683">
            <v>0</v>
          </cell>
          <cell r="B3683">
            <v>0</v>
          </cell>
        </row>
        <row r="3684">
          <cell r="A3684">
            <v>0</v>
          </cell>
          <cell r="B3684">
            <v>0</v>
          </cell>
        </row>
        <row r="3685">
          <cell r="A3685">
            <v>0</v>
          </cell>
          <cell r="B3685">
            <v>0</v>
          </cell>
        </row>
        <row r="3686">
          <cell r="A3686">
            <v>0</v>
          </cell>
          <cell r="B3686">
            <v>0</v>
          </cell>
        </row>
        <row r="3687">
          <cell r="A3687">
            <v>0</v>
          </cell>
          <cell r="B3687">
            <v>0</v>
          </cell>
        </row>
        <row r="3688">
          <cell r="A3688">
            <v>0</v>
          </cell>
          <cell r="B3688">
            <v>0</v>
          </cell>
        </row>
        <row r="3689">
          <cell r="A3689">
            <v>0</v>
          </cell>
          <cell r="B3689">
            <v>0</v>
          </cell>
        </row>
        <row r="3690">
          <cell r="A3690">
            <v>0</v>
          </cell>
          <cell r="B3690">
            <v>0</v>
          </cell>
        </row>
        <row r="3691">
          <cell r="A3691">
            <v>0</v>
          </cell>
          <cell r="B3691">
            <v>0</v>
          </cell>
        </row>
        <row r="3692">
          <cell r="A3692">
            <v>0</v>
          </cell>
          <cell r="B3692">
            <v>0</v>
          </cell>
        </row>
        <row r="3693">
          <cell r="A3693">
            <v>0</v>
          </cell>
          <cell r="B3693">
            <v>0</v>
          </cell>
        </row>
        <row r="3694">
          <cell r="A3694">
            <v>0</v>
          </cell>
          <cell r="B3694">
            <v>0</v>
          </cell>
        </row>
        <row r="3695">
          <cell r="A3695">
            <v>0</v>
          </cell>
          <cell r="B3695">
            <v>0</v>
          </cell>
        </row>
        <row r="3696">
          <cell r="A3696">
            <v>0</v>
          </cell>
          <cell r="B3696">
            <v>0</v>
          </cell>
        </row>
        <row r="3697">
          <cell r="A3697">
            <v>0</v>
          </cell>
          <cell r="B3697">
            <v>0</v>
          </cell>
        </row>
        <row r="3698">
          <cell r="A3698">
            <v>0</v>
          </cell>
          <cell r="B3698">
            <v>0</v>
          </cell>
        </row>
        <row r="3699">
          <cell r="A3699">
            <v>0</v>
          </cell>
          <cell r="B3699">
            <v>0</v>
          </cell>
        </row>
        <row r="3700">
          <cell r="A3700">
            <v>0</v>
          </cell>
          <cell r="B3700">
            <v>0</v>
          </cell>
        </row>
        <row r="3701">
          <cell r="A3701">
            <v>0</v>
          </cell>
          <cell r="B3701">
            <v>0</v>
          </cell>
        </row>
        <row r="3702">
          <cell r="A3702">
            <v>0</v>
          </cell>
          <cell r="B3702">
            <v>0</v>
          </cell>
        </row>
        <row r="3703">
          <cell r="A3703">
            <v>0</v>
          </cell>
          <cell r="B3703">
            <v>0</v>
          </cell>
        </row>
        <row r="3704">
          <cell r="A3704">
            <v>0</v>
          </cell>
          <cell r="B3704">
            <v>0</v>
          </cell>
        </row>
        <row r="3705">
          <cell r="A3705">
            <v>0</v>
          </cell>
          <cell r="B3705">
            <v>0</v>
          </cell>
        </row>
        <row r="3706">
          <cell r="A3706">
            <v>0</v>
          </cell>
          <cell r="B3706">
            <v>0</v>
          </cell>
        </row>
        <row r="3707">
          <cell r="A3707">
            <v>0</v>
          </cell>
          <cell r="B3707">
            <v>0</v>
          </cell>
        </row>
        <row r="3708">
          <cell r="A3708">
            <v>0</v>
          </cell>
          <cell r="B3708">
            <v>0</v>
          </cell>
        </row>
        <row r="3709">
          <cell r="A3709">
            <v>0</v>
          </cell>
          <cell r="B3709">
            <v>0</v>
          </cell>
        </row>
        <row r="3710">
          <cell r="A3710">
            <v>0</v>
          </cell>
          <cell r="B3710">
            <v>0</v>
          </cell>
        </row>
        <row r="3711">
          <cell r="A3711">
            <v>0</v>
          </cell>
          <cell r="B3711">
            <v>0</v>
          </cell>
        </row>
        <row r="3712">
          <cell r="A3712">
            <v>0</v>
          </cell>
          <cell r="B3712">
            <v>0</v>
          </cell>
        </row>
        <row r="3713">
          <cell r="A3713">
            <v>0</v>
          </cell>
          <cell r="B3713">
            <v>0</v>
          </cell>
        </row>
        <row r="3714">
          <cell r="A3714">
            <v>0</v>
          </cell>
          <cell r="B3714">
            <v>0</v>
          </cell>
        </row>
        <row r="3715">
          <cell r="A3715">
            <v>0</v>
          </cell>
          <cell r="B3715">
            <v>0</v>
          </cell>
        </row>
        <row r="3716">
          <cell r="A3716">
            <v>0</v>
          </cell>
          <cell r="B3716">
            <v>0</v>
          </cell>
        </row>
        <row r="3717">
          <cell r="A3717">
            <v>0</v>
          </cell>
          <cell r="B3717">
            <v>0</v>
          </cell>
        </row>
        <row r="3718">
          <cell r="A3718">
            <v>0</v>
          </cell>
          <cell r="B3718">
            <v>0</v>
          </cell>
        </row>
        <row r="3719">
          <cell r="A3719">
            <v>0</v>
          </cell>
          <cell r="B3719">
            <v>0</v>
          </cell>
        </row>
        <row r="3720">
          <cell r="A3720">
            <v>0</v>
          </cell>
          <cell r="B3720">
            <v>0</v>
          </cell>
        </row>
        <row r="3721">
          <cell r="A3721">
            <v>0</v>
          </cell>
          <cell r="B3721">
            <v>0</v>
          </cell>
        </row>
        <row r="3722">
          <cell r="A3722">
            <v>0</v>
          </cell>
          <cell r="B3722">
            <v>0</v>
          </cell>
        </row>
        <row r="3723">
          <cell r="A3723">
            <v>0</v>
          </cell>
          <cell r="B3723">
            <v>0</v>
          </cell>
        </row>
        <row r="3724">
          <cell r="A3724">
            <v>0</v>
          </cell>
          <cell r="B3724">
            <v>0</v>
          </cell>
        </row>
        <row r="3725">
          <cell r="A3725">
            <v>0</v>
          </cell>
          <cell r="B3725">
            <v>0</v>
          </cell>
        </row>
        <row r="3726">
          <cell r="A3726">
            <v>0</v>
          </cell>
          <cell r="B3726">
            <v>0</v>
          </cell>
        </row>
        <row r="3727">
          <cell r="A3727">
            <v>0</v>
          </cell>
          <cell r="B3727">
            <v>0</v>
          </cell>
        </row>
        <row r="3728">
          <cell r="A3728">
            <v>0</v>
          </cell>
          <cell r="B3728">
            <v>0</v>
          </cell>
        </row>
        <row r="3729">
          <cell r="A3729">
            <v>0</v>
          </cell>
          <cell r="B3729">
            <v>0</v>
          </cell>
        </row>
        <row r="3730">
          <cell r="A3730">
            <v>0</v>
          </cell>
          <cell r="B3730">
            <v>0</v>
          </cell>
        </row>
        <row r="3731">
          <cell r="A3731">
            <v>0</v>
          </cell>
          <cell r="B3731">
            <v>0</v>
          </cell>
        </row>
        <row r="3732">
          <cell r="A3732">
            <v>0</v>
          </cell>
          <cell r="B3732">
            <v>0</v>
          </cell>
        </row>
        <row r="3733">
          <cell r="A3733">
            <v>0</v>
          </cell>
          <cell r="B3733">
            <v>0</v>
          </cell>
        </row>
        <row r="3734">
          <cell r="A3734">
            <v>0</v>
          </cell>
          <cell r="B3734">
            <v>0</v>
          </cell>
        </row>
        <row r="3735">
          <cell r="A3735">
            <v>0</v>
          </cell>
          <cell r="B3735">
            <v>0</v>
          </cell>
        </row>
        <row r="3736">
          <cell r="A3736">
            <v>0</v>
          </cell>
          <cell r="B3736">
            <v>0</v>
          </cell>
        </row>
        <row r="3737">
          <cell r="A3737">
            <v>0</v>
          </cell>
          <cell r="B3737">
            <v>0</v>
          </cell>
        </row>
        <row r="3738">
          <cell r="A3738">
            <v>0</v>
          </cell>
          <cell r="B3738">
            <v>0</v>
          </cell>
        </row>
        <row r="3739">
          <cell r="A3739">
            <v>0</v>
          </cell>
          <cell r="B3739">
            <v>0</v>
          </cell>
        </row>
        <row r="3740">
          <cell r="A3740">
            <v>0</v>
          </cell>
          <cell r="B3740">
            <v>0</v>
          </cell>
        </row>
        <row r="3741">
          <cell r="A3741">
            <v>0</v>
          </cell>
          <cell r="B3741">
            <v>0</v>
          </cell>
        </row>
        <row r="3742">
          <cell r="A3742">
            <v>0</v>
          </cell>
          <cell r="B3742">
            <v>0</v>
          </cell>
        </row>
        <row r="3743">
          <cell r="A3743">
            <v>0</v>
          </cell>
          <cell r="B3743">
            <v>0</v>
          </cell>
        </row>
        <row r="3744">
          <cell r="A3744">
            <v>0</v>
          </cell>
          <cell r="B3744">
            <v>0</v>
          </cell>
        </row>
        <row r="3745">
          <cell r="A3745">
            <v>0</v>
          </cell>
          <cell r="B3745">
            <v>0</v>
          </cell>
        </row>
        <row r="3746">
          <cell r="A3746">
            <v>0</v>
          </cell>
          <cell r="B3746">
            <v>0</v>
          </cell>
        </row>
        <row r="3747">
          <cell r="A3747">
            <v>0</v>
          </cell>
          <cell r="B3747">
            <v>0</v>
          </cell>
        </row>
        <row r="3748">
          <cell r="A3748">
            <v>0</v>
          </cell>
          <cell r="B3748">
            <v>0</v>
          </cell>
        </row>
        <row r="3749">
          <cell r="A3749">
            <v>0</v>
          </cell>
          <cell r="B3749">
            <v>0</v>
          </cell>
        </row>
        <row r="3750">
          <cell r="A3750">
            <v>0</v>
          </cell>
          <cell r="B3750">
            <v>0</v>
          </cell>
        </row>
        <row r="3751">
          <cell r="A3751">
            <v>0</v>
          </cell>
          <cell r="B3751">
            <v>0</v>
          </cell>
        </row>
        <row r="3752">
          <cell r="A3752">
            <v>0</v>
          </cell>
          <cell r="B3752">
            <v>0</v>
          </cell>
        </row>
        <row r="3753">
          <cell r="A3753">
            <v>0</v>
          </cell>
          <cell r="B3753">
            <v>0</v>
          </cell>
        </row>
        <row r="3754">
          <cell r="A3754">
            <v>0</v>
          </cell>
          <cell r="B3754">
            <v>0</v>
          </cell>
        </row>
        <row r="3755">
          <cell r="A3755">
            <v>0</v>
          </cell>
          <cell r="B3755">
            <v>0</v>
          </cell>
        </row>
        <row r="3756">
          <cell r="A3756">
            <v>0</v>
          </cell>
          <cell r="B3756">
            <v>0</v>
          </cell>
        </row>
        <row r="3757">
          <cell r="A3757">
            <v>0</v>
          </cell>
          <cell r="B3757">
            <v>0</v>
          </cell>
        </row>
        <row r="3758">
          <cell r="A3758">
            <v>0</v>
          </cell>
          <cell r="B3758">
            <v>0</v>
          </cell>
        </row>
        <row r="3759">
          <cell r="A3759">
            <v>0</v>
          </cell>
          <cell r="B3759">
            <v>0</v>
          </cell>
        </row>
        <row r="3760">
          <cell r="A3760">
            <v>0</v>
          </cell>
          <cell r="B3760">
            <v>0</v>
          </cell>
        </row>
        <row r="3761">
          <cell r="A3761">
            <v>0</v>
          </cell>
          <cell r="B3761">
            <v>0</v>
          </cell>
        </row>
        <row r="3762">
          <cell r="A3762">
            <v>0</v>
          </cell>
          <cell r="B3762">
            <v>0</v>
          </cell>
        </row>
        <row r="3763">
          <cell r="A3763">
            <v>0</v>
          </cell>
          <cell r="B3763">
            <v>0</v>
          </cell>
        </row>
        <row r="3764">
          <cell r="A3764">
            <v>0</v>
          </cell>
          <cell r="B3764">
            <v>0</v>
          </cell>
        </row>
        <row r="3765">
          <cell r="A3765">
            <v>0</v>
          </cell>
          <cell r="B3765">
            <v>0</v>
          </cell>
        </row>
        <row r="3766">
          <cell r="A3766">
            <v>0</v>
          </cell>
          <cell r="B3766">
            <v>0</v>
          </cell>
        </row>
        <row r="3767">
          <cell r="A3767">
            <v>0</v>
          </cell>
          <cell r="B3767">
            <v>0</v>
          </cell>
        </row>
        <row r="3768">
          <cell r="A3768">
            <v>0</v>
          </cell>
          <cell r="B3768">
            <v>0</v>
          </cell>
        </row>
        <row r="3769">
          <cell r="A3769">
            <v>0</v>
          </cell>
          <cell r="B3769">
            <v>0</v>
          </cell>
        </row>
        <row r="3770">
          <cell r="A3770">
            <v>0</v>
          </cell>
          <cell r="B3770">
            <v>0</v>
          </cell>
        </row>
        <row r="3771">
          <cell r="A3771">
            <v>0</v>
          </cell>
          <cell r="B3771">
            <v>0</v>
          </cell>
        </row>
        <row r="3772">
          <cell r="A3772">
            <v>0</v>
          </cell>
          <cell r="B3772">
            <v>0</v>
          </cell>
        </row>
        <row r="3773">
          <cell r="A3773">
            <v>0</v>
          </cell>
          <cell r="B3773">
            <v>0</v>
          </cell>
        </row>
        <row r="3774">
          <cell r="A3774">
            <v>0</v>
          </cell>
          <cell r="B3774">
            <v>0</v>
          </cell>
        </row>
        <row r="3775">
          <cell r="A3775">
            <v>0</v>
          </cell>
          <cell r="B3775">
            <v>0</v>
          </cell>
        </row>
        <row r="3776">
          <cell r="A3776">
            <v>0</v>
          </cell>
          <cell r="B3776">
            <v>0</v>
          </cell>
        </row>
        <row r="3777">
          <cell r="A3777">
            <v>0</v>
          </cell>
          <cell r="B3777">
            <v>0</v>
          </cell>
        </row>
        <row r="3778">
          <cell r="A3778">
            <v>0</v>
          </cell>
          <cell r="B3778">
            <v>0</v>
          </cell>
        </row>
        <row r="3779">
          <cell r="A3779">
            <v>0</v>
          </cell>
          <cell r="B3779">
            <v>0</v>
          </cell>
        </row>
        <row r="3780">
          <cell r="A3780">
            <v>0</v>
          </cell>
          <cell r="B3780">
            <v>0</v>
          </cell>
        </row>
        <row r="3781">
          <cell r="A3781">
            <v>0</v>
          </cell>
          <cell r="B3781">
            <v>0</v>
          </cell>
        </row>
        <row r="3782">
          <cell r="A3782">
            <v>0</v>
          </cell>
          <cell r="B3782">
            <v>0</v>
          </cell>
        </row>
        <row r="3783">
          <cell r="A3783">
            <v>0</v>
          </cell>
          <cell r="B3783">
            <v>0</v>
          </cell>
        </row>
        <row r="3784">
          <cell r="A3784">
            <v>0</v>
          </cell>
          <cell r="B3784">
            <v>0</v>
          </cell>
        </row>
        <row r="3785">
          <cell r="A3785">
            <v>0</v>
          </cell>
          <cell r="B3785">
            <v>0</v>
          </cell>
        </row>
        <row r="3786">
          <cell r="A3786">
            <v>0</v>
          </cell>
          <cell r="B3786">
            <v>0</v>
          </cell>
        </row>
        <row r="3787">
          <cell r="A3787">
            <v>0</v>
          </cell>
          <cell r="B3787">
            <v>0</v>
          </cell>
        </row>
        <row r="3788">
          <cell r="A3788">
            <v>0</v>
          </cell>
          <cell r="B3788">
            <v>0</v>
          </cell>
        </row>
        <row r="3789">
          <cell r="A3789">
            <v>0</v>
          </cell>
          <cell r="B3789">
            <v>0</v>
          </cell>
        </row>
        <row r="3790">
          <cell r="A3790">
            <v>0</v>
          </cell>
          <cell r="B3790">
            <v>0</v>
          </cell>
        </row>
        <row r="3791">
          <cell r="A3791">
            <v>0</v>
          </cell>
          <cell r="B3791">
            <v>0</v>
          </cell>
        </row>
        <row r="3792">
          <cell r="A3792">
            <v>0</v>
          </cell>
          <cell r="B3792">
            <v>0</v>
          </cell>
        </row>
        <row r="3793">
          <cell r="A3793">
            <v>0</v>
          </cell>
          <cell r="B3793">
            <v>0</v>
          </cell>
        </row>
        <row r="3794">
          <cell r="A3794">
            <v>0</v>
          </cell>
          <cell r="B3794">
            <v>0</v>
          </cell>
        </row>
        <row r="3795">
          <cell r="A3795">
            <v>0</v>
          </cell>
          <cell r="B3795">
            <v>0</v>
          </cell>
        </row>
        <row r="3796">
          <cell r="A3796">
            <v>0</v>
          </cell>
          <cell r="B3796">
            <v>0</v>
          </cell>
        </row>
        <row r="3797">
          <cell r="A3797">
            <v>0</v>
          </cell>
          <cell r="B3797">
            <v>0</v>
          </cell>
        </row>
        <row r="3798">
          <cell r="A3798">
            <v>0</v>
          </cell>
          <cell r="B3798">
            <v>0</v>
          </cell>
        </row>
        <row r="3799">
          <cell r="A3799">
            <v>0</v>
          </cell>
          <cell r="B3799">
            <v>0</v>
          </cell>
        </row>
        <row r="3800">
          <cell r="A3800">
            <v>0</v>
          </cell>
          <cell r="B3800">
            <v>0</v>
          </cell>
        </row>
        <row r="3801">
          <cell r="A3801">
            <v>0</v>
          </cell>
          <cell r="B3801">
            <v>0</v>
          </cell>
        </row>
        <row r="3802">
          <cell r="A3802">
            <v>0</v>
          </cell>
          <cell r="B3802">
            <v>0</v>
          </cell>
        </row>
        <row r="3803">
          <cell r="A3803">
            <v>0</v>
          </cell>
          <cell r="B3803">
            <v>0</v>
          </cell>
        </row>
        <row r="3804">
          <cell r="A3804">
            <v>0</v>
          </cell>
          <cell r="B3804">
            <v>0</v>
          </cell>
        </row>
        <row r="3805">
          <cell r="A3805">
            <v>0</v>
          </cell>
          <cell r="B3805">
            <v>0</v>
          </cell>
        </row>
        <row r="3806">
          <cell r="A3806">
            <v>0</v>
          </cell>
          <cell r="B3806">
            <v>0</v>
          </cell>
        </row>
        <row r="3807">
          <cell r="A3807">
            <v>0</v>
          </cell>
          <cell r="B3807">
            <v>0</v>
          </cell>
        </row>
        <row r="3808">
          <cell r="A3808">
            <v>0</v>
          </cell>
          <cell r="B3808">
            <v>0</v>
          </cell>
        </row>
        <row r="3809">
          <cell r="A3809">
            <v>0</v>
          </cell>
          <cell r="B3809">
            <v>0</v>
          </cell>
        </row>
        <row r="3810">
          <cell r="A3810">
            <v>0</v>
          </cell>
          <cell r="B3810">
            <v>0</v>
          </cell>
        </row>
        <row r="3811">
          <cell r="A3811">
            <v>0</v>
          </cell>
          <cell r="B3811">
            <v>0</v>
          </cell>
        </row>
        <row r="3812">
          <cell r="A3812">
            <v>0</v>
          </cell>
          <cell r="B3812">
            <v>0</v>
          </cell>
        </row>
        <row r="3813">
          <cell r="A3813">
            <v>0</v>
          </cell>
          <cell r="B3813">
            <v>0</v>
          </cell>
        </row>
        <row r="3814">
          <cell r="A3814">
            <v>0</v>
          </cell>
          <cell r="B3814">
            <v>0</v>
          </cell>
        </row>
        <row r="3815">
          <cell r="A3815">
            <v>0</v>
          </cell>
          <cell r="B3815">
            <v>0</v>
          </cell>
        </row>
        <row r="3816">
          <cell r="A3816">
            <v>0</v>
          </cell>
          <cell r="B3816">
            <v>0</v>
          </cell>
        </row>
        <row r="3817">
          <cell r="A3817">
            <v>0</v>
          </cell>
          <cell r="B3817">
            <v>0</v>
          </cell>
        </row>
        <row r="3818">
          <cell r="A3818">
            <v>0</v>
          </cell>
          <cell r="B3818">
            <v>0</v>
          </cell>
        </row>
        <row r="3819">
          <cell r="A3819">
            <v>0</v>
          </cell>
          <cell r="B3819">
            <v>0</v>
          </cell>
        </row>
        <row r="3820">
          <cell r="A3820">
            <v>0</v>
          </cell>
          <cell r="B3820">
            <v>0</v>
          </cell>
        </row>
        <row r="3821">
          <cell r="A3821">
            <v>0</v>
          </cell>
          <cell r="B3821">
            <v>0</v>
          </cell>
        </row>
        <row r="3822">
          <cell r="A3822">
            <v>0</v>
          </cell>
          <cell r="B3822">
            <v>0</v>
          </cell>
        </row>
        <row r="3823">
          <cell r="A3823">
            <v>0</v>
          </cell>
          <cell r="B3823">
            <v>0</v>
          </cell>
        </row>
        <row r="3824">
          <cell r="A3824">
            <v>0</v>
          </cell>
          <cell r="B3824">
            <v>0</v>
          </cell>
        </row>
        <row r="3825">
          <cell r="A3825">
            <v>0</v>
          </cell>
          <cell r="B3825">
            <v>0</v>
          </cell>
        </row>
        <row r="3826">
          <cell r="A3826">
            <v>0</v>
          </cell>
          <cell r="B3826">
            <v>0</v>
          </cell>
        </row>
        <row r="3827">
          <cell r="A3827">
            <v>0</v>
          </cell>
          <cell r="B3827">
            <v>0</v>
          </cell>
        </row>
        <row r="3828">
          <cell r="A3828">
            <v>0</v>
          </cell>
          <cell r="B3828">
            <v>0</v>
          </cell>
        </row>
        <row r="3829">
          <cell r="A3829">
            <v>0</v>
          </cell>
          <cell r="B3829">
            <v>0</v>
          </cell>
        </row>
        <row r="3830">
          <cell r="A3830">
            <v>0</v>
          </cell>
          <cell r="B3830">
            <v>0</v>
          </cell>
        </row>
        <row r="3831">
          <cell r="A3831">
            <v>0</v>
          </cell>
          <cell r="B3831">
            <v>0</v>
          </cell>
        </row>
        <row r="3832">
          <cell r="A3832">
            <v>0</v>
          </cell>
          <cell r="B3832">
            <v>0</v>
          </cell>
        </row>
        <row r="3833">
          <cell r="A3833">
            <v>0</v>
          </cell>
          <cell r="B3833">
            <v>0</v>
          </cell>
        </row>
        <row r="3834">
          <cell r="A3834">
            <v>0</v>
          </cell>
          <cell r="B3834">
            <v>0</v>
          </cell>
        </row>
        <row r="3835">
          <cell r="A3835">
            <v>0</v>
          </cell>
          <cell r="B3835">
            <v>0</v>
          </cell>
        </row>
        <row r="3836">
          <cell r="A3836">
            <v>0</v>
          </cell>
          <cell r="B3836">
            <v>0</v>
          </cell>
        </row>
        <row r="3837">
          <cell r="A3837">
            <v>0</v>
          </cell>
          <cell r="B3837">
            <v>0</v>
          </cell>
        </row>
        <row r="3838">
          <cell r="A3838">
            <v>0</v>
          </cell>
          <cell r="B3838">
            <v>0</v>
          </cell>
        </row>
        <row r="3839">
          <cell r="A3839">
            <v>0</v>
          </cell>
          <cell r="B3839">
            <v>0</v>
          </cell>
        </row>
        <row r="3840">
          <cell r="A3840">
            <v>0</v>
          </cell>
          <cell r="B3840">
            <v>0</v>
          </cell>
        </row>
        <row r="3841">
          <cell r="A3841">
            <v>0</v>
          </cell>
          <cell r="B3841">
            <v>0</v>
          </cell>
        </row>
        <row r="3842">
          <cell r="A3842">
            <v>0</v>
          </cell>
          <cell r="B3842">
            <v>0</v>
          </cell>
        </row>
        <row r="3843">
          <cell r="A3843">
            <v>0</v>
          </cell>
          <cell r="B3843">
            <v>0</v>
          </cell>
        </row>
        <row r="3844">
          <cell r="A3844">
            <v>0</v>
          </cell>
          <cell r="B3844">
            <v>0</v>
          </cell>
        </row>
        <row r="3845">
          <cell r="A3845">
            <v>0</v>
          </cell>
          <cell r="B3845">
            <v>0</v>
          </cell>
        </row>
        <row r="3846">
          <cell r="A3846">
            <v>0</v>
          </cell>
          <cell r="B3846">
            <v>0</v>
          </cell>
        </row>
        <row r="3847">
          <cell r="A3847">
            <v>0</v>
          </cell>
          <cell r="B3847">
            <v>0</v>
          </cell>
        </row>
        <row r="3848">
          <cell r="A3848">
            <v>0</v>
          </cell>
          <cell r="B3848">
            <v>0</v>
          </cell>
        </row>
        <row r="3849">
          <cell r="A3849">
            <v>0</v>
          </cell>
          <cell r="B3849">
            <v>0</v>
          </cell>
        </row>
        <row r="3850">
          <cell r="A3850">
            <v>0</v>
          </cell>
          <cell r="B3850">
            <v>0</v>
          </cell>
        </row>
        <row r="3851">
          <cell r="A3851">
            <v>0</v>
          </cell>
          <cell r="B3851">
            <v>0</v>
          </cell>
        </row>
        <row r="3852">
          <cell r="A3852">
            <v>0</v>
          </cell>
          <cell r="B3852">
            <v>0</v>
          </cell>
        </row>
        <row r="3853">
          <cell r="A3853">
            <v>0</v>
          </cell>
          <cell r="B3853">
            <v>0</v>
          </cell>
        </row>
        <row r="3854">
          <cell r="A3854">
            <v>0</v>
          </cell>
          <cell r="B3854">
            <v>0</v>
          </cell>
        </row>
        <row r="3855">
          <cell r="A3855">
            <v>0</v>
          </cell>
          <cell r="B3855">
            <v>0</v>
          </cell>
        </row>
        <row r="3856">
          <cell r="A3856">
            <v>0</v>
          </cell>
          <cell r="B3856">
            <v>0</v>
          </cell>
        </row>
        <row r="3857">
          <cell r="A3857">
            <v>0</v>
          </cell>
          <cell r="B3857">
            <v>0</v>
          </cell>
        </row>
        <row r="3858">
          <cell r="A3858">
            <v>0</v>
          </cell>
          <cell r="B3858">
            <v>0</v>
          </cell>
        </row>
        <row r="3859">
          <cell r="A3859">
            <v>0</v>
          </cell>
          <cell r="B3859">
            <v>0</v>
          </cell>
        </row>
        <row r="3860">
          <cell r="A3860">
            <v>0</v>
          </cell>
          <cell r="B3860">
            <v>0</v>
          </cell>
        </row>
        <row r="3861">
          <cell r="A3861">
            <v>0</v>
          </cell>
          <cell r="B3861">
            <v>0</v>
          </cell>
        </row>
        <row r="3862">
          <cell r="A3862">
            <v>0</v>
          </cell>
          <cell r="B3862">
            <v>0</v>
          </cell>
        </row>
        <row r="3863">
          <cell r="A3863">
            <v>0</v>
          </cell>
          <cell r="B3863">
            <v>0</v>
          </cell>
        </row>
        <row r="3864">
          <cell r="A3864">
            <v>0</v>
          </cell>
          <cell r="B3864">
            <v>0</v>
          </cell>
        </row>
        <row r="3865">
          <cell r="A3865">
            <v>0</v>
          </cell>
          <cell r="B3865">
            <v>0</v>
          </cell>
        </row>
        <row r="3866">
          <cell r="A3866">
            <v>0</v>
          </cell>
          <cell r="B3866">
            <v>0</v>
          </cell>
        </row>
        <row r="3867">
          <cell r="A3867">
            <v>0</v>
          </cell>
          <cell r="B3867">
            <v>0</v>
          </cell>
        </row>
        <row r="3868">
          <cell r="A3868">
            <v>0</v>
          </cell>
          <cell r="B3868">
            <v>0</v>
          </cell>
        </row>
        <row r="3869">
          <cell r="A3869">
            <v>0</v>
          </cell>
          <cell r="B3869">
            <v>0</v>
          </cell>
        </row>
        <row r="3870">
          <cell r="A3870">
            <v>0</v>
          </cell>
          <cell r="B3870">
            <v>0</v>
          </cell>
        </row>
        <row r="3871">
          <cell r="A3871">
            <v>0</v>
          </cell>
          <cell r="B3871">
            <v>0</v>
          </cell>
        </row>
        <row r="3872">
          <cell r="A3872">
            <v>0</v>
          </cell>
          <cell r="B3872">
            <v>0</v>
          </cell>
        </row>
        <row r="3873">
          <cell r="A3873">
            <v>0</v>
          </cell>
          <cell r="B3873">
            <v>0</v>
          </cell>
        </row>
        <row r="3874">
          <cell r="A3874">
            <v>0</v>
          </cell>
          <cell r="B3874">
            <v>0</v>
          </cell>
        </row>
        <row r="3875">
          <cell r="A3875">
            <v>0</v>
          </cell>
          <cell r="B3875">
            <v>0</v>
          </cell>
        </row>
        <row r="3876">
          <cell r="A3876">
            <v>0</v>
          </cell>
          <cell r="B3876">
            <v>0</v>
          </cell>
        </row>
        <row r="3877">
          <cell r="A3877">
            <v>0</v>
          </cell>
          <cell r="B3877">
            <v>0</v>
          </cell>
        </row>
        <row r="3878">
          <cell r="A3878">
            <v>0</v>
          </cell>
          <cell r="B3878">
            <v>0</v>
          </cell>
        </row>
        <row r="3879">
          <cell r="A3879">
            <v>0</v>
          </cell>
          <cell r="B3879">
            <v>0</v>
          </cell>
        </row>
        <row r="3880">
          <cell r="A3880">
            <v>0</v>
          </cell>
          <cell r="B3880">
            <v>0</v>
          </cell>
        </row>
        <row r="3881">
          <cell r="A3881">
            <v>0</v>
          </cell>
          <cell r="B3881">
            <v>0</v>
          </cell>
        </row>
        <row r="3882">
          <cell r="A3882">
            <v>0</v>
          </cell>
          <cell r="B3882">
            <v>0</v>
          </cell>
        </row>
        <row r="3883">
          <cell r="A3883">
            <v>0</v>
          </cell>
          <cell r="B3883">
            <v>0</v>
          </cell>
        </row>
        <row r="3884">
          <cell r="A3884">
            <v>0</v>
          </cell>
          <cell r="B3884">
            <v>0</v>
          </cell>
        </row>
        <row r="3885">
          <cell r="A3885">
            <v>0</v>
          </cell>
          <cell r="B3885">
            <v>0</v>
          </cell>
        </row>
        <row r="3886">
          <cell r="A3886">
            <v>0</v>
          </cell>
          <cell r="B3886">
            <v>0</v>
          </cell>
        </row>
        <row r="3887">
          <cell r="A3887">
            <v>0</v>
          </cell>
          <cell r="B3887">
            <v>0</v>
          </cell>
        </row>
        <row r="3888">
          <cell r="A3888">
            <v>0</v>
          </cell>
          <cell r="B3888">
            <v>0</v>
          </cell>
        </row>
        <row r="3889">
          <cell r="A3889">
            <v>0</v>
          </cell>
          <cell r="B3889">
            <v>0</v>
          </cell>
        </row>
        <row r="3890">
          <cell r="A3890">
            <v>0</v>
          </cell>
          <cell r="B3890">
            <v>0</v>
          </cell>
        </row>
        <row r="3891">
          <cell r="A3891">
            <v>0</v>
          </cell>
          <cell r="B3891">
            <v>0</v>
          </cell>
        </row>
        <row r="3892">
          <cell r="A3892">
            <v>0</v>
          </cell>
          <cell r="B3892">
            <v>0</v>
          </cell>
        </row>
        <row r="3893">
          <cell r="A3893">
            <v>0</v>
          </cell>
          <cell r="B3893">
            <v>0</v>
          </cell>
        </row>
        <row r="3894">
          <cell r="A3894">
            <v>0</v>
          </cell>
          <cell r="B3894">
            <v>0</v>
          </cell>
        </row>
        <row r="3895">
          <cell r="A3895">
            <v>0</v>
          </cell>
          <cell r="B3895">
            <v>0</v>
          </cell>
        </row>
        <row r="3896">
          <cell r="A3896">
            <v>0</v>
          </cell>
          <cell r="B3896">
            <v>0</v>
          </cell>
        </row>
        <row r="3897">
          <cell r="A3897">
            <v>0</v>
          </cell>
          <cell r="B3897">
            <v>0</v>
          </cell>
        </row>
        <row r="3898">
          <cell r="A3898">
            <v>0</v>
          </cell>
          <cell r="B3898">
            <v>0</v>
          </cell>
        </row>
        <row r="3899">
          <cell r="A3899">
            <v>0</v>
          </cell>
          <cell r="B3899">
            <v>0</v>
          </cell>
        </row>
        <row r="3900">
          <cell r="A3900">
            <v>0</v>
          </cell>
          <cell r="B3900">
            <v>0</v>
          </cell>
        </row>
        <row r="3901">
          <cell r="A3901">
            <v>0</v>
          </cell>
          <cell r="B3901">
            <v>0</v>
          </cell>
        </row>
        <row r="3902">
          <cell r="A3902">
            <v>0</v>
          </cell>
          <cell r="B3902">
            <v>0</v>
          </cell>
        </row>
        <row r="3903">
          <cell r="A3903">
            <v>0</v>
          </cell>
          <cell r="B3903">
            <v>0</v>
          </cell>
        </row>
        <row r="3904">
          <cell r="A3904">
            <v>0</v>
          </cell>
          <cell r="B3904">
            <v>0</v>
          </cell>
        </row>
        <row r="3905">
          <cell r="A3905">
            <v>0</v>
          </cell>
          <cell r="B3905">
            <v>0</v>
          </cell>
        </row>
        <row r="3906">
          <cell r="A3906">
            <v>0</v>
          </cell>
          <cell r="B3906">
            <v>0</v>
          </cell>
        </row>
        <row r="3907">
          <cell r="A3907">
            <v>0</v>
          </cell>
          <cell r="B3907">
            <v>0</v>
          </cell>
        </row>
        <row r="3908">
          <cell r="A3908">
            <v>0</v>
          </cell>
          <cell r="B3908">
            <v>0</v>
          </cell>
        </row>
        <row r="3909">
          <cell r="A3909">
            <v>0</v>
          </cell>
          <cell r="B3909">
            <v>0</v>
          </cell>
        </row>
        <row r="3910">
          <cell r="A3910">
            <v>0</v>
          </cell>
          <cell r="B3910">
            <v>0</v>
          </cell>
        </row>
        <row r="3911">
          <cell r="A3911">
            <v>0</v>
          </cell>
          <cell r="B3911">
            <v>0</v>
          </cell>
        </row>
        <row r="3912">
          <cell r="A3912">
            <v>0</v>
          </cell>
          <cell r="B3912">
            <v>0</v>
          </cell>
        </row>
        <row r="3913">
          <cell r="A3913">
            <v>0</v>
          </cell>
          <cell r="B3913">
            <v>0</v>
          </cell>
        </row>
        <row r="3914">
          <cell r="A3914">
            <v>0</v>
          </cell>
          <cell r="B3914">
            <v>0</v>
          </cell>
        </row>
        <row r="3915">
          <cell r="A3915">
            <v>0</v>
          </cell>
          <cell r="B3915">
            <v>0</v>
          </cell>
        </row>
        <row r="3916">
          <cell r="A3916">
            <v>0</v>
          </cell>
          <cell r="B3916">
            <v>0</v>
          </cell>
        </row>
        <row r="3917">
          <cell r="A3917">
            <v>0</v>
          </cell>
          <cell r="B3917">
            <v>0</v>
          </cell>
        </row>
        <row r="3918">
          <cell r="A3918">
            <v>0</v>
          </cell>
          <cell r="B3918">
            <v>0</v>
          </cell>
        </row>
        <row r="3919">
          <cell r="A3919">
            <v>0</v>
          </cell>
          <cell r="B3919">
            <v>0</v>
          </cell>
        </row>
        <row r="3920">
          <cell r="A3920">
            <v>0</v>
          </cell>
          <cell r="B3920">
            <v>0</v>
          </cell>
        </row>
        <row r="3921">
          <cell r="A3921">
            <v>0</v>
          </cell>
          <cell r="B3921">
            <v>0</v>
          </cell>
        </row>
        <row r="3922">
          <cell r="A3922">
            <v>0</v>
          </cell>
          <cell r="B3922">
            <v>0</v>
          </cell>
        </row>
        <row r="3923">
          <cell r="A3923">
            <v>0</v>
          </cell>
          <cell r="B3923">
            <v>0</v>
          </cell>
        </row>
        <row r="3924">
          <cell r="A3924">
            <v>0</v>
          </cell>
          <cell r="B3924">
            <v>0</v>
          </cell>
        </row>
        <row r="3925">
          <cell r="A3925">
            <v>0</v>
          </cell>
          <cell r="B3925">
            <v>0</v>
          </cell>
        </row>
        <row r="3926">
          <cell r="A3926">
            <v>0</v>
          </cell>
          <cell r="B3926">
            <v>0</v>
          </cell>
        </row>
        <row r="3927">
          <cell r="A3927">
            <v>0</v>
          </cell>
          <cell r="B3927">
            <v>0</v>
          </cell>
        </row>
        <row r="3928">
          <cell r="A3928">
            <v>0</v>
          </cell>
          <cell r="B3928">
            <v>0</v>
          </cell>
        </row>
        <row r="3929">
          <cell r="A3929">
            <v>0</v>
          </cell>
          <cell r="B3929">
            <v>0</v>
          </cell>
        </row>
        <row r="3930">
          <cell r="A3930">
            <v>0</v>
          </cell>
          <cell r="B3930">
            <v>0</v>
          </cell>
        </row>
        <row r="3931">
          <cell r="A3931">
            <v>0</v>
          </cell>
          <cell r="B3931">
            <v>0</v>
          </cell>
        </row>
        <row r="3932">
          <cell r="A3932">
            <v>0</v>
          </cell>
          <cell r="B3932">
            <v>0</v>
          </cell>
        </row>
        <row r="3933">
          <cell r="A3933">
            <v>0</v>
          </cell>
          <cell r="B3933">
            <v>0</v>
          </cell>
        </row>
        <row r="3934">
          <cell r="A3934">
            <v>0</v>
          </cell>
          <cell r="B3934">
            <v>0</v>
          </cell>
        </row>
        <row r="3935">
          <cell r="A3935">
            <v>0</v>
          </cell>
          <cell r="B3935">
            <v>0</v>
          </cell>
        </row>
        <row r="3936">
          <cell r="A3936">
            <v>0</v>
          </cell>
          <cell r="B3936">
            <v>0</v>
          </cell>
        </row>
        <row r="3937">
          <cell r="A3937">
            <v>0</v>
          </cell>
          <cell r="B3937">
            <v>0</v>
          </cell>
        </row>
        <row r="3938">
          <cell r="A3938">
            <v>0</v>
          </cell>
          <cell r="B3938">
            <v>0</v>
          </cell>
        </row>
        <row r="3939">
          <cell r="A3939">
            <v>0</v>
          </cell>
          <cell r="B3939">
            <v>0</v>
          </cell>
        </row>
        <row r="3940">
          <cell r="A3940">
            <v>0</v>
          </cell>
          <cell r="B3940">
            <v>0</v>
          </cell>
        </row>
        <row r="3941">
          <cell r="A3941">
            <v>0</v>
          </cell>
          <cell r="B3941">
            <v>0</v>
          </cell>
        </row>
        <row r="3942">
          <cell r="A3942">
            <v>0</v>
          </cell>
          <cell r="B3942">
            <v>0</v>
          </cell>
        </row>
        <row r="3943">
          <cell r="A3943">
            <v>0</v>
          </cell>
          <cell r="B3943">
            <v>0</v>
          </cell>
        </row>
        <row r="3944">
          <cell r="A3944">
            <v>0</v>
          </cell>
          <cell r="B3944">
            <v>0</v>
          </cell>
        </row>
        <row r="3945">
          <cell r="A3945">
            <v>0</v>
          </cell>
          <cell r="B3945">
            <v>0</v>
          </cell>
        </row>
        <row r="3946">
          <cell r="A3946">
            <v>0</v>
          </cell>
          <cell r="B3946">
            <v>0</v>
          </cell>
        </row>
        <row r="3947">
          <cell r="A3947">
            <v>0</v>
          </cell>
          <cell r="B3947">
            <v>0</v>
          </cell>
        </row>
        <row r="3948">
          <cell r="A3948">
            <v>0</v>
          </cell>
          <cell r="B3948">
            <v>0</v>
          </cell>
        </row>
        <row r="3949">
          <cell r="A3949">
            <v>0</v>
          </cell>
          <cell r="B3949">
            <v>0</v>
          </cell>
        </row>
        <row r="3950">
          <cell r="A3950">
            <v>0</v>
          </cell>
          <cell r="B3950">
            <v>0</v>
          </cell>
        </row>
        <row r="3951">
          <cell r="A3951">
            <v>0</v>
          </cell>
          <cell r="B3951">
            <v>0</v>
          </cell>
        </row>
        <row r="3952">
          <cell r="A3952">
            <v>0</v>
          </cell>
          <cell r="B3952">
            <v>0</v>
          </cell>
        </row>
        <row r="3953">
          <cell r="A3953">
            <v>0</v>
          </cell>
          <cell r="B3953">
            <v>0</v>
          </cell>
        </row>
        <row r="3954">
          <cell r="A3954">
            <v>0</v>
          </cell>
          <cell r="B3954">
            <v>0</v>
          </cell>
        </row>
        <row r="3955">
          <cell r="A3955">
            <v>0</v>
          </cell>
          <cell r="B3955">
            <v>0</v>
          </cell>
        </row>
        <row r="3956">
          <cell r="A3956">
            <v>0</v>
          </cell>
          <cell r="B3956">
            <v>0</v>
          </cell>
        </row>
        <row r="3957">
          <cell r="A3957">
            <v>0</v>
          </cell>
          <cell r="B3957">
            <v>0</v>
          </cell>
        </row>
        <row r="3958">
          <cell r="A3958">
            <v>0</v>
          </cell>
          <cell r="B3958">
            <v>0</v>
          </cell>
        </row>
        <row r="3959">
          <cell r="A3959">
            <v>0</v>
          </cell>
          <cell r="B3959">
            <v>0</v>
          </cell>
        </row>
        <row r="3960">
          <cell r="A3960">
            <v>0</v>
          </cell>
          <cell r="B3960">
            <v>0</v>
          </cell>
        </row>
        <row r="3961">
          <cell r="A3961">
            <v>0</v>
          </cell>
          <cell r="B3961">
            <v>0</v>
          </cell>
        </row>
        <row r="3962">
          <cell r="A3962">
            <v>0</v>
          </cell>
          <cell r="B3962">
            <v>0</v>
          </cell>
        </row>
        <row r="3963">
          <cell r="A3963">
            <v>0</v>
          </cell>
          <cell r="B3963">
            <v>0</v>
          </cell>
        </row>
        <row r="3964">
          <cell r="A3964">
            <v>0</v>
          </cell>
          <cell r="B3964">
            <v>0</v>
          </cell>
        </row>
        <row r="3965">
          <cell r="A3965">
            <v>0</v>
          </cell>
          <cell r="B3965">
            <v>0</v>
          </cell>
        </row>
        <row r="3966">
          <cell r="A3966">
            <v>0</v>
          </cell>
          <cell r="B3966">
            <v>0</v>
          </cell>
        </row>
        <row r="3967">
          <cell r="A3967">
            <v>0</v>
          </cell>
          <cell r="B3967">
            <v>0</v>
          </cell>
        </row>
        <row r="3968">
          <cell r="A3968">
            <v>0</v>
          </cell>
          <cell r="B3968">
            <v>0</v>
          </cell>
        </row>
        <row r="3969">
          <cell r="A3969">
            <v>0</v>
          </cell>
          <cell r="B3969">
            <v>0</v>
          </cell>
        </row>
        <row r="3970">
          <cell r="A3970">
            <v>0</v>
          </cell>
          <cell r="B3970">
            <v>0</v>
          </cell>
        </row>
        <row r="3971">
          <cell r="A3971">
            <v>0</v>
          </cell>
          <cell r="B3971">
            <v>0</v>
          </cell>
        </row>
        <row r="3972">
          <cell r="A3972">
            <v>0</v>
          </cell>
          <cell r="B3972">
            <v>0</v>
          </cell>
        </row>
        <row r="3973">
          <cell r="A3973">
            <v>0</v>
          </cell>
          <cell r="B3973">
            <v>0</v>
          </cell>
        </row>
        <row r="3974">
          <cell r="A3974">
            <v>0</v>
          </cell>
          <cell r="B3974">
            <v>0</v>
          </cell>
        </row>
        <row r="3975">
          <cell r="A3975">
            <v>0</v>
          </cell>
          <cell r="B3975">
            <v>0</v>
          </cell>
        </row>
        <row r="3976">
          <cell r="A3976">
            <v>0</v>
          </cell>
          <cell r="B3976">
            <v>0</v>
          </cell>
        </row>
        <row r="3977">
          <cell r="A3977">
            <v>0</v>
          </cell>
          <cell r="B3977">
            <v>0</v>
          </cell>
        </row>
        <row r="3978">
          <cell r="A3978">
            <v>0</v>
          </cell>
          <cell r="B3978">
            <v>0</v>
          </cell>
        </row>
        <row r="3979">
          <cell r="A3979">
            <v>0</v>
          </cell>
          <cell r="B3979">
            <v>0</v>
          </cell>
        </row>
        <row r="3980">
          <cell r="A3980">
            <v>0</v>
          </cell>
          <cell r="B3980">
            <v>0</v>
          </cell>
        </row>
        <row r="3981">
          <cell r="A3981">
            <v>0</v>
          </cell>
          <cell r="B3981">
            <v>0</v>
          </cell>
        </row>
        <row r="3982">
          <cell r="A3982">
            <v>0</v>
          </cell>
          <cell r="B3982">
            <v>0</v>
          </cell>
        </row>
        <row r="3983">
          <cell r="A3983">
            <v>0</v>
          </cell>
          <cell r="B3983">
            <v>0</v>
          </cell>
        </row>
        <row r="3984">
          <cell r="A3984">
            <v>0</v>
          </cell>
          <cell r="B3984">
            <v>0</v>
          </cell>
        </row>
        <row r="3985">
          <cell r="A3985">
            <v>0</v>
          </cell>
          <cell r="B3985">
            <v>0</v>
          </cell>
        </row>
        <row r="3986">
          <cell r="A3986">
            <v>0</v>
          </cell>
          <cell r="B3986">
            <v>0</v>
          </cell>
        </row>
        <row r="3987">
          <cell r="A3987">
            <v>0</v>
          </cell>
          <cell r="B3987">
            <v>0</v>
          </cell>
        </row>
        <row r="3988">
          <cell r="A3988">
            <v>0</v>
          </cell>
          <cell r="B3988">
            <v>0</v>
          </cell>
        </row>
        <row r="3989">
          <cell r="A3989">
            <v>0</v>
          </cell>
          <cell r="B3989">
            <v>0</v>
          </cell>
        </row>
        <row r="3990">
          <cell r="A3990">
            <v>0</v>
          </cell>
          <cell r="B3990">
            <v>0</v>
          </cell>
        </row>
        <row r="3991">
          <cell r="A3991">
            <v>0</v>
          </cell>
          <cell r="B3991">
            <v>0</v>
          </cell>
        </row>
        <row r="3992">
          <cell r="A3992">
            <v>0</v>
          </cell>
          <cell r="B3992">
            <v>0</v>
          </cell>
        </row>
        <row r="3993">
          <cell r="A3993">
            <v>0</v>
          </cell>
          <cell r="B3993">
            <v>0</v>
          </cell>
        </row>
        <row r="3994">
          <cell r="A3994">
            <v>0</v>
          </cell>
          <cell r="B3994">
            <v>0</v>
          </cell>
        </row>
        <row r="3995">
          <cell r="A3995">
            <v>0</v>
          </cell>
          <cell r="B3995">
            <v>0</v>
          </cell>
        </row>
        <row r="3996">
          <cell r="A3996">
            <v>0</v>
          </cell>
          <cell r="B3996">
            <v>0</v>
          </cell>
        </row>
        <row r="3997">
          <cell r="A3997">
            <v>0</v>
          </cell>
          <cell r="B3997">
            <v>0</v>
          </cell>
        </row>
        <row r="3998">
          <cell r="A3998">
            <v>0</v>
          </cell>
          <cell r="B3998">
            <v>0</v>
          </cell>
        </row>
        <row r="3999">
          <cell r="A3999">
            <v>0</v>
          </cell>
          <cell r="B3999">
            <v>0</v>
          </cell>
        </row>
        <row r="4000">
          <cell r="A4000">
            <v>0</v>
          </cell>
          <cell r="B4000">
            <v>0</v>
          </cell>
        </row>
        <row r="4001">
          <cell r="A4001">
            <v>0</v>
          </cell>
          <cell r="B4001">
            <v>0</v>
          </cell>
        </row>
        <row r="4002">
          <cell r="A4002">
            <v>0</v>
          </cell>
          <cell r="B4002">
            <v>0</v>
          </cell>
        </row>
        <row r="4003">
          <cell r="A4003">
            <v>0</v>
          </cell>
          <cell r="B4003">
            <v>0</v>
          </cell>
        </row>
        <row r="4004">
          <cell r="A4004">
            <v>0</v>
          </cell>
          <cell r="B4004">
            <v>0</v>
          </cell>
        </row>
        <row r="4005">
          <cell r="A4005">
            <v>0</v>
          </cell>
          <cell r="B4005">
            <v>0</v>
          </cell>
        </row>
        <row r="4006">
          <cell r="A4006">
            <v>0</v>
          </cell>
          <cell r="B4006">
            <v>0</v>
          </cell>
        </row>
        <row r="4007">
          <cell r="A4007">
            <v>0</v>
          </cell>
          <cell r="B4007">
            <v>0</v>
          </cell>
        </row>
        <row r="4008">
          <cell r="A4008">
            <v>0</v>
          </cell>
          <cell r="B4008">
            <v>0</v>
          </cell>
        </row>
        <row r="4009">
          <cell r="A4009">
            <v>0</v>
          </cell>
          <cell r="B4009">
            <v>0</v>
          </cell>
        </row>
        <row r="4010">
          <cell r="A4010">
            <v>0</v>
          </cell>
          <cell r="B4010">
            <v>0</v>
          </cell>
        </row>
        <row r="4011">
          <cell r="A4011">
            <v>0</v>
          </cell>
          <cell r="B4011">
            <v>0</v>
          </cell>
        </row>
        <row r="4012">
          <cell r="A4012">
            <v>0</v>
          </cell>
          <cell r="B4012">
            <v>0</v>
          </cell>
        </row>
        <row r="4013">
          <cell r="A4013">
            <v>0</v>
          </cell>
          <cell r="B4013">
            <v>0</v>
          </cell>
        </row>
        <row r="4014">
          <cell r="A4014">
            <v>0</v>
          </cell>
          <cell r="B4014">
            <v>0</v>
          </cell>
        </row>
        <row r="4015">
          <cell r="A4015">
            <v>0</v>
          </cell>
          <cell r="B4015">
            <v>0</v>
          </cell>
        </row>
        <row r="4016">
          <cell r="A4016">
            <v>0</v>
          </cell>
          <cell r="B4016">
            <v>0</v>
          </cell>
        </row>
        <row r="4017">
          <cell r="A4017">
            <v>0</v>
          </cell>
          <cell r="B4017">
            <v>0</v>
          </cell>
        </row>
        <row r="4018">
          <cell r="A4018">
            <v>0</v>
          </cell>
          <cell r="B4018">
            <v>0</v>
          </cell>
        </row>
        <row r="4019">
          <cell r="A4019">
            <v>0</v>
          </cell>
          <cell r="B4019">
            <v>0</v>
          </cell>
        </row>
        <row r="4020">
          <cell r="A4020">
            <v>0</v>
          </cell>
          <cell r="B4020">
            <v>0</v>
          </cell>
        </row>
        <row r="4021">
          <cell r="A4021">
            <v>0</v>
          </cell>
          <cell r="B4021">
            <v>0</v>
          </cell>
        </row>
        <row r="4022">
          <cell r="A4022">
            <v>0</v>
          </cell>
          <cell r="B4022">
            <v>0</v>
          </cell>
        </row>
        <row r="4023">
          <cell r="A4023">
            <v>0</v>
          </cell>
          <cell r="B4023">
            <v>0</v>
          </cell>
        </row>
        <row r="4024">
          <cell r="A4024">
            <v>0</v>
          </cell>
          <cell r="B4024">
            <v>0</v>
          </cell>
        </row>
        <row r="4025">
          <cell r="A4025">
            <v>0</v>
          </cell>
          <cell r="B4025">
            <v>0</v>
          </cell>
        </row>
        <row r="4026">
          <cell r="A4026">
            <v>0</v>
          </cell>
          <cell r="B4026">
            <v>0</v>
          </cell>
        </row>
        <row r="4027">
          <cell r="A4027">
            <v>0</v>
          </cell>
          <cell r="B4027">
            <v>0</v>
          </cell>
        </row>
        <row r="4028">
          <cell r="A4028">
            <v>0</v>
          </cell>
          <cell r="B4028">
            <v>0</v>
          </cell>
        </row>
        <row r="4029">
          <cell r="A4029">
            <v>0</v>
          </cell>
          <cell r="B4029">
            <v>0</v>
          </cell>
        </row>
        <row r="4030">
          <cell r="A4030">
            <v>0</v>
          </cell>
          <cell r="B4030">
            <v>0</v>
          </cell>
        </row>
        <row r="4031">
          <cell r="A4031">
            <v>0</v>
          </cell>
          <cell r="B4031">
            <v>0</v>
          </cell>
        </row>
        <row r="4032">
          <cell r="A4032">
            <v>0</v>
          </cell>
          <cell r="B4032">
            <v>0</v>
          </cell>
        </row>
        <row r="4033">
          <cell r="A4033">
            <v>0</v>
          </cell>
          <cell r="B4033">
            <v>0</v>
          </cell>
        </row>
        <row r="4034">
          <cell r="A4034">
            <v>0</v>
          </cell>
          <cell r="B4034">
            <v>0</v>
          </cell>
        </row>
        <row r="4035">
          <cell r="A4035">
            <v>0</v>
          </cell>
          <cell r="B4035">
            <v>0</v>
          </cell>
        </row>
        <row r="4036">
          <cell r="A4036">
            <v>0</v>
          </cell>
          <cell r="B4036">
            <v>0</v>
          </cell>
        </row>
        <row r="4037">
          <cell r="A4037">
            <v>0</v>
          </cell>
          <cell r="B4037">
            <v>0</v>
          </cell>
        </row>
        <row r="4038">
          <cell r="A4038">
            <v>0</v>
          </cell>
          <cell r="B4038">
            <v>0</v>
          </cell>
        </row>
        <row r="4039">
          <cell r="A4039">
            <v>0</v>
          </cell>
          <cell r="B4039">
            <v>0</v>
          </cell>
        </row>
        <row r="4040">
          <cell r="A4040">
            <v>0</v>
          </cell>
          <cell r="B4040">
            <v>0</v>
          </cell>
        </row>
        <row r="4041">
          <cell r="A4041">
            <v>0</v>
          </cell>
          <cell r="B4041">
            <v>0</v>
          </cell>
        </row>
        <row r="4042">
          <cell r="A4042">
            <v>0</v>
          </cell>
          <cell r="B4042">
            <v>0</v>
          </cell>
        </row>
        <row r="4043">
          <cell r="A4043">
            <v>0</v>
          </cell>
          <cell r="B4043">
            <v>0</v>
          </cell>
        </row>
        <row r="4044">
          <cell r="A4044">
            <v>0</v>
          </cell>
          <cell r="B4044">
            <v>0</v>
          </cell>
        </row>
        <row r="4045">
          <cell r="A4045">
            <v>0</v>
          </cell>
          <cell r="B4045">
            <v>0</v>
          </cell>
        </row>
        <row r="4046">
          <cell r="A4046">
            <v>0</v>
          </cell>
          <cell r="B4046">
            <v>0</v>
          </cell>
        </row>
        <row r="4047">
          <cell r="A4047">
            <v>0</v>
          </cell>
          <cell r="B4047">
            <v>0</v>
          </cell>
        </row>
        <row r="4048">
          <cell r="A4048">
            <v>0</v>
          </cell>
          <cell r="B4048">
            <v>0</v>
          </cell>
        </row>
        <row r="4049">
          <cell r="A4049">
            <v>0</v>
          </cell>
          <cell r="B4049">
            <v>0</v>
          </cell>
        </row>
        <row r="4050">
          <cell r="A4050">
            <v>0</v>
          </cell>
          <cell r="B4050">
            <v>0</v>
          </cell>
        </row>
        <row r="4051">
          <cell r="A4051">
            <v>0</v>
          </cell>
          <cell r="B4051">
            <v>0</v>
          </cell>
        </row>
        <row r="4052">
          <cell r="A4052">
            <v>0</v>
          </cell>
          <cell r="B4052">
            <v>0</v>
          </cell>
        </row>
        <row r="4053">
          <cell r="A4053">
            <v>0</v>
          </cell>
          <cell r="B4053">
            <v>0</v>
          </cell>
        </row>
        <row r="4054">
          <cell r="A4054">
            <v>0</v>
          </cell>
          <cell r="B4054">
            <v>0</v>
          </cell>
        </row>
        <row r="4055">
          <cell r="A4055">
            <v>0</v>
          </cell>
          <cell r="B4055">
            <v>0</v>
          </cell>
        </row>
        <row r="4056">
          <cell r="A4056">
            <v>0</v>
          </cell>
          <cell r="B4056">
            <v>0</v>
          </cell>
        </row>
        <row r="4057">
          <cell r="A4057">
            <v>0</v>
          </cell>
          <cell r="B4057">
            <v>0</v>
          </cell>
        </row>
        <row r="4058">
          <cell r="A4058">
            <v>0</v>
          </cell>
          <cell r="B4058">
            <v>0</v>
          </cell>
        </row>
        <row r="4059">
          <cell r="A4059">
            <v>0</v>
          </cell>
          <cell r="B4059">
            <v>0</v>
          </cell>
        </row>
        <row r="4060">
          <cell r="A4060">
            <v>0</v>
          </cell>
          <cell r="B4060">
            <v>0</v>
          </cell>
        </row>
        <row r="4061">
          <cell r="A4061">
            <v>0</v>
          </cell>
          <cell r="B4061">
            <v>0</v>
          </cell>
        </row>
        <row r="4062">
          <cell r="A4062">
            <v>0</v>
          </cell>
          <cell r="B4062">
            <v>0</v>
          </cell>
        </row>
        <row r="4063">
          <cell r="A4063">
            <v>0</v>
          </cell>
          <cell r="B4063">
            <v>0</v>
          </cell>
        </row>
        <row r="4064">
          <cell r="A4064">
            <v>0</v>
          </cell>
          <cell r="B4064">
            <v>0</v>
          </cell>
        </row>
        <row r="4065">
          <cell r="A4065">
            <v>0</v>
          </cell>
          <cell r="B4065">
            <v>0</v>
          </cell>
        </row>
        <row r="4066">
          <cell r="A4066">
            <v>0</v>
          </cell>
          <cell r="B4066">
            <v>0</v>
          </cell>
        </row>
        <row r="4067">
          <cell r="A4067">
            <v>0</v>
          </cell>
          <cell r="B4067">
            <v>0</v>
          </cell>
        </row>
        <row r="4068">
          <cell r="A4068">
            <v>0</v>
          </cell>
          <cell r="B4068">
            <v>0</v>
          </cell>
        </row>
        <row r="4069">
          <cell r="A4069">
            <v>0</v>
          </cell>
          <cell r="B4069">
            <v>0</v>
          </cell>
        </row>
        <row r="4070">
          <cell r="A4070">
            <v>0</v>
          </cell>
          <cell r="B4070">
            <v>0</v>
          </cell>
        </row>
        <row r="4071">
          <cell r="A4071">
            <v>0</v>
          </cell>
          <cell r="B4071">
            <v>0</v>
          </cell>
        </row>
        <row r="4072">
          <cell r="A4072">
            <v>0</v>
          </cell>
          <cell r="B4072">
            <v>0</v>
          </cell>
        </row>
        <row r="4073">
          <cell r="A4073">
            <v>0</v>
          </cell>
          <cell r="B4073">
            <v>0</v>
          </cell>
        </row>
        <row r="4074">
          <cell r="A4074">
            <v>0</v>
          </cell>
          <cell r="B4074">
            <v>0</v>
          </cell>
        </row>
        <row r="4075">
          <cell r="A4075">
            <v>0</v>
          </cell>
          <cell r="B4075">
            <v>0</v>
          </cell>
        </row>
        <row r="4076">
          <cell r="A4076">
            <v>0</v>
          </cell>
          <cell r="B4076">
            <v>0</v>
          </cell>
        </row>
        <row r="4077">
          <cell r="A4077">
            <v>0</v>
          </cell>
          <cell r="B4077">
            <v>0</v>
          </cell>
        </row>
        <row r="4078">
          <cell r="A4078">
            <v>0</v>
          </cell>
          <cell r="B4078">
            <v>0</v>
          </cell>
        </row>
        <row r="4079">
          <cell r="A4079">
            <v>0</v>
          </cell>
          <cell r="B4079">
            <v>0</v>
          </cell>
        </row>
        <row r="4080">
          <cell r="A4080">
            <v>0</v>
          </cell>
          <cell r="B4080">
            <v>0</v>
          </cell>
        </row>
        <row r="4081">
          <cell r="A4081">
            <v>0</v>
          </cell>
          <cell r="B4081">
            <v>0</v>
          </cell>
        </row>
        <row r="4082">
          <cell r="A4082">
            <v>0</v>
          </cell>
          <cell r="B4082">
            <v>0</v>
          </cell>
        </row>
        <row r="4083">
          <cell r="A4083">
            <v>0</v>
          </cell>
          <cell r="B4083">
            <v>0</v>
          </cell>
        </row>
        <row r="4084">
          <cell r="A4084">
            <v>0</v>
          </cell>
          <cell r="B4084">
            <v>0</v>
          </cell>
        </row>
        <row r="4085">
          <cell r="A4085">
            <v>0</v>
          </cell>
          <cell r="B4085">
            <v>0</v>
          </cell>
        </row>
        <row r="4086">
          <cell r="A4086">
            <v>0</v>
          </cell>
          <cell r="B4086">
            <v>0</v>
          </cell>
        </row>
        <row r="4087">
          <cell r="A4087">
            <v>0</v>
          </cell>
          <cell r="B4087">
            <v>0</v>
          </cell>
        </row>
        <row r="4088">
          <cell r="A4088">
            <v>0</v>
          </cell>
          <cell r="B4088">
            <v>0</v>
          </cell>
        </row>
        <row r="4089">
          <cell r="A4089">
            <v>0</v>
          </cell>
          <cell r="B4089">
            <v>0</v>
          </cell>
        </row>
        <row r="4090">
          <cell r="A4090">
            <v>0</v>
          </cell>
          <cell r="B4090">
            <v>0</v>
          </cell>
        </row>
        <row r="4091">
          <cell r="A4091">
            <v>0</v>
          </cell>
          <cell r="B4091">
            <v>0</v>
          </cell>
        </row>
        <row r="4092">
          <cell r="A4092">
            <v>0</v>
          </cell>
          <cell r="B4092">
            <v>0</v>
          </cell>
        </row>
        <row r="4093">
          <cell r="A4093">
            <v>0</v>
          </cell>
          <cell r="B4093">
            <v>0</v>
          </cell>
        </row>
        <row r="4094">
          <cell r="A4094">
            <v>0</v>
          </cell>
          <cell r="B4094">
            <v>0</v>
          </cell>
        </row>
        <row r="4095">
          <cell r="A4095">
            <v>0</v>
          </cell>
          <cell r="B4095">
            <v>0</v>
          </cell>
        </row>
        <row r="4096">
          <cell r="A4096">
            <v>0</v>
          </cell>
          <cell r="B4096">
            <v>0</v>
          </cell>
        </row>
        <row r="4097">
          <cell r="A4097">
            <v>0</v>
          </cell>
          <cell r="B4097">
            <v>0</v>
          </cell>
        </row>
        <row r="4098">
          <cell r="A4098">
            <v>0</v>
          </cell>
          <cell r="B4098">
            <v>0</v>
          </cell>
        </row>
        <row r="4099">
          <cell r="A4099">
            <v>0</v>
          </cell>
          <cell r="B4099">
            <v>0</v>
          </cell>
        </row>
        <row r="4100">
          <cell r="A4100">
            <v>0</v>
          </cell>
          <cell r="B4100">
            <v>0</v>
          </cell>
        </row>
        <row r="4101">
          <cell r="A4101">
            <v>0</v>
          </cell>
          <cell r="B4101">
            <v>0</v>
          </cell>
        </row>
        <row r="4102">
          <cell r="A4102">
            <v>0</v>
          </cell>
          <cell r="B4102">
            <v>0</v>
          </cell>
        </row>
        <row r="4103">
          <cell r="A4103">
            <v>0</v>
          </cell>
          <cell r="B4103">
            <v>0</v>
          </cell>
        </row>
        <row r="4104">
          <cell r="A4104">
            <v>0</v>
          </cell>
          <cell r="B4104">
            <v>0</v>
          </cell>
        </row>
        <row r="4105">
          <cell r="A4105">
            <v>0</v>
          </cell>
          <cell r="B4105">
            <v>0</v>
          </cell>
        </row>
        <row r="4106">
          <cell r="A4106">
            <v>0</v>
          </cell>
          <cell r="B4106">
            <v>0</v>
          </cell>
        </row>
        <row r="4107">
          <cell r="A4107">
            <v>0</v>
          </cell>
          <cell r="B4107">
            <v>0</v>
          </cell>
        </row>
        <row r="4108">
          <cell r="A4108">
            <v>0</v>
          </cell>
          <cell r="B4108">
            <v>0</v>
          </cell>
        </row>
        <row r="4109">
          <cell r="A4109">
            <v>0</v>
          </cell>
          <cell r="B4109">
            <v>0</v>
          </cell>
        </row>
        <row r="4110">
          <cell r="A4110">
            <v>0</v>
          </cell>
          <cell r="B4110">
            <v>0</v>
          </cell>
        </row>
        <row r="4111">
          <cell r="A4111">
            <v>0</v>
          </cell>
          <cell r="B4111">
            <v>0</v>
          </cell>
        </row>
        <row r="4112">
          <cell r="A4112">
            <v>0</v>
          </cell>
          <cell r="B4112">
            <v>0</v>
          </cell>
        </row>
        <row r="4113">
          <cell r="A4113">
            <v>0</v>
          </cell>
          <cell r="B4113">
            <v>0</v>
          </cell>
        </row>
        <row r="4114">
          <cell r="A4114">
            <v>0</v>
          </cell>
          <cell r="B4114">
            <v>0</v>
          </cell>
        </row>
        <row r="4115">
          <cell r="A4115">
            <v>0</v>
          </cell>
          <cell r="B4115">
            <v>0</v>
          </cell>
        </row>
        <row r="4116">
          <cell r="A4116">
            <v>0</v>
          </cell>
          <cell r="B4116">
            <v>0</v>
          </cell>
        </row>
        <row r="4117">
          <cell r="A4117">
            <v>0</v>
          </cell>
          <cell r="B4117">
            <v>0</v>
          </cell>
        </row>
        <row r="4118">
          <cell r="A4118">
            <v>0</v>
          </cell>
          <cell r="B4118">
            <v>0</v>
          </cell>
        </row>
        <row r="4119">
          <cell r="A4119">
            <v>0</v>
          </cell>
          <cell r="B4119">
            <v>0</v>
          </cell>
        </row>
        <row r="4120">
          <cell r="A4120">
            <v>0</v>
          </cell>
          <cell r="B4120">
            <v>0</v>
          </cell>
        </row>
        <row r="4121">
          <cell r="A4121">
            <v>0</v>
          </cell>
          <cell r="B4121">
            <v>0</v>
          </cell>
        </row>
        <row r="4122">
          <cell r="A4122">
            <v>0</v>
          </cell>
          <cell r="B4122">
            <v>0</v>
          </cell>
        </row>
        <row r="4123">
          <cell r="A4123">
            <v>0</v>
          </cell>
          <cell r="B4123">
            <v>0</v>
          </cell>
        </row>
        <row r="4124">
          <cell r="A4124">
            <v>0</v>
          </cell>
          <cell r="B4124">
            <v>0</v>
          </cell>
        </row>
        <row r="4125">
          <cell r="A4125">
            <v>0</v>
          </cell>
          <cell r="B4125">
            <v>0</v>
          </cell>
        </row>
        <row r="4126">
          <cell r="A4126">
            <v>0</v>
          </cell>
          <cell r="B4126">
            <v>0</v>
          </cell>
        </row>
        <row r="4127">
          <cell r="A4127">
            <v>0</v>
          </cell>
          <cell r="B4127">
            <v>0</v>
          </cell>
        </row>
        <row r="4128">
          <cell r="A4128">
            <v>0</v>
          </cell>
          <cell r="B4128">
            <v>0</v>
          </cell>
        </row>
        <row r="4129">
          <cell r="A4129">
            <v>0</v>
          </cell>
          <cell r="B4129">
            <v>0</v>
          </cell>
        </row>
        <row r="4130">
          <cell r="A4130">
            <v>0</v>
          </cell>
          <cell r="B4130">
            <v>0</v>
          </cell>
        </row>
        <row r="4131">
          <cell r="A4131">
            <v>0</v>
          </cell>
          <cell r="B4131">
            <v>0</v>
          </cell>
        </row>
        <row r="4132">
          <cell r="A4132">
            <v>0</v>
          </cell>
          <cell r="B4132">
            <v>0</v>
          </cell>
        </row>
        <row r="4133">
          <cell r="A4133">
            <v>0</v>
          </cell>
          <cell r="B4133">
            <v>0</v>
          </cell>
        </row>
        <row r="4134">
          <cell r="A4134">
            <v>0</v>
          </cell>
          <cell r="B4134">
            <v>0</v>
          </cell>
        </row>
        <row r="4135">
          <cell r="A4135">
            <v>0</v>
          </cell>
          <cell r="B4135">
            <v>0</v>
          </cell>
        </row>
        <row r="4136">
          <cell r="A4136">
            <v>0</v>
          </cell>
          <cell r="B4136">
            <v>0</v>
          </cell>
        </row>
        <row r="4137">
          <cell r="A4137">
            <v>0</v>
          </cell>
          <cell r="B4137">
            <v>0</v>
          </cell>
        </row>
        <row r="4138">
          <cell r="A4138">
            <v>0</v>
          </cell>
          <cell r="B4138">
            <v>0</v>
          </cell>
        </row>
        <row r="4139">
          <cell r="A4139">
            <v>0</v>
          </cell>
          <cell r="B4139">
            <v>0</v>
          </cell>
        </row>
        <row r="4140">
          <cell r="A4140">
            <v>0</v>
          </cell>
          <cell r="B4140">
            <v>0</v>
          </cell>
        </row>
        <row r="4141">
          <cell r="A4141">
            <v>0</v>
          </cell>
          <cell r="B4141">
            <v>0</v>
          </cell>
        </row>
        <row r="4142">
          <cell r="A4142">
            <v>0</v>
          </cell>
          <cell r="B4142">
            <v>0</v>
          </cell>
        </row>
        <row r="4143">
          <cell r="A4143">
            <v>0</v>
          </cell>
          <cell r="B4143">
            <v>0</v>
          </cell>
        </row>
        <row r="4144">
          <cell r="A4144">
            <v>0</v>
          </cell>
          <cell r="B4144">
            <v>0</v>
          </cell>
        </row>
        <row r="4145">
          <cell r="A4145">
            <v>0</v>
          </cell>
          <cell r="B4145">
            <v>0</v>
          </cell>
        </row>
        <row r="4146">
          <cell r="A4146">
            <v>0</v>
          </cell>
          <cell r="B4146">
            <v>0</v>
          </cell>
        </row>
        <row r="4147">
          <cell r="A4147">
            <v>0</v>
          </cell>
          <cell r="B4147">
            <v>0</v>
          </cell>
        </row>
        <row r="4148">
          <cell r="A4148">
            <v>0</v>
          </cell>
          <cell r="B4148">
            <v>0</v>
          </cell>
        </row>
        <row r="4149">
          <cell r="A4149">
            <v>0</v>
          </cell>
          <cell r="B4149">
            <v>0</v>
          </cell>
        </row>
        <row r="4150">
          <cell r="A4150">
            <v>0</v>
          </cell>
          <cell r="B4150">
            <v>0</v>
          </cell>
        </row>
        <row r="4151">
          <cell r="A4151">
            <v>0</v>
          </cell>
          <cell r="B4151">
            <v>0</v>
          </cell>
        </row>
        <row r="4152">
          <cell r="A4152">
            <v>0</v>
          </cell>
          <cell r="B4152">
            <v>0</v>
          </cell>
        </row>
        <row r="4153">
          <cell r="A4153">
            <v>0</v>
          </cell>
          <cell r="B4153">
            <v>0</v>
          </cell>
        </row>
        <row r="4154">
          <cell r="A4154">
            <v>0</v>
          </cell>
          <cell r="B4154">
            <v>0</v>
          </cell>
        </row>
        <row r="4155">
          <cell r="A4155">
            <v>0</v>
          </cell>
          <cell r="B4155">
            <v>0</v>
          </cell>
        </row>
        <row r="4156">
          <cell r="A4156">
            <v>0</v>
          </cell>
          <cell r="B4156">
            <v>0</v>
          </cell>
        </row>
        <row r="4157">
          <cell r="A4157">
            <v>0</v>
          </cell>
          <cell r="B4157">
            <v>0</v>
          </cell>
        </row>
        <row r="4158">
          <cell r="A4158">
            <v>0</v>
          </cell>
          <cell r="B4158">
            <v>0</v>
          </cell>
        </row>
        <row r="4159">
          <cell r="A4159">
            <v>0</v>
          </cell>
          <cell r="B4159">
            <v>0</v>
          </cell>
        </row>
        <row r="4160">
          <cell r="A4160">
            <v>0</v>
          </cell>
          <cell r="B4160">
            <v>0</v>
          </cell>
        </row>
        <row r="4161">
          <cell r="A4161">
            <v>0</v>
          </cell>
          <cell r="B4161">
            <v>0</v>
          </cell>
        </row>
        <row r="4162">
          <cell r="A4162">
            <v>0</v>
          </cell>
          <cell r="B4162">
            <v>0</v>
          </cell>
        </row>
        <row r="4163">
          <cell r="A4163">
            <v>0</v>
          </cell>
          <cell r="B4163">
            <v>0</v>
          </cell>
        </row>
        <row r="4164">
          <cell r="A4164">
            <v>0</v>
          </cell>
          <cell r="B4164">
            <v>0</v>
          </cell>
        </row>
        <row r="4165">
          <cell r="A4165">
            <v>0</v>
          </cell>
          <cell r="B4165">
            <v>0</v>
          </cell>
        </row>
        <row r="4166">
          <cell r="A4166">
            <v>0</v>
          </cell>
          <cell r="B4166">
            <v>0</v>
          </cell>
        </row>
        <row r="4167">
          <cell r="A4167">
            <v>0</v>
          </cell>
          <cell r="B4167">
            <v>0</v>
          </cell>
        </row>
        <row r="4168">
          <cell r="A4168">
            <v>0</v>
          </cell>
          <cell r="B4168">
            <v>0</v>
          </cell>
        </row>
        <row r="4169">
          <cell r="A4169">
            <v>0</v>
          </cell>
          <cell r="B4169">
            <v>0</v>
          </cell>
        </row>
        <row r="4170">
          <cell r="A4170">
            <v>0</v>
          </cell>
          <cell r="B4170">
            <v>0</v>
          </cell>
        </row>
        <row r="4171">
          <cell r="A4171">
            <v>0</v>
          </cell>
          <cell r="B4171">
            <v>0</v>
          </cell>
        </row>
        <row r="4172">
          <cell r="A4172">
            <v>0</v>
          </cell>
          <cell r="B4172">
            <v>0</v>
          </cell>
        </row>
        <row r="4173">
          <cell r="A4173">
            <v>0</v>
          </cell>
          <cell r="B4173">
            <v>0</v>
          </cell>
        </row>
        <row r="4174">
          <cell r="A4174">
            <v>0</v>
          </cell>
          <cell r="B4174">
            <v>0</v>
          </cell>
        </row>
        <row r="4175">
          <cell r="A4175">
            <v>0</v>
          </cell>
          <cell r="B4175">
            <v>0</v>
          </cell>
        </row>
        <row r="4176">
          <cell r="A4176">
            <v>0</v>
          </cell>
          <cell r="B4176">
            <v>0</v>
          </cell>
        </row>
        <row r="4177">
          <cell r="A4177">
            <v>0</v>
          </cell>
          <cell r="B4177">
            <v>0</v>
          </cell>
        </row>
        <row r="4178">
          <cell r="A4178">
            <v>0</v>
          </cell>
          <cell r="B4178">
            <v>0</v>
          </cell>
        </row>
        <row r="4179">
          <cell r="A4179">
            <v>0</v>
          </cell>
          <cell r="B4179">
            <v>0</v>
          </cell>
        </row>
        <row r="4180">
          <cell r="A4180">
            <v>0</v>
          </cell>
          <cell r="B4180">
            <v>0</v>
          </cell>
        </row>
        <row r="4181">
          <cell r="A4181">
            <v>0</v>
          </cell>
          <cell r="B4181">
            <v>0</v>
          </cell>
        </row>
        <row r="4182">
          <cell r="A4182">
            <v>0</v>
          </cell>
          <cell r="B4182">
            <v>0</v>
          </cell>
        </row>
        <row r="4183">
          <cell r="A4183">
            <v>0</v>
          </cell>
          <cell r="B4183">
            <v>0</v>
          </cell>
        </row>
        <row r="4184">
          <cell r="A4184">
            <v>0</v>
          </cell>
          <cell r="B4184">
            <v>0</v>
          </cell>
        </row>
        <row r="4185">
          <cell r="A4185">
            <v>0</v>
          </cell>
          <cell r="B4185">
            <v>0</v>
          </cell>
        </row>
        <row r="4186">
          <cell r="A4186">
            <v>0</v>
          </cell>
          <cell r="B4186">
            <v>0</v>
          </cell>
        </row>
        <row r="4187">
          <cell r="A4187">
            <v>0</v>
          </cell>
          <cell r="B4187">
            <v>0</v>
          </cell>
        </row>
        <row r="4188">
          <cell r="A4188">
            <v>0</v>
          </cell>
          <cell r="B4188">
            <v>0</v>
          </cell>
        </row>
        <row r="4189">
          <cell r="A4189">
            <v>0</v>
          </cell>
          <cell r="B4189">
            <v>0</v>
          </cell>
        </row>
        <row r="4190">
          <cell r="A4190">
            <v>0</v>
          </cell>
          <cell r="B4190">
            <v>0</v>
          </cell>
        </row>
        <row r="4191">
          <cell r="A4191">
            <v>0</v>
          </cell>
          <cell r="B4191">
            <v>0</v>
          </cell>
        </row>
        <row r="4192">
          <cell r="A4192">
            <v>0</v>
          </cell>
          <cell r="B4192">
            <v>0</v>
          </cell>
        </row>
        <row r="4193">
          <cell r="A4193">
            <v>0</v>
          </cell>
          <cell r="B4193">
            <v>0</v>
          </cell>
        </row>
        <row r="4194">
          <cell r="A4194">
            <v>0</v>
          </cell>
          <cell r="B4194">
            <v>0</v>
          </cell>
        </row>
        <row r="4195">
          <cell r="A4195">
            <v>0</v>
          </cell>
          <cell r="B4195">
            <v>0</v>
          </cell>
        </row>
        <row r="4196">
          <cell r="A4196">
            <v>0</v>
          </cell>
          <cell r="B4196">
            <v>0</v>
          </cell>
        </row>
        <row r="4197">
          <cell r="A4197">
            <v>0</v>
          </cell>
          <cell r="B4197">
            <v>0</v>
          </cell>
        </row>
        <row r="4198">
          <cell r="A4198">
            <v>0</v>
          </cell>
          <cell r="B4198">
            <v>0</v>
          </cell>
        </row>
        <row r="4199">
          <cell r="A4199">
            <v>0</v>
          </cell>
          <cell r="B4199">
            <v>0</v>
          </cell>
        </row>
        <row r="4200">
          <cell r="A4200">
            <v>0</v>
          </cell>
          <cell r="B4200">
            <v>0</v>
          </cell>
        </row>
        <row r="4201">
          <cell r="A4201">
            <v>0</v>
          </cell>
          <cell r="B4201">
            <v>0</v>
          </cell>
        </row>
        <row r="4202">
          <cell r="A4202">
            <v>0</v>
          </cell>
          <cell r="B4202">
            <v>0</v>
          </cell>
        </row>
        <row r="4203">
          <cell r="A4203">
            <v>0</v>
          </cell>
          <cell r="B4203">
            <v>0</v>
          </cell>
        </row>
        <row r="4204">
          <cell r="A4204">
            <v>0</v>
          </cell>
          <cell r="B4204">
            <v>0</v>
          </cell>
        </row>
        <row r="4205">
          <cell r="A4205">
            <v>0</v>
          </cell>
          <cell r="B4205">
            <v>0</v>
          </cell>
        </row>
        <row r="4206">
          <cell r="A4206">
            <v>0</v>
          </cell>
          <cell r="B4206">
            <v>0</v>
          </cell>
        </row>
        <row r="4207">
          <cell r="A4207">
            <v>0</v>
          </cell>
          <cell r="B4207">
            <v>0</v>
          </cell>
        </row>
        <row r="4208">
          <cell r="A4208">
            <v>0</v>
          </cell>
          <cell r="B4208">
            <v>0</v>
          </cell>
        </row>
        <row r="4209">
          <cell r="A4209">
            <v>0</v>
          </cell>
          <cell r="B4209">
            <v>0</v>
          </cell>
        </row>
        <row r="4210">
          <cell r="A4210">
            <v>0</v>
          </cell>
          <cell r="B4210">
            <v>0</v>
          </cell>
        </row>
        <row r="4211">
          <cell r="A4211">
            <v>0</v>
          </cell>
          <cell r="B4211">
            <v>0</v>
          </cell>
        </row>
        <row r="4212">
          <cell r="A4212">
            <v>0</v>
          </cell>
          <cell r="B4212">
            <v>0</v>
          </cell>
        </row>
        <row r="4213">
          <cell r="A4213">
            <v>0</v>
          </cell>
          <cell r="B4213">
            <v>0</v>
          </cell>
        </row>
        <row r="4214">
          <cell r="A4214">
            <v>0</v>
          </cell>
          <cell r="B4214">
            <v>0</v>
          </cell>
        </row>
        <row r="4215">
          <cell r="A4215">
            <v>0</v>
          </cell>
          <cell r="B4215">
            <v>0</v>
          </cell>
        </row>
        <row r="4216">
          <cell r="A4216">
            <v>0</v>
          </cell>
          <cell r="B4216">
            <v>0</v>
          </cell>
        </row>
        <row r="4217">
          <cell r="A4217">
            <v>0</v>
          </cell>
          <cell r="B4217">
            <v>0</v>
          </cell>
        </row>
        <row r="4218">
          <cell r="A4218">
            <v>0</v>
          </cell>
          <cell r="B4218">
            <v>0</v>
          </cell>
        </row>
        <row r="4219">
          <cell r="A4219">
            <v>0</v>
          </cell>
          <cell r="B4219">
            <v>0</v>
          </cell>
        </row>
        <row r="4220">
          <cell r="A4220">
            <v>0</v>
          </cell>
          <cell r="B4220">
            <v>0</v>
          </cell>
        </row>
        <row r="4221">
          <cell r="A4221">
            <v>0</v>
          </cell>
          <cell r="B4221">
            <v>0</v>
          </cell>
        </row>
        <row r="4222">
          <cell r="A4222">
            <v>0</v>
          </cell>
          <cell r="B4222">
            <v>0</v>
          </cell>
        </row>
        <row r="4223">
          <cell r="A4223">
            <v>0</v>
          </cell>
          <cell r="B4223">
            <v>0</v>
          </cell>
        </row>
        <row r="4224">
          <cell r="A4224">
            <v>0</v>
          </cell>
          <cell r="B4224">
            <v>0</v>
          </cell>
        </row>
        <row r="4225">
          <cell r="A4225">
            <v>0</v>
          </cell>
          <cell r="B4225">
            <v>0</v>
          </cell>
        </row>
        <row r="4226">
          <cell r="A4226">
            <v>0</v>
          </cell>
          <cell r="B4226">
            <v>0</v>
          </cell>
        </row>
        <row r="4227">
          <cell r="A4227">
            <v>0</v>
          </cell>
          <cell r="B4227">
            <v>0</v>
          </cell>
        </row>
        <row r="4228">
          <cell r="A4228">
            <v>0</v>
          </cell>
          <cell r="B4228">
            <v>0</v>
          </cell>
        </row>
        <row r="4229">
          <cell r="A4229">
            <v>0</v>
          </cell>
          <cell r="B4229">
            <v>0</v>
          </cell>
        </row>
        <row r="4230">
          <cell r="A4230">
            <v>0</v>
          </cell>
          <cell r="B4230">
            <v>0</v>
          </cell>
        </row>
        <row r="4231">
          <cell r="A4231">
            <v>0</v>
          </cell>
          <cell r="B4231">
            <v>0</v>
          </cell>
        </row>
        <row r="4232">
          <cell r="A4232">
            <v>0</v>
          </cell>
          <cell r="B4232">
            <v>0</v>
          </cell>
        </row>
        <row r="4233">
          <cell r="A4233">
            <v>0</v>
          </cell>
          <cell r="B4233">
            <v>0</v>
          </cell>
        </row>
        <row r="4234">
          <cell r="A4234">
            <v>0</v>
          </cell>
          <cell r="B4234">
            <v>0</v>
          </cell>
        </row>
        <row r="4235">
          <cell r="A4235">
            <v>0</v>
          </cell>
          <cell r="B4235">
            <v>0</v>
          </cell>
        </row>
        <row r="4236">
          <cell r="A4236">
            <v>0</v>
          </cell>
          <cell r="B4236">
            <v>0</v>
          </cell>
        </row>
        <row r="4237">
          <cell r="A4237">
            <v>0</v>
          </cell>
          <cell r="B4237">
            <v>0</v>
          </cell>
        </row>
        <row r="4238">
          <cell r="A4238">
            <v>0</v>
          </cell>
          <cell r="B4238">
            <v>0</v>
          </cell>
        </row>
        <row r="4239">
          <cell r="A4239">
            <v>0</v>
          </cell>
          <cell r="B4239">
            <v>0</v>
          </cell>
        </row>
        <row r="4240">
          <cell r="A4240">
            <v>0</v>
          </cell>
          <cell r="B4240">
            <v>0</v>
          </cell>
        </row>
        <row r="4241">
          <cell r="A4241">
            <v>0</v>
          </cell>
          <cell r="B4241">
            <v>0</v>
          </cell>
        </row>
        <row r="4242">
          <cell r="A4242">
            <v>0</v>
          </cell>
          <cell r="B4242">
            <v>0</v>
          </cell>
        </row>
        <row r="4243">
          <cell r="A4243">
            <v>0</v>
          </cell>
          <cell r="B4243">
            <v>0</v>
          </cell>
        </row>
        <row r="4244">
          <cell r="A4244">
            <v>0</v>
          </cell>
          <cell r="B4244">
            <v>0</v>
          </cell>
        </row>
        <row r="4245">
          <cell r="A4245">
            <v>0</v>
          </cell>
          <cell r="B4245">
            <v>0</v>
          </cell>
        </row>
        <row r="4246">
          <cell r="A4246">
            <v>0</v>
          </cell>
          <cell r="B4246">
            <v>0</v>
          </cell>
        </row>
        <row r="4247">
          <cell r="A4247">
            <v>0</v>
          </cell>
          <cell r="B4247">
            <v>0</v>
          </cell>
        </row>
        <row r="4248">
          <cell r="A4248">
            <v>0</v>
          </cell>
          <cell r="B4248">
            <v>0</v>
          </cell>
        </row>
        <row r="4249">
          <cell r="A4249">
            <v>0</v>
          </cell>
          <cell r="B4249">
            <v>0</v>
          </cell>
        </row>
        <row r="4250">
          <cell r="A4250">
            <v>0</v>
          </cell>
          <cell r="B4250">
            <v>0</v>
          </cell>
        </row>
        <row r="4251">
          <cell r="A4251">
            <v>0</v>
          </cell>
          <cell r="B4251">
            <v>0</v>
          </cell>
        </row>
        <row r="4252">
          <cell r="A4252">
            <v>0</v>
          </cell>
          <cell r="B4252">
            <v>0</v>
          </cell>
        </row>
        <row r="4253">
          <cell r="A4253">
            <v>0</v>
          </cell>
          <cell r="B4253">
            <v>0</v>
          </cell>
        </row>
        <row r="4254">
          <cell r="A4254">
            <v>0</v>
          </cell>
          <cell r="B4254">
            <v>0</v>
          </cell>
        </row>
        <row r="4255">
          <cell r="A4255">
            <v>0</v>
          </cell>
          <cell r="B4255">
            <v>0</v>
          </cell>
        </row>
        <row r="4256">
          <cell r="A4256">
            <v>0</v>
          </cell>
          <cell r="B4256">
            <v>0</v>
          </cell>
        </row>
        <row r="4257">
          <cell r="A4257">
            <v>0</v>
          </cell>
          <cell r="B4257">
            <v>0</v>
          </cell>
        </row>
        <row r="4258">
          <cell r="A4258">
            <v>0</v>
          </cell>
          <cell r="B4258">
            <v>0</v>
          </cell>
        </row>
        <row r="4259">
          <cell r="A4259">
            <v>0</v>
          </cell>
          <cell r="B4259">
            <v>0</v>
          </cell>
        </row>
        <row r="4260">
          <cell r="A4260">
            <v>0</v>
          </cell>
          <cell r="B4260">
            <v>0</v>
          </cell>
        </row>
        <row r="4261">
          <cell r="A4261">
            <v>0</v>
          </cell>
          <cell r="B4261">
            <v>0</v>
          </cell>
        </row>
        <row r="4262">
          <cell r="A4262">
            <v>0</v>
          </cell>
          <cell r="B4262">
            <v>0</v>
          </cell>
        </row>
        <row r="4263">
          <cell r="A4263">
            <v>0</v>
          </cell>
          <cell r="B4263">
            <v>0</v>
          </cell>
        </row>
        <row r="4264">
          <cell r="A4264">
            <v>0</v>
          </cell>
          <cell r="B4264">
            <v>0</v>
          </cell>
        </row>
        <row r="4265">
          <cell r="A4265">
            <v>0</v>
          </cell>
          <cell r="B4265">
            <v>0</v>
          </cell>
        </row>
        <row r="4266">
          <cell r="A4266">
            <v>0</v>
          </cell>
          <cell r="B4266">
            <v>0</v>
          </cell>
        </row>
        <row r="4267">
          <cell r="A4267">
            <v>0</v>
          </cell>
          <cell r="B4267">
            <v>0</v>
          </cell>
        </row>
        <row r="4268">
          <cell r="A4268">
            <v>0</v>
          </cell>
          <cell r="B4268">
            <v>0</v>
          </cell>
        </row>
        <row r="4269">
          <cell r="A4269">
            <v>0</v>
          </cell>
          <cell r="B4269">
            <v>0</v>
          </cell>
        </row>
        <row r="4270">
          <cell r="A4270">
            <v>0</v>
          </cell>
          <cell r="B4270">
            <v>0</v>
          </cell>
        </row>
        <row r="4271">
          <cell r="A4271">
            <v>0</v>
          </cell>
          <cell r="B4271">
            <v>0</v>
          </cell>
        </row>
        <row r="4272">
          <cell r="A4272">
            <v>0</v>
          </cell>
          <cell r="B4272">
            <v>0</v>
          </cell>
        </row>
        <row r="4273">
          <cell r="A4273">
            <v>0</v>
          </cell>
          <cell r="B4273">
            <v>0</v>
          </cell>
        </row>
        <row r="4274">
          <cell r="A4274">
            <v>0</v>
          </cell>
          <cell r="B4274">
            <v>0</v>
          </cell>
        </row>
        <row r="4275">
          <cell r="A4275">
            <v>0</v>
          </cell>
          <cell r="B4275">
            <v>0</v>
          </cell>
        </row>
        <row r="4276">
          <cell r="A4276">
            <v>0</v>
          </cell>
          <cell r="B4276">
            <v>0</v>
          </cell>
        </row>
        <row r="4277">
          <cell r="A4277">
            <v>0</v>
          </cell>
          <cell r="B4277">
            <v>0</v>
          </cell>
        </row>
        <row r="4278">
          <cell r="A4278">
            <v>0</v>
          </cell>
          <cell r="B4278">
            <v>0</v>
          </cell>
        </row>
        <row r="4279">
          <cell r="A4279">
            <v>0</v>
          </cell>
          <cell r="B4279">
            <v>0</v>
          </cell>
        </row>
        <row r="4280">
          <cell r="A4280">
            <v>0</v>
          </cell>
          <cell r="B4280">
            <v>0</v>
          </cell>
        </row>
        <row r="4281">
          <cell r="A4281">
            <v>0</v>
          </cell>
          <cell r="B4281">
            <v>0</v>
          </cell>
        </row>
        <row r="4282">
          <cell r="A4282">
            <v>0</v>
          </cell>
          <cell r="B4282">
            <v>0</v>
          </cell>
        </row>
        <row r="4283">
          <cell r="A4283">
            <v>0</v>
          </cell>
          <cell r="B4283">
            <v>0</v>
          </cell>
        </row>
        <row r="4284">
          <cell r="A4284">
            <v>0</v>
          </cell>
          <cell r="B4284">
            <v>0</v>
          </cell>
        </row>
        <row r="4285">
          <cell r="A4285">
            <v>0</v>
          </cell>
          <cell r="B4285">
            <v>0</v>
          </cell>
        </row>
        <row r="4286">
          <cell r="A4286">
            <v>0</v>
          </cell>
          <cell r="B4286">
            <v>0</v>
          </cell>
        </row>
        <row r="4287">
          <cell r="A4287">
            <v>0</v>
          </cell>
          <cell r="B4287">
            <v>0</v>
          </cell>
        </row>
        <row r="4288">
          <cell r="A4288">
            <v>0</v>
          </cell>
          <cell r="B4288">
            <v>0</v>
          </cell>
        </row>
        <row r="4289">
          <cell r="A4289">
            <v>0</v>
          </cell>
          <cell r="B4289">
            <v>0</v>
          </cell>
        </row>
        <row r="4290">
          <cell r="A4290">
            <v>0</v>
          </cell>
          <cell r="B4290">
            <v>0</v>
          </cell>
        </row>
        <row r="4291">
          <cell r="A4291">
            <v>0</v>
          </cell>
          <cell r="B4291">
            <v>0</v>
          </cell>
        </row>
        <row r="4292">
          <cell r="A4292">
            <v>0</v>
          </cell>
          <cell r="B4292">
            <v>0</v>
          </cell>
        </row>
        <row r="4293">
          <cell r="A4293">
            <v>0</v>
          </cell>
          <cell r="B4293">
            <v>0</v>
          </cell>
        </row>
        <row r="4294">
          <cell r="A4294">
            <v>0</v>
          </cell>
          <cell r="B4294">
            <v>0</v>
          </cell>
        </row>
        <row r="4295">
          <cell r="A4295">
            <v>0</v>
          </cell>
          <cell r="B4295">
            <v>0</v>
          </cell>
        </row>
        <row r="4296">
          <cell r="A4296">
            <v>0</v>
          </cell>
          <cell r="B4296">
            <v>0</v>
          </cell>
        </row>
        <row r="4297">
          <cell r="A4297">
            <v>0</v>
          </cell>
          <cell r="B4297">
            <v>0</v>
          </cell>
        </row>
        <row r="4298">
          <cell r="A4298">
            <v>0</v>
          </cell>
          <cell r="B4298">
            <v>0</v>
          </cell>
        </row>
        <row r="4299">
          <cell r="A4299">
            <v>0</v>
          </cell>
          <cell r="B4299">
            <v>0</v>
          </cell>
        </row>
        <row r="4300">
          <cell r="A4300">
            <v>0</v>
          </cell>
          <cell r="B4300">
            <v>0</v>
          </cell>
        </row>
        <row r="4301">
          <cell r="A4301">
            <v>0</v>
          </cell>
          <cell r="B4301">
            <v>0</v>
          </cell>
        </row>
        <row r="4302">
          <cell r="A4302">
            <v>0</v>
          </cell>
          <cell r="B4302">
            <v>0</v>
          </cell>
        </row>
        <row r="4303">
          <cell r="A4303">
            <v>0</v>
          </cell>
          <cell r="B4303">
            <v>0</v>
          </cell>
        </row>
        <row r="4304">
          <cell r="A4304">
            <v>0</v>
          </cell>
          <cell r="B4304">
            <v>0</v>
          </cell>
        </row>
        <row r="4305">
          <cell r="A4305">
            <v>0</v>
          </cell>
          <cell r="B4305">
            <v>0</v>
          </cell>
        </row>
        <row r="4306">
          <cell r="A4306">
            <v>0</v>
          </cell>
          <cell r="B4306">
            <v>0</v>
          </cell>
        </row>
        <row r="4307">
          <cell r="A4307">
            <v>0</v>
          </cell>
          <cell r="B4307">
            <v>0</v>
          </cell>
        </row>
        <row r="4308">
          <cell r="A4308">
            <v>0</v>
          </cell>
          <cell r="B4308">
            <v>0</v>
          </cell>
        </row>
        <row r="4309">
          <cell r="A4309">
            <v>0</v>
          </cell>
          <cell r="B4309">
            <v>0</v>
          </cell>
        </row>
        <row r="4310">
          <cell r="A4310">
            <v>0</v>
          </cell>
          <cell r="B4310">
            <v>0</v>
          </cell>
        </row>
        <row r="4311">
          <cell r="A4311">
            <v>0</v>
          </cell>
          <cell r="B4311">
            <v>0</v>
          </cell>
        </row>
        <row r="4312">
          <cell r="A4312">
            <v>0</v>
          </cell>
          <cell r="B4312">
            <v>0</v>
          </cell>
        </row>
        <row r="4313">
          <cell r="A4313">
            <v>0</v>
          </cell>
          <cell r="B4313">
            <v>0</v>
          </cell>
        </row>
        <row r="4314">
          <cell r="A4314">
            <v>0</v>
          </cell>
          <cell r="B4314">
            <v>0</v>
          </cell>
        </row>
        <row r="4315">
          <cell r="A4315">
            <v>0</v>
          </cell>
          <cell r="B4315">
            <v>0</v>
          </cell>
        </row>
        <row r="4316">
          <cell r="A4316">
            <v>0</v>
          </cell>
          <cell r="B4316">
            <v>0</v>
          </cell>
        </row>
        <row r="4317">
          <cell r="A4317">
            <v>0</v>
          </cell>
          <cell r="B4317">
            <v>0</v>
          </cell>
        </row>
        <row r="4318">
          <cell r="A4318">
            <v>0</v>
          </cell>
          <cell r="B4318">
            <v>0</v>
          </cell>
        </row>
        <row r="4319">
          <cell r="A4319">
            <v>0</v>
          </cell>
          <cell r="B4319">
            <v>0</v>
          </cell>
        </row>
        <row r="4320">
          <cell r="A4320">
            <v>0</v>
          </cell>
          <cell r="B4320">
            <v>0</v>
          </cell>
        </row>
        <row r="4321">
          <cell r="A4321">
            <v>0</v>
          </cell>
          <cell r="B4321">
            <v>0</v>
          </cell>
        </row>
        <row r="4322">
          <cell r="A4322">
            <v>0</v>
          </cell>
          <cell r="B4322">
            <v>0</v>
          </cell>
        </row>
        <row r="4323">
          <cell r="A4323">
            <v>0</v>
          </cell>
          <cell r="B4323">
            <v>0</v>
          </cell>
        </row>
        <row r="4324">
          <cell r="A4324">
            <v>0</v>
          </cell>
          <cell r="B4324">
            <v>0</v>
          </cell>
        </row>
        <row r="4325">
          <cell r="A4325">
            <v>0</v>
          </cell>
          <cell r="B4325">
            <v>0</v>
          </cell>
        </row>
        <row r="4326">
          <cell r="A4326">
            <v>0</v>
          </cell>
          <cell r="B4326">
            <v>0</v>
          </cell>
        </row>
        <row r="4327">
          <cell r="A4327">
            <v>0</v>
          </cell>
          <cell r="B4327">
            <v>0</v>
          </cell>
        </row>
        <row r="4328">
          <cell r="A4328">
            <v>0</v>
          </cell>
          <cell r="B4328">
            <v>0</v>
          </cell>
        </row>
        <row r="4329">
          <cell r="A4329">
            <v>0</v>
          </cell>
          <cell r="B4329">
            <v>0</v>
          </cell>
        </row>
        <row r="4330">
          <cell r="A4330">
            <v>0</v>
          </cell>
          <cell r="B4330">
            <v>0</v>
          </cell>
        </row>
        <row r="4331">
          <cell r="A4331">
            <v>0</v>
          </cell>
          <cell r="B4331">
            <v>0</v>
          </cell>
        </row>
        <row r="4332">
          <cell r="A4332">
            <v>0</v>
          </cell>
          <cell r="B4332">
            <v>0</v>
          </cell>
        </row>
        <row r="4333">
          <cell r="A4333">
            <v>0</v>
          </cell>
          <cell r="B4333">
            <v>0</v>
          </cell>
        </row>
        <row r="4334">
          <cell r="A4334">
            <v>0</v>
          </cell>
          <cell r="B4334">
            <v>0</v>
          </cell>
        </row>
        <row r="4335">
          <cell r="A4335">
            <v>0</v>
          </cell>
          <cell r="B4335">
            <v>0</v>
          </cell>
        </row>
        <row r="4336">
          <cell r="A4336">
            <v>0</v>
          </cell>
          <cell r="B4336">
            <v>0</v>
          </cell>
        </row>
        <row r="4337">
          <cell r="A4337">
            <v>0</v>
          </cell>
          <cell r="B4337">
            <v>0</v>
          </cell>
        </row>
        <row r="4338">
          <cell r="A4338">
            <v>0</v>
          </cell>
          <cell r="B4338">
            <v>0</v>
          </cell>
        </row>
        <row r="4339">
          <cell r="A4339">
            <v>0</v>
          </cell>
          <cell r="B4339">
            <v>0</v>
          </cell>
        </row>
        <row r="4340">
          <cell r="A4340">
            <v>0</v>
          </cell>
          <cell r="B4340">
            <v>0</v>
          </cell>
        </row>
        <row r="4341">
          <cell r="A4341">
            <v>0</v>
          </cell>
          <cell r="B4341">
            <v>0</v>
          </cell>
        </row>
        <row r="4342">
          <cell r="A4342">
            <v>0</v>
          </cell>
          <cell r="B4342">
            <v>0</v>
          </cell>
        </row>
        <row r="4343">
          <cell r="A4343">
            <v>0</v>
          </cell>
          <cell r="B4343">
            <v>0</v>
          </cell>
        </row>
        <row r="4344">
          <cell r="A4344">
            <v>0</v>
          </cell>
          <cell r="B4344">
            <v>0</v>
          </cell>
        </row>
        <row r="4345">
          <cell r="A4345">
            <v>0</v>
          </cell>
          <cell r="B4345">
            <v>0</v>
          </cell>
        </row>
        <row r="4346">
          <cell r="A4346">
            <v>0</v>
          </cell>
          <cell r="B4346">
            <v>0</v>
          </cell>
        </row>
        <row r="4347">
          <cell r="A4347">
            <v>0</v>
          </cell>
          <cell r="B4347">
            <v>0</v>
          </cell>
        </row>
        <row r="4348">
          <cell r="A4348">
            <v>0</v>
          </cell>
          <cell r="B4348">
            <v>0</v>
          </cell>
        </row>
        <row r="4349">
          <cell r="A4349">
            <v>0</v>
          </cell>
          <cell r="B4349">
            <v>0</v>
          </cell>
        </row>
        <row r="4350">
          <cell r="A4350">
            <v>0</v>
          </cell>
          <cell r="B4350">
            <v>0</v>
          </cell>
        </row>
        <row r="4351">
          <cell r="A4351">
            <v>0</v>
          </cell>
          <cell r="B4351">
            <v>0</v>
          </cell>
        </row>
        <row r="4352">
          <cell r="A4352">
            <v>0</v>
          </cell>
          <cell r="B4352">
            <v>0</v>
          </cell>
        </row>
        <row r="4353">
          <cell r="A4353">
            <v>0</v>
          </cell>
          <cell r="B4353">
            <v>0</v>
          </cell>
        </row>
        <row r="4354">
          <cell r="A4354">
            <v>0</v>
          </cell>
          <cell r="B4354">
            <v>0</v>
          </cell>
        </row>
        <row r="4355">
          <cell r="A4355">
            <v>0</v>
          </cell>
          <cell r="B4355">
            <v>0</v>
          </cell>
        </row>
        <row r="4356">
          <cell r="A4356">
            <v>0</v>
          </cell>
          <cell r="B4356">
            <v>0</v>
          </cell>
        </row>
        <row r="4357">
          <cell r="A4357">
            <v>0</v>
          </cell>
          <cell r="B4357">
            <v>0</v>
          </cell>
        </row>
        <row r="4358">
          <cell r="A4358">
            <v>0</v>
          </cell>
          <cell r="B4358">
            <v>0</v>
          </cell>
        </row>
        <row r="4359">
          <cell r="A4359">
            <v>0</v>
          </cell>
          <cell r="B4359">
            <v>0</v>
          </cell>
        </row>
        <row r="4360">
          <cell r="A4360">
            <v>0</v>
          </cell>
          <cell r="B4360">
            <v>0</v>
          </cell>
        </row>
        <row r="4361">
          <cell r="A4361">
            <v>0</v>
          </cell>
          <cell r="B4361">
            <v>0</v>
          </cell>
        </row>
        <row r="4362">
          <cell r="A4362">
            <v>0</v>
          </cell>
          <cell r="B4362">
            <v>0</v>
          </cell>
        </row>
        <row r="4363">
          <cell r="A4363">
            <v>0</v>
          </cell>
          <cell r="B4363">
            <v>0</v>
          </cell>
        </row>
        <row r="4364">
          <cell r="A4364">
            <v>0</v>
          </cell>
          <cell r="B4364">
            <v>0</v>
          </cell>
        </row>
        <row r="4365">
          <cell r="A4365">
            <v>0</v>
          </cell>
          <cell r="B4365">
            <v>0</v>
          </cell>
        </row>
        <row r="4366">
          <cell r="A4366">
            <v>0</v>
          </cell>
          <cell r="B4366">
            <v>0</v>
          </cell>
        </row>
        <row r="4367">
          <cell r="A4367">
            <v>0</v>
          </cell>
          <cell r="B4367">
            <v>0</v>
          </cell>
        </row>
        <row r="4368">
          <cell r="A4368">
            <v>0</v>
          </cell>
          <cell r="B4368">
            <v>0</v>
          </cell>
        </row>
        <row r="4369">
          <cell r="A4369">
            <v>0</v>
          </cell>
          <cell r="B4369">
            <v>0</v>
          </cell>
        </row>
        <row r="4370">
          <cell r="A4370">
            <v>0</v>
          </cell>
          <cell r="B4370">
            <v>0</v>
          </cell>
        </row>
        <row r="4371">
          <cell r="A4371">
            <v>0</v>
          </cell>
          <cell r="B4371">
            <v>0</v>
          </cell>
        </row>
        <row r="4372">
          <cell r="A4372">
            <v>0</v>
          </cell>
          <cell r="B4372">
            <v>0</v>
          </cell>
        </row>
        <row r="4373">
          <cell r="A4373">
            <v>0</v>
          </cell>
          <cell r="B4373">
            <v>0</v>
          </cell>
        </row>
        <row r="4374">
          <cell r="A4374">
            <v>0</v>
          </cell>
          <cell r="B4374">
            <v>0</v>
          </cell>
        </row>
        <row r="4375">
          <cell r="A4375">
            <v>0</v>
          </cell>
          <cell r="B4375">
            <v>0</v>
          </cell>
        </row>
        <row r="4376">
          <cell r="A4376">
            <v>0</v>
          </cell>
          <cell r="B4376">
            <v>0</v>
          </cell>
        </row>
        <row r="4377">
          <cell r="A4377">
            <v>0</v>
          </cell>
          <cell r="B4377">
            <v>0</v>
          </cell>
        </row>
        <row r="4378">
          <cell r="A4378">
            <v>0</v>
          </cell>
          <cell r="B4378">
            <v>0</v>
          </cell>
        </row>
        <row r="4379">
          <cell r="A4379">
            <v>0</v>
          </cell>
          <cell r="B4379">
            <v>0</v>
          </cell>
        </row>
        <row r="4380">
          <cell r="A4380">
            <v>0</v>
          </cell>
          <cell r="B4380">
            <v>0</v>
          </cell>
        </row>
        <row r="4381">
          <cell r="A4381">
            <v>0</v>
          </cell>
          <cell r="B4381">
            <v>0</v>
          </cell>
        </row>
        <row r="4382">
          <cell r="A4382">
            <v>0</v>
          </cell>
          <cell r="B4382">
            <v>0</v>
          </cell>
        </row>
        <row r="4383">
          <cell r="A4383">
            <v>0</v>
          </cell>
          <cell r="B4383">
            <v>0</v>
          </cell>
        </row>
        <row r="4384">
          <cell r="A4384">
            <v>0</v>
          </cell>
          <cell r="B4384">
            <v>0</v>
          </cell>
        </row>
        <row r="4385">
          <cell r="A4385">
            <v>0</v>
          </cell>
          <cell r="B4385">
            <v>0</v>
          </cell>
        </row>
        <row r="4386">
          <cell r="A4386">
            <v>0</v>
          </cell>
          <cell r="B4386">
            <v>0</v>
          </cell>
        </row>
        <row r="4387">
          <cell r="A4387">
            <v>0</v>
          </cell>
          <cell r="B4387">
            <v>0</v>
          </cell>
        </row>
        <row r="4388">
          <cell r="A4388">
            <v>0</v>
          </cell>
          <cell r="B4388">
            <v>0</v>
          </cell>
        </row>
        <row r="4389">
          <cell r="A4389">
            <v>0</v>
          </cell>
          <cell r="B4389">
            <v>0</v>
          </cell>
        </row>
        <row r="4390">
          <cell r="A4390">
            <v>0</v>
          </cell>
          <cell r="B4390">
            <v>0</v>
          </cell>
        </row>
        <row r="4391">
          <cell r="A4391">
            <v>0</v>
          </cell>
          <cell r="B4391">
            <v>0</v>
          </cell>
        </row>
        <row r="4392">
          <cell r="A4392">
            <v>0</v>
          </cell>
          <cell r="B4392">
            <v>0</v>
          </cell>
        </row>
        <row r="4393">
          <cell r="A4393">
            <v>0</v>
          </cell>
          <cell r="B4393">
            <v>0</v>
          </cell>
        </row>
        <row r="4394">
          <cell r="A4394">
            <v>0</v>
          </cell>
          <cell r="B4394">
            <v>0</v>
          </cell>
        </row>
        <row r="4395">
          <cell r="A4395">
            <v>0</v>
          </cell>
          <cell r="B4395">
            <v>0</v>
          </cell>
        </row>
        <row r="4396">
          <cell r="A4396">
            <v>0</v>
          </cell>
          <cell r="B4396">
            <v>0</v>
          </cell>
        </row>
        <row r="4397">
          <cell r="A4397">
            <v>0</v>
          </cell>
          <cell r="B4397">
            <v>0</v>
          </cell>
        </row>
        <row r="4398">
          <cell r="A4398">
            <v>0</v>
          </cell>
          <cell r="B4398">
            <v>0</v>
          </cell>
        </row>
        <row r="4399">
          <cell r="A4399">
            <v>0</v>
          </cell>
          <cell r="B4399">
            <v>0</v>
          </cell>
        </row>
        <row r="4400">
          <cell r="A4400">
            <v>0</v>
          </cell>
          <cell r="B4400">
            <v>0</v>
          </cell>
        </row>
        <row r="4401">
          <cell r="A4401">
            <v>0</v>
          </cell>
          <cell r="B4401">
            <v>0</v>
          </cell>
        </row>
        <row r="4402">
          <cell r="A4402">
            <v>0</v>
          </cell>
          <cell r="B4402">
            <v>0</v>
          </cell>
        </row>
        <row r="4403">
          <cell r="A4403">
            <v>0</v>
          </cell>
          <cell r="B4403">
            <v>0</v>
          </cell>
        </row>
        <row r="4404">
          <cell r="A4404">
            <v>0</v>
          </cell>
          <cell r="B4404">
            <v>0</v>
          </cell>
        </row>
        <row r="4405">
          <cell r="A4405">
            <v>0</v>
          </cell>
          <cell r="B4405">
            <v>0</v>
          </cell>
        </row>
        <row r="4406">
          <cell r="A4406">
            <v>0</v>
          </cell>
          <cell r="B4406">
            <v>0</v>
          </cell>
        </row>
        <row r="4407">
          <cell r="A4407">
            <v>0</v>
          </cell>
          <cell r="B4407">
            <v>0</v>
          </cell>
        </row>
        <row r="4408">
          <cell r="A4408">
            <v>0</v>
          </cell>
          <cell r="B4408">
            <v>0</v>
          </cell>
        </row>
        <row r="4409">
          <cell r="A4409">
            <v>0</v>
          </cell>
          <cell r="B4409">
            <v>0</v>
          </cell>
        </row>
        <row r="4410">
          <cell r="A4410">
            <v>0</v>
          </cell>
          <cell r="B4410">
            <v>0</v>
          </cell>
        </row>
        <row r="4411">
          <cell r="A4411">
            <v>0</v>
          </cell>
          <cell r="B4411">
            <v>0</v>
          </cell>
        </row>
        <row r="4412">
          <cell r="A4412">
            <v>0</v>
          </cell>
          <cell r="B4412">
            <v>0</v>
          </cell>
        </row>
        <row r="4413">
          <cell r="A4413">
            <v>0</v>
          </cell>
          <cell r="B4413">
            <v>0</v>
          </cell>
        </row>
        <row r="4414">
          <cell r="A4414">
            <v>0</v>
          </cell>
          <cell r="B4414">
            <v>0</v>
          </cell>
        </row>
        <row r="4415">
          <cell r="A4415">
            <v>0</v>
          </cell>
          <cell r="B4415">
            <v>0</v>
          </cell>
        </row>
        <row r="4416">
          <cell r="A4416">
            <v>0</v>
          </cell>
          <cell r="B4416">
            <v>0</v>
          </cell>
        </row>
        <row r="4417">
          <cell r="A4417">
            <v>0</v>
          </cell>
          <cell r="B4417">
            <v>0</v>
          </cell>
        </row>
        <row r="4418">
          <cell r="A4418">
            <v>0</v>
          </cell>
          <cell r="B4418">
            <v>0</v>
          </cell>
        </row>
        <row r="4419">
          <cell r="A4419">
            <v>0</v>
          </cell>
          <cell r="B4419">
            <v>0</v>
          </cell>
        </row>
        <row r="4420">
          <cell r="A4420">
            <v>0</v>
          </cell>
          <cell r="B4420">
            <v>0</v>
          </cell>
        </row>
        <row r="4421">
          <cell r="A4421">
            <v>0</v>
          </cell>
          <cell r="B4421">
            <v>0</v>
          </cell>
        </row>
        <row r="4422">
          <cell r="A4422">
            <v>0</v>
          </cell>
          <cell r="B4422">
            <v>0</v>
          </cell>
        </row>
        <row r="4423">
          <cell r="A4423">
            <v>0</v>
          </cell>
          <cell r="B4423">
            <v>0</v>
          </cell>
        </row>
        <row r="4424">
          <cell r="A4424">
            <v>0</v>
          </cell>
          <cell r="B4424">
            <v>0</v>
          </cell>
        </row>
        <row r="4425">
          <cell r="A4425">
            <v>0</v>
          </cell>
          <cell r="B4425">
            <v>0</v>
          </cell>
        </row>
        <row r="4426">
          <cell r="A4426">
            <v>0</v>
          </cell>
          <cell r="B4426">
            <v>0</v>
          </cell>
        </row>
        <row r="4427">
          <cell r="A4427">
            <v>0</v>
          </cell>
          <cell r="B4427">
            <v>0</v>
          </cell>
        </row>
        <row r="4428">
          <cell r="A4428">
            <v>0</v>
          </cell>
          <cell r="B4428">
            <v>0</v>
          </cell>
        </row>
        <row r="4429">
          <cell r="A4429">
            <v>0</v>
          </cell>
          <cell r="B4429">
            <v>0</v>
          </cell>
        </row>
        <row r="4430">
          <cell r="A4430">
            <v>0</v>
          </cell>
          <cell r="B4430">
            <v>0</v>
          </cell>
        </row>
        <row r="4431">
          <cell r="A4431">
            <v>0</v>
          </cell>
          <cell r="B4431">
            <v>0</v>
          </cell>
        </row>
        <row r="4432">
          <cell r="A4432">
            <v>0</v>
          </cell>
          <cell r="B4432">
            <v>0</v>
          </cell>
        </row>
        <row r="4433">
          <cell r="A4433">
            <v>0</v>
          </cell>
          <cell r="B4433">
            <v>0</v>
          </cell>
        </row>
        <row r="4434">
          <cell r="A4434">
            <v>0</v>
          </cell>
          <cell r="B4434">
            <v>0</v>
          </cell>
        </row>
        <row r="4435">
          <cell r="A4435">
            <v>0</v>
          </cell>
          <cell r="B4435">
            <v>0</v>
          </cell>
        </row>
        <row r="4436">
          <cell r="A4436">
            <v>0</v>
          </cell>
          <cell r="B4436">
            <v>0</v>
          </cell>
        </row>
        <row r="4437">
          <cell r="A4437">
            <v>0</v>
          </cell>
          <cell r="B4437">
            <v>0</v>
          </cell>
        </row>
        <row r="4438">
          <cell r="A4438">
            <v>0</v>
          </cell>
          <cell r="B4438">
            <v>0</v>
          </cell>
        </row>
        <row r="4439">
          <cell r="A4439">
            <v>0</v>
          </cell>
          <cell r="B4439">
            <v>0</v>
          </cell>
        </row>
        <row r="4440">
          <cell r="A4440">
            <v>0</v>
          </cell>
          <cell r="B4440">
            <v>0</v>
          </cell>
        </row>
        <row r="4441">
          <cell r="A4441">
            <v>0</v>
          </cell>
          <cell r="B4441">
            <v>0</v>
          </cell>
        </row>
        <row r="4442">
          <cell r="A4442">
            <v>0</v>
          </cell>
          <cell r="B4442">
            <v>0</v>
          </cell>
        </row>
        <row r="4443">
          <cell r="A4443">
            <v>0</v>
          </cell>
          <cell r="B4443">
            <v>0</v>
          </cell>
        </row>
        <row r="4444">
          <cell r="A4444">
            <v>0</v>
          </cell>
          <cell r="B4444">
            <v>0</v>
          </cell>
        </row>
        <row r="4445">
          <cell r="A4445">
            <v>0</v>
          </cell>
          <cell r="B4445">
            <v>0</v>
          </cell>
        </row>
        <row r="4446">
          <cell r="A4446">
            <v>0</v>
          </cell>
          <cell r="B4446">
            <v>0</v>
          </cell>
        </row>
        <row r="4447">
          <cell r="A4447">
            <v>0</v>
          </cell>
          <cell r="B4447">
            <v>0</v>
          </cell>
        </row>
        <row r="4448">
          <cell r="A4448">
            <v>0</v>
          </cell>
          <cell r="B4448">
            <v>0</v>
          </cell>
        </row>
        <row r="4449">
          <cell r="A4449">
            <v>0</v>
          </cell>
          <cell r="B4449">
            <v>0</v>
          </cell>
        </row>
        <row r="4450">
          <cell r="A4450">
            <v>0</v>
          </cell>
          <cell r="B4450">
            <v>0</v>
          </cell>
        </row>
        <row r="4451">
          <cell r="A4451">
            <v>0</v>
          </cell>
          <cell r="B4451">
            <v>0</v>
          </cell>
        </row>
        <row r="4452">
          <cell r="A4452">
            <v>0</v>
          </cell>
          <cell r="B4452">
            <v>0</v>
          </cell>
        </row>
        <row r="4453">
          <cell r="A4453">
            <v>0</v>
          </cell>
          <cell r="B4453">
            <v>0</v>
          </cell>
        </row>
        <row r="4454">
          <cell r="A4454">
            <v>0</v>
          </cell>
          <cell r="B4454">
            <v>0</v>
          </cell>
        </row>
        <row r="4455">
          <cell r="A4455">
            <v>0</v>
          </cell>
          <cell r="B4455">
            <v>0</v>
          </cell>
        </row>
        <row r="4456">
          <cell r="A4456">
            <v>0</v>
          </cell>
          <cell r="B4456">
            <v>0</v>
          </cell>
        </row>
        <row r="4457">
          <cell r="A4457">
            <v>0</v>
          </cell>
          <cell r="B4457">
            <v>0</v>
          </cell>
        </row>
        <row r="4458">
          <cell r="A4458">
            <v>0</v>
          </cell>
          <cell r="B4458">
            <v>0</v>
          </cell>
        </row>
        <row r="4459">
          <cell r="A4459">
            <v>0</v>
          </cell>
          <cell r="B4459">
            <v>0</v>
          </cell>
        </row>
        <row r="4460">
          <cell r="A4460">
            <v>0</v>
          </cell>
          <cell r="B4460">
            <v>0</v>
          </cell>
        </row>
        <row r="4461">
          <cell r="A4461">
            <v>0</v>
          </cell>
          <cell r="B4461">
            <v>0</v>
          </cell>
        </row>
        <row r="4462">
          <cell r="A4462">
            <v>0</v>
          </cell>
          <cell r="B4462">
            <v>0</v>
          </cell>
        </row>
        <row r="4463">
          <cell r="A4463">
            <v>0</v>
          </cell>
          <cell r="B4463">
            <v>0</v>
          </cell>
        </row>
        <row r="4464">
          <cell r="A4464">
            <v>0</v>
          </cell>
          <cell r="B4464">
            <v>0</v>
          </cell>
        </row>
        <row r="4465">
          <cell r="A4465">
            <v>0</v>
          </cell>
          <cell r="B4465">
            <v>0</v>
          </cell>
        </row>
        <row r="4466">
          <cell r="A4466">
            <v>0</v>
          </cell>
          <cell r="B4466">
            <v>0</v>
          </cell>
        </row>
        <row r="4467">
          <cell r="A4467">
            <v>0</v>
          </cell>
          <cell r="B4467">
            <v>0</v>
          </cell>
        </row>
        <row r="4468">
          <cell r="A4468">
            <v>0</v>
          </cell>
          <cell r="B4468">
            <v>0</v>
          </cell>
        </row>
        <row r="4469">
          <cell r="A4469">
            <v>0</v>
          </cell>
          <cell r="B4469">
            <v>0</v>
          </cell>
        </row>
        <row r="4470">
          <cell r="A4470">
            <v>0</v>
          </cell>
          <cell r="B4470">
            <v>0</v>
          </cell>
        </row>
        <row r="4471">
          <cell r="A4471">
            <v>0</v>
          </cell>
          <cell r="B4471">
            <v>0</v>
          </cell>
        </row>
        <row r="4472">
          <cell r="A4472">
            <v>0</v>
          </cell>
          <cell r="B4472">
            <v>0</v>
          </cell>
        </row>
        <row r="4473">
          <cell r="A4473">
            <v>0</v>
          </cell>
          <cell r="B4473">
            <v>0</v>
          </cell>
        </row>
        <row r="4474">
          <cell r="A4474">
            <v>0</v>
          </cell>
          <cell r="B4474">
            <v>0</v>
          </cell>
        </row>
        <row r="4475">
          <cell r="A4475">
            <v>0</v>
          </cell>
          <cell r="B4475">
            <v>0</v>
          </cell>
        </row>
        <row r="4476">
          <cell r="A4476">
            <v>0</v>
          </cell>
          <cell r="B4476">
            <v>0</v>
          </cell>
        </row>
        <row r="4477">
          <cell r="A4477">
            <v>0</v>
          </cell>
          <cell r="B4477">
            <v>0</v>
          </cell>
        </row>
        <row r="4478">
          <cell r="A4478">
            <v>0</v>
          </cell>
          <cell r="B4478">
            <v>0</v>
          </cell>
        </row>
        <row r="4479">
          <cell r="A4479">
            <v>0</v>
          </cell>
          <cell r="B4479">
            <v>0</v>
          </cell>
        </row>
        <row r="4480">
          <cell r="A4480">
            <v>0</v>
          </cell>
          <cell r="B4480">
            <v>0</v>
          </cell>
        </row>
        <row r="4481">
          <cell r="A4481">
            <v>0</v>
          </cell>
          <cell r="B4481">
            <v>0</v>
          </cell>
        </row>
        <row r="4482">
          <cell r="A4482">
            <v>0</v>
          </cell>
          <cell r="B4482">
            <v>0</v>
          </cell>
        </row>
        <row r="4483">
          <cell r="A4483">
            <v>0</v>
          </cell>
          <cell r="B4483">
            <v>0</v>
          </cell>
        </row>
        <row r="4484">
          <cell r="A4484">
            <v>0</v>
          </cell>
          <cell r="B4484">
            <v>0</v>
          </cell>
        </row>
        <row r="4485">
          <cell r="A4485">
            <v>0</v>
          </cell>
          <cell r="B4485">
            <v>0</v>
          </cell>
        </row>
        <row r="4486">
          <cell r="A4486">
            <v>0</v>
          </cell>
          <cell r="B4486">
            <v>0</v>
          </cell>
        </row>
        <row r="4487">
          <cell r="A4487">
            <v>0</v>
          </cell>
          <cell r="B4487">
            <v>0</v>
          </cell>
        </row>
        <row r="4488">
          <cell r="A4488">
            <v>0</v>
          </cell>
          <cell r="B4488">
            <v>0</v>
          </cell>
        </row>
        <row r="4489">
          <cell r="A4489">
            <v>0</v>
          </cell>
          <cell r="B4489">
            <v>0</v>
          </cell>
        </row>
        <row r="4490">
          <cell r="A4490">
            <v>0</v>
          </cell>
          <cell r="B4490">
            <v>0</v>
          </cell>
        </row>
        <row r="4491">
          <cell r="A4491">
            <v>0</v>
          </cell>
          <cell r="B4491">
            <v>0</v>
          </cell>
        </row>
        <row r="4492">
          <cell r="A4492">
            <v>0</v>
          </cell>
          <cell r="B4492">
            <v>0</v>
          </cell>
        </row>
        <row r="4493">
          <cell r="A4493">
            <v>0</v>
          </cell>
          <cell r="B4493">
            <v>0</v>
          </cell>
        </row>
        <row r="4494">
          <cell r="A4494">
            <v>0</v>
          </cell>
          <cell r="B4494">
            <v>0</v>
          </cell>
        </row>
        <row r="4495">
          <cell r="A4495">
            <v>0</v>
          </cell>
          <cell r="B4495">
            <v>0</v>
          </cell>
        </row>
        <row r="4496">
          <cell r="A4496">
            <v>0</v>
          </cell>
          <cell r="B4496">
            <v>0</v>
          </cell>
        </row>
        <row r="4497">
          <cell r="A4497">
            <v>0</v>
          </cell>
          <cell r="B4497">
            <v>0</v>
          </cell>
        </row>
        <row r="4498">
          <cell r="A4498">
            <v>0</v>
          </cell>
          <cell r="B4498">
            <v>0</v>
          </cell>
        </row>
        <row r="4499">
          <cell r="A4499">
            <v>0</v>
          </cell>
          <cell r="B4499">
            <v>0</v>
          </cell>
        </row>
        <row r="4500">
          <cell r="A4500">
            <v>0</v>
          </cell>
          <cell r="B4500">
            <v>0</v>
          </cell>
        </row>
        <row r="4501">
          <cell r="A4501">
            <v>0</v>
          </cell>
          <cell r="B4501">
            <v>0</v>
          </cell>
        </row>
        <row r="4502">
          <cell r="A4502">
            <v>0</v>
          </cell>
          <cell r="B4502">
            <v>0</v>
          </cell>
        </row>
        <row r="4503">
          <cell r="A4503">
            <v>0</v>
          </cell>
          <cell r="B4503">
            <v>0</v>
          </cell>
        </row>
        <row r="4504">
          <cell r="A4504">
            <v>0</v>
          </cell>
          <cell r="B4504">
            <v>0</v>
          </cell>
        </row>
        <row r="4505">
          <cell r="A4505">
            <v>0</v>
          </cell>
          <cell r="B4505">
            <v>0</v>
          </cell>
        </row>
        <row r="4506">
          <cell r="A4506">
            <v>0</v>
          </cell>
          <cell r="B4506">
            <v>0</v>
          </cell>
        </row>
        <row r="4507">
          <cell r="A4507">
            <v>0</v>
          </cell>
          <cell r="B4507">
            <v>0</v>
          </cell>
        </row>
        <row r="4508">
          <cell r="A4508">
            <v>0</v>
          </cell>
          <cell r="B4508">
            <v>0</v>
          </cell>
        </row>
        <row r="4509">
          <cell r="A4509">
            <v>0</v>
          </cell>
          <cell r="B4509">
            <v>0</v>
          </cell>
        </row>
        <row r="4510">
          <cell r="A4510">
            <v>0</v>
          </cell>
          <cell r="B4510">
            <v>0</v>
          </cell>
        </row>
        <row r="4511">
          <cell r="A4511">
            <v>0</v>
          </cell>
          <cell r="B4511">
            <v>0</v>
          </cell>
        </row>
        <row r="4512">
          <cell r="A4512">
            <v>0</v>
          </cell>
          <cell r="B4512">
            <v>0</v>
          </cell>
        </row>
        <row r="4513">
          <cell r="A4513">
            <v>0</v>
          </cell>
          <cell r="B4513">
            <v>0</v>
          </cell>
        </row>
        <row r="4514">
          <cell r="A4514">
            <v>0</v>
          </cell>
          <cell r="B4514">
            <v>0</v>
          </cell>
        </row>
        <row r="4515">
          <cell r="A4515">
            <v>0</v>
          </cell>
          <cell r="B4515">
            <v>0</v>
          </cell>
        </row>
        <row r="4516">
          <cell r="A4516">
            <v>0</v>
          </cell>
          <cell r="B4516">
            <v>0</v>
          </cell>
        </row>
        <row r="4517">
          <cell r="A4517">
            <v>0</v>
          </cell>
          <cell r="B4517">
            <v>0</v>
          </cell>
        </row>
        <row r="4518">
          <cell r="A4518">
            <v>0</v>
          </cell>
          <cell r="B4518">
            <v>0</v>
          </cell>
        </row>
        <row r="4519">
          <cell r="A4519">
            <v>0</v>
          </cell>
          <cell r="B4519">
            <v>0</v>
          </cell>
        </row>
        <row r="4520">
          <cell r="A4520">
            <v>0</v>
          </cell>
          <cell r="B4520">
            <v>0</v>
          </cell>
        </row>
        <row r="4521">
          <cell r="A4521">
            <v>0</v>
          </cell>
          <cell r="B4521">
            <v>0</v>
          </cell>
        </row>
        <row r="4522">
          <cell r="A4522">
            <v>0</v>
          </cell>
          <cell r="B4522">
            <v>0</v>
          </cell>
        </row>
        <row r="4523">
          <cell r="A4523">
            <v>0</v>
          </cell>
          <cell r="B4523">
            <v>0</v>
          </cell>
        </row>
        <row r="4524">
          <cell r="A4524">
            <v>0</v>
          </cell>
          <cell r="B4524">
            <v>0</v>
          </cell>
        </row>
        <row r="4525">
          <cell r="A4525">
            <v>0</v>
          </cell>
          <cell r="B4525">
            <v>0</v>
          </cell>
        </row>
        <row r="4526">
          <cell r="A4526">
            <v>0</v>
          </cell>
          <cell r="B4526">
            <v>0</v>
          </cell>
        </row>
        <row r="4527">
          <cell r="A4527">
            <v>0</v>
          </cell>
          <cell r="B4527">
            <v>0</v>
          </cell>
        </row>
        <row r="4528">
          <cell r="A4528">
            <v>0</v>
          </cell>
          <cell r="B4528">
            <v>0</v>
          </cell>
        </row>
        <row r="4529">
          <cell r="A4529">
            <v>0</v>
          </cell>
          <cell r="B4529">
            <v>0</v>
          </cell>
        </row>
        <row r="4530">
          <cell r="A4530">
            <v>0</v>
          </cell>
          <cell r="B4530">
            <v>0</v>
          </cell>
        </row>
        <row r="4531">
          <cell r="A4531">
            <v>0</v>
          </cell>
          <cell r="B4531">
            <v>0</v>
          </cell>
        </row>
        <row r="4532">
          <cell r="A4532">
            <v>0</v>
          </cell>
          <cell r="B4532">
            <v>0</v>
          </cell>
        </row>
        <row r="4533">
          <cell r="A4533">
            <v>0</v>
          </cell>
          <cell r="B4533">
            <v>0</v>
          </cell>
        </row>
        <row r="4534">
          <cell r="A4534">
            <v>0</v>
          </cell>
          <cell r="B4534">
            <v>0</v>
          </cell>
        </row>
        <row r="4535">
          <cell r="A4535">
            <v>0</v>
          </cell>
          <cell r="B4535">
            <v>0</v>
          </cell>
        </row>
        <row r="4536">
          <cell r="A4536">
            <v>0</v>
          </cell>
          <cell r="B4536">
            <v>0</v>
          </cell>
        </row>
        <row r="4537">
          <cell r="A4537">
            <v>0</v>
          </cell>
          <cell r="B4537">
            <v>0</v>
          </cell>
        </row>
        <row r="4538">
          <cell r="A4538">
            <v>0</v>
          </cell>
          <cell r="B4538">
            <v>0</v>
          </cell>
        </row>
        <row r="4539">
          <cell r="A4539">
            <v>0</v>
          </cell>
          <cell r="B4539">
            <v>0</v>
          </cell>
        </row>
        <row r="4540">
          <cell r="A4540">
            <v>0</v>
          </cell>
          <cell r="B4540">
            <v>0</v>
          </cell>
        </row>
        <row r="4541">
          <cell r="A4541">
            <v>0</v>
          </cell>
          <cell r="B4541">
            <v>0</v>
          </cell>
        </row>
        <row r="4542">
          <cell r="A4542">
            <v>0</v>
          </cell>
          <cell r="B4542">
            <v>0</v>
          </cell>
        </row>
        <row r="4543">
          <cell r="A4543">
            <v>0</v>
          </cell>
          <cell r="B4543">
            <v>0</v>
          </cell>
        </row>
        <row r="4544">
          <cell r="A4544">
            <v>0</v>
          </cell>
          <cell r="B4544">
            <v>0</v>
          </cell>
        </row>
        <row r="4545">
          <cell r="A4545">
            <v>0</v>
          </cell>
          <cell r="B4545">
            <v>0</v>
          </cell>
        </row>
        <row r="4546">
          <cell r="A4546">
            <v>0</v>
          </cell>
          <cell r="B4546">
            <v>0</v>
          </cell>
        </row>
        <row r="4547">
          <cell r="A4547">
            <v>0</v>
          </cell>
          <cell r="B4547">
            <v>0</v>
          </cell>
        </row>
        <row r="4548">
          <cell r="A4548">
            <v>0</v>
          </cell>
          <cell r="B4548">
            <v>0</v>
          </cell>
        </row>
        <row r="4549">
          <cell r="A4549">
            <v>0</v>
          </cell>
          <cell r="B4549">
            <v>0</v>
          </cell>
        </row>
        <row r="4550">
          <cell r="A4550">
            <v>0</v>
          </cell>
          <cell r="B4550">
            <v>0</v>
          </cell>
        </row>
        <row r="4551">
          <cell r="A4551">
            <v>0</v>
          </cell>
          <cell r="B4551">
            <v>0</v>
          </cell>
        </row>
        <row r="4552">
          <cell r="A4552">
            <v>0</v>
          </cell>
          <cell r="B4552">
            <v>0</v>
          </cell>
        </row>
        <row r="4553">
          <cell r="A4553">
            <v>0</v>
          </cell>
          <cell r="B4553">
            <v>0</v>
          </cell>
        </row>
        <row r="4554">
          <cell r="A4554">
            <v>0</v>
          </cell>
          <cell r="B4554">
            <v>0</v>
          </cell>
        </row>
        <row r="4555">
          <cell r="A4555">
            <v>0</v>
          </cell>
          <cell r="B4555">
            <v>0</v>
          </cell>
        </row>
        <row r="4556">
          <cell r="A4556">
            <v>0</v>
          </cell>
          <cell r="B4556">
            <v>0</v>
          </cell>
        </row>
        <row r="4557">
          <cell r="A4557">
            <v>0</v>
          </cell>
          <cell r="B4557">
            <v>0</v>
          </cell>
        </row>
        <row r="4558">
          <cell r="A4558">
            <v>0</v>
          </cell>
          <cell r="B4558">
            <v>0</v>
          </cell>
        </row>
        <row r="4559">
          <cell r="A4559">
            <v>0</v>
          </cell>
          <cell r="B4559">
            <v>0</v>
          </cell>
        </row>
        <row r="4560">
          <cell r="A4560">
            <v>0</v>
          </cell>
          <cell r="B4560">
            <v>0</v>
          </cell>
        </row>
        <row r="4561">
          <cell r="A4561">
            <v>0</v>
          </cell>
          <cell r="B4561">
            <v>0</v>
          </cell>
        </row>
        <row r="4562">
          <cell r="A4562">
            <v>0</v>
          </cell>
          <cell r="B4562">
            <v>0</v>
          </cell>
        </row>
        <row r="4563">
          <cell r="A4563">
            <v>0</v>
          </cell>
          <cell r="B4563">
            <v>0</v>
          </cell>
        </row>
        <row r="4564">
          <cell r="A4564">
            <v>0</v>
          </cell>
          <cell r="B4564">
            <v>0</v>
          </cell>
        </row>
        <row r="4565">
          <cell r="A4565">
            <v>0</v>
          </cell>
          <cell r="B4565">
            <v>0</v>
          </cell>
        </row>
        <row r="4566">
          <cell r="A4566">
            <v>0</v>
          </cell>
          <cell r="B4566">
            <v>0</v>
          </cell>
        </row>
        <row r="4567">
          <cell r="A4567">
            <v>0</v>
          </cell>
          <cell r="B4567">
            <v>0</v>
          </cell>
        </row>
        <row r="4568">
          <cell r="A4568">
            <v>0</v>
          </cell>
          <cell r="B4568">
            <v>0</v>
          </cell>
        </row>
        <row r="4569">
          <cell r="A4569">
            <v>0</v>
          </cell>
          <cell r="B4569">
            <v>0</v>
          </cell>
        </row>
        <row r="4570">
          <cell r="A4570">
            <v>0</v>
          </cell>
          <cell r="B4570">
            <v>0</v>
          </cell>
        </row>
        <row r="4571">
          <cell r="A4571">
            <v>0</v>
          </cell>
          <cell r="B4571">
            <v>0</v>
          </cell>
        </row>
        <row r="4572">
          <cell r="A4572">
            <v>0</v>
          </cell>
          <cell r="B4572">
            <v>0</v>
          </cell>
        </row>
        <row r="4573">
          <cell r="A4573">
            <v>0</v>
          </cell>
          <cell r="B4573">
            <v>0</v>
          </cell>
        </row>
        <row r="4574">
          <cell r="A4574">
            <v>0</v>
          </cell>
          <cell r="B4574">
            <v>0</v>
          </cell>
        </row>
        <row r="4575">
          <cell r="A4575">
            <v>0</v>
          </cell>
          <cell r="B4575">
            <v>0</v>
          </cell>
        </row>
        <row r="4576">
          <cell r="A4576">
            <v>0</v>
          </cell>
          <cell r="B4576">
            <v>0</v>
          </cell>
        </row>
        <row r="4577">
          <cell r="A4577">
            <v>0</v>
          </cell>
          <cell r="B4577">
            <v>0</v>
          </cell>
        </row>
        <row r="4578">
          <cell r="A4578">
            <v>0</v>
          </cell>
          <cell r="B4578">
            <v>0</v>
          </cell>
        </row>
        <row r="4579">
          <cell r="A4579">
            <v>0</v>
          </cell>
          <cell r="B4579">
            <v>0</v>
          </cell>
        </row>
        <row r="4580">
          <cell r="A4580">
            <v>0</v>
          </cell>
          <cell r="B4580">
            <v>0</v>
          </cell>
        </row>
        <row r="4581">
          <cell r="A4581">
            <v>0</v>
          </cell>
          <cell r="B4581">
            <v>0</v>
          </cell>
        </row>
        <row r="4582">
          <cell r="A4582">
            <v>0</v>
          </cell>
          <cell r="B4582">
            <v>0</v>
          </cell>
        </row>
        <row r="4583">
          <cell r="A4583">
            <v>0</v>
          </cell>
          <cell r="B4583">
            <v>0</v>
          </cell>
        </row>
        <row r="4584">
          <cell r="A4584">
            <v>0</v>
          </cell>
          <cell r="B4584">
            <v>0</v>
          </cell>
        </row>
        <row r="4585">
          <cell r="A4585">
            <v>0</v>
          </cell>
          <cell r="B4585">
            <v>0</v>
          </cell>
        </row>
        <row r="4586">
          <cell r="A4586">
            <v>0</v>
          </cell>
          <cell r="B4586">
            <v>0</v>
          </cell>
        </row>
        <row r="4587">
          <cell r="A4587">
            <v>0</v>
          </cell>
          <cell r="B4587">
            <v>0</v>
          </cell>
        </row>
        <row r="4588">
          <cell r="A4588">
            <v>0</v>
          </cell>
          <cell r="B4588">
            <v>0</v>
          </cell>
        </row>
        <row r="4589">
          <cell r="A4589">
            <v>0</v>
          </cell>
          <cell r="B4589">
            <v>0</v>
          </cell>
        </row>
        <row r="4590">
          <cell r="A4590">
            <v>0</v>
          </cell>
          <cell r="B4590">
            <v>0</v>
          </cell>
        </row>
        <row r="4591">
          <cell r="A4591">
            <v>0</v>
          </cell>
          <cell r="B4591">
            <v>0</v>
          </cell>
        </row>
        <row r="4592">
          <cell r="A4592">
            <v>0</v>
          </cell>
          <cell r="B4592">
            <v>0</v>
          </cell>
        </row>
        <row r="4593">
          <cell r="A4593">
            <v>0</v>
          </cell>
          <cell r="B4593">
            <v>0</v>
          </cell>
        </row>
        <row r="4594">
          <cell r="A4594">
            <v>0</v>
          </cell>
          <cell r="B4594">
            <v>0</v>
          </cell>
        </row>
        <row r="4595">
          <cell r="A4595">
            <v>0</v>
          </cell>
          <cell r="B4595">
            <v>0</v>
          </cell>
        </row>
        <row r="4596">
          <cell r="A4596">
            <v>0</v>
          </cell>
          <cell r="B4596">
            <v>0</v>
          </cell>
        </row>
        <row r="4597">
          <cell r="A4597">
            <v>0</v>
          </cell>
          <cell r="B4597">
            <v>0</v>
          </cell>
        </row>
        <row r="4598">
          <cell r="A4598">
            <v>0</v>
          </cell>
          <cell r="B4598">
            <v>0</v>
          </cell>
        </row>
        <row r="4599">
          <cell r="A4599">
            <v>0</v>
          </cell>
          <cell r="B4599">
            <v>0</v>
          </cell>
        </row>
        <row r="4600">
          <cell r="A4600">
            <v>0</v>
          </cell>
          <cell r="B4600">
            <v>0</v>
          </cell>
        </row>
        <row r="4601">
          <cell r="A4601">
            <v>0</v>
          </cell>
          <cell r="B4601">
            <v>0</v>
          </cell>
        </row>
        <row r="4602">
          <cell r="A4602">
            <v>0</v>
          </cell>
          <cell r="B4602">
            <v>0</v>
          </cell>
        </row>
        <row r="4603">
          <cell r="A4603">
            <v>0</v>
          </cell>
          <cell r="B4603">
            <v>0</v>
          </cell>
        </row>
        <row r="4604">
          <cell r="A4604">
            <v>0</v>
          </cell>
          <cell r="B4604">
            <v>0</v>
          </cell>
        </row>
        <row r="4605">
          <cell r="A4605">
            <v>0</v>
          </cell>
          <cell r="B4605">
            <v>0</v>
          </cell>
        </row>
        <row r="4606">
          <cell r="A4606">
            <v>0</v>
          </cell>
          <cell r="B4606">
            <v>0</v>
          </cell>
        </row>
        <row r="4607">
          <cell r="A4607">
            <v>0</v>
          </cell>
          <cell r="B4607">
            <v>0</v>
          </cell>
        </row>
        <row r="4608">
          <cell r="A4608">
            <v>0</v>
          </cell>
          <cell r="B4608">
            <v>0</v>
          </cell>
        </row>
        <row r="4609">
          <cell r="A4609">
            <v>0</v>
          </cell>
          <cell r="B4609">
            <v>0</v>
          </cell>
        </row>
        <row r="4610">
          <cell r="A4610">
            <v>0</v>
          </cell>
          <cell r="B4610">
            <v>0</v>
          </cell>
        </row>
        <row r="4611">
          <cell r="A4611">
            <v>0</v>
          </cell>
          <cell r="B4611">
            <v>0</v>
          </cell>
        </row>
        <row r="4612">
          <cell r="A4612">
            <v>0</v>
          </cell>
          <cell r="B4612">
            <v>0</v>
          </cell>
        </row>
        <row r="4613">
          <cell r="A4613">
            <v>0</v>
          </cell>
          <cell r="B4613">
            <v>0</v>
          </cell>
        </row>
        <row r="4614">
          <cell r="A4614">
            <v>0</v>
          </cell>
          <cell r="B4614">
            <v>0</v>
          </cell>
        </row>
        <row r="4615">
          <cell r="A4615">
            <v>0</v>
          </cell>
          <cell r="B4615">
            <v>0</v>
          </cell>
        </row>
        <row r="4616">
          <cell r="A4616">
            <v>0</v>
          </cell>
          <cell r="B4616">
            <v>0</v>
          </cell>
        </row>
        <row r="4617">
          <cell r="A4617">
            <v>0</v>
          </cell>
          <cell r="B4617">
            <v>0</v>
          </cell>
        </row>
        <row r="4618">
          <cell r="A4618">
            <v>0</v>
          </cell>
          <cell r="B4618">
            <v>0</v>
          </cell>
        </row>
        <row r="4619">
          <cell r="A4619">
            <v>0</v>
          </cell>
          <cell r="B4619">
            <v>0</v>
          </cell>
        </row>
        <row r="4620">
          <cell r="A4620">
            <v>0</v>
          </cell>
          <cell r="B4620">
            <v>0</v>
          </cell>
        </row>
        <row r="4621">
          <cell r="A4621">
            <v>0</v>
          </cell>
          <cell r="B4621">
            <v>0</v>
          </cell>
        </row>
        <row r="4622">
          <cell r="A4622">
            <v>0</v>
          </cell>
          <cell r="B4622">
            <v>0</v>
          </cell>
        </row>
        <row r="4623">
          <cell r="A4623">
            <v>0</v>
          </cell>
          <cell r="B4623">
            <v>0</v>
          </cell>
        </row>
        <row r="4624">
          <cell r="A4624">
            <v>0</v>
          </cell>
          <cell r="B4624">
            <v>0</v>
          </cell>
        </row>
        <row r="4625">
          <cell r="A4625">
            <v>0</v>
          </cell>
          <cell r="B4625">
            <v>0</v>
          </cell>
        </row>
        <row r="4626">
          <cell r="A4626">
            <v>0</v>
          </cell>
          <cell r="B4626">
            <v>0</v>
          </cell>
        </row>
        <row r="4627">
          <cell r="A4627">
            <v>0</v>
          </cell>
          <cell r="B4627">
            <v>0</v>
          </cell>
        </row>
        <row r="4628">
          <cell r="A4628">
            <v>0</v>
          </cell>
          <cell r="B4628">
            <v>0</v>
          </cell>
        </row>
        <row r="4629">
          <cell r="A4629">
            <v>0</v>
          </cell>
          <cell r="B4629">
            <v>0</v>
          </cell>
        </row>
        <row r="4630">
          <cell r="A4630">
            <v>0</v>
          </cell>
          <cell r="B4630">
            <v>0</v>
          </cell>
        </row>
        <row r="4631">
          <cell r="A4631">
            <v>0</v>
          </cell>
          <cell r="B4631">
            <v>0</v>
          </cell>
        </row>
        <row r="4632">
          <cell r="A4632">
            <v>0</v>
          </cell>
          <cell r="B4632">
            <v>0</v>
          </cell>
        </row>
        <row r="4633">
          <cell r="A4633">
            <v>0</v>
          </cell>
          <cell r="B4633">
            <v>0</v>
          </cell>
        </row>
        <row r="4634">
          <cell r="A4634">
            <v>0</v>
          </cell>
          <cell r="B4634">
            <v>0</v>
          </cell>
        </row>
        <row r="4635">
          <cell r="A4635">
            <v>0</v>
          </cell>
          <cell r="B4635">
            <v>0</v>
          </cell>
        </row>
        <row r="4636">
          <cell r="A4636">
            <v>0</v>
          </cell>
          <cell r="B4636">
            <v>0</v>
          </cell>
        </row>
        <row r="4637">
          <cell r="A4637">
            <v>0</v>
          </cell>
          <cell r="B4637">
            <v>0</v>
          </cell>
        </row>
        <row r="4638">
          <cell r="A4638">
            <v>0</v>
          </cell>
          <cell r="B4638">
            <v>0</v>
          </cell>
        </row>
        <row r="4639">
          <cell r="A4639">
            <v>0</v>
          </cell>
          <cell r="B4639">
            <v>0</v>
          </cell>
        </row>
        <row r="4640">
          <cell r="A4640">
            <v>0</v>
          </cell>
          <cell r="B4640">
            <v>0</v>
          </cell>
        </row>
        <row r="4641">
          <cell r="A4641">
            <v>0</v>
          </cell>
          <cell r="B4641">
            <v>0</v>
          </cell>
        </row>
        <row r="4642">
          <cell r="A4642">
            <v>0</v>
          </cell>
          <cell r="B4642">
            <v>0</v>
          </cell>
        </row>
        <row r="4643">
          <cell r="A4643">
            <v>0</v>
          </cell>
          <cell r="B4643">
            <v>0</v>
          </cell>
        </row>
        <row r="4644">
          <cell r="A4644">
            <v>0</v>
          </cell>
          <cell r="B4644">
            <v>0</v>
          </cell>
        </row>
        <row r="4645">
          <cell r="A4645">
            <v>0</v>
          </cell>
          <cell r="B4645">
            <v>0</v>
          </cell>
        </row>
        <row r="4646">
          <cell r="A4646">
            <v>0</v>
          </cell>
          <cell r="B4646">
            <v>0</v>
          </cell>
        </row>
        <row r="4647">
          <cell r="A4647">
            <v>0</v>
          </cell>
          <cell r="B4647">
            <v>0</v>
          </cell>
        </row>
        <row r="4648">
          <cell r="A4648">
            <v>0</v>
          </cell>
          <cell r="B4648">
            <v>0</v>
          </cell>
        </row>
        <row r="4649">
          <cell r="A4649">
            <v>0</v>
          </cell>
          <cell r="B4649">
            <v>0</v>
          </cell>
        </row>
        <row r="4650">
          <cell r="A4650">
            <v>0</v>
          </cell>
          <cell r="B4650">
            <v>0</v>
          </cell>
        </row>
        <row r="4651">
          <cell r="A4651">
            <v>0</v>
          </cell>
          <cell r="B4651">
            <v>0</v>
          </cell>
        </row>
        <row r="4652">
          <cell r="A4652">
            <v>0</v>
          </cell>
          <cell r="B4652">
            <v>0</v>
          </cell>
        </row>
        <row r="4653">
          <cell r="A4653">
            <v>0</v>
          </cell>
          <cell r="B4653">
            <v>0</v>
          </cell>
        </row>
        <row r="4654">
          <cell r="A4654">
            <v>0</v>
          </cell>
          <cell r="B4654">
            <v>0</v>
          </cell>
        </row>
        <row r="4655">
          <cell r="A4655">
            <v>0</v>
          </cell>
          <cell r="B4655">
            <v>0</v>
          </cell>
        </row>
        <row r="4656">
          <cell r="A4656">
            <v>0</v>
          </cell>
          <cell r="B4656">
            <v>0</v>
          </cell>
        </row>
        <row r="4657">
          <cell r="A4657">
            <v>0</v>
          </cell>
          <cell r="B4657">
            <v>0</v>
          </cell>
        </row>
        <row r="4658">
          <cell r="A4658">
            <v>0</v>
          </cell>
          <cell r="B4658">
            <v>0</v>
          </cell>
        </row>
        <row r="4659">
          <cell r="A4659">
            <v>0</v>
          </cell>
          <cell r="B4659">
            <v>0</v>
          </cell>
        </row>
        <row r="4660">
          <cell r="A4660">
            <v>0</v>
          </cell>
          <cell r="B4660">
            <v>0</v>
          </cell>
        </row>
        <row r="4661">
          <cell r="A4661">
            <v>0</v>
          </cell>
          <cell r="B4661">
            <v>0</v>
          </cell>
        </row>
        <row r="4662">
          <cell r="A4662">
            <v>0</v>
          </cell>
          <cell r="B4662">
            <v>0</v>
          </cell>
        </row>
        <row r="4663">
          <cell r="A4663">
            <v>0</v>
          </cell>
          <cell r="B4663">
            <v>0</v>
          </cell>
        </row>
        <row r="4664">
          <cell r="A4664">
            <v>0</v>
          </cell>
          <cell r="B4664">
            <v>0</v>
          </cell>
        </row>
        <row r="4665">
          <cell r="A4665">
            <v>0</v>
          </cell>
          <cell r="B4665">
            <v>0</v>
          </cell>
        </row>
        <row r="4666">
          <cell r="A4666">
            <v>0</v>
          </cell>
          <cell r="B4666">
            <v>0</v>
          </cell>
        </row>
        <row r="4667">
          <cell r="A4667">
            <v>0</v>
          </cell>
          <cell r="B4667">
            <v>0</v>
          </cell>
        </row>
        <row r="4668">
          <cell r="A4668">
            <v>0</v>
          </cell>
          <cell r="B4668">
            <v>0</v>
          </cell>
        </row>
        <row r="4669">
          <cell r="A4669">
            <v>0</v>
          </cell>
          <cell r="B4669">
            <v>0</v>
          </cell>
        </row>
        <row r="4670">
          <cell r="A4670">
            <v>0</v>
          </cell>
          <cell r="B4670">
            <v>0</v>
          </cell>
        </row>
        <row r="4671">
          <cell r="A4671">
            <v>0</v>
          </cell>
          <cell r="B4671">
            <v>0</v>
          </cell>
        </row>
        <row r="4672">
          <cell r="A4672">
            <v>0</v>
          </cell>
          <cell r="B4672">
            <v>0</v>
          </cell>
        </row>
        <row r="4673">
          <cell r="A4673">
            <v>0</v>
          </cell>
          <cell r="B4673">
            <v>0</v>
          </cell>
        </row>
        <row r="4674">
          <cell r="A4674">
            <v>0</v>
          </cell>
          <cell r="B4674">
            <v>0</v>
          </cell>
        </row>
        <row r="4675">
          <cell r="A4675">
            <v>0</v>
          </cell>
          <cell r="B4675">
            <v>0</v>
          </cell>
        </row>
        <row r="4676">
          <cell r="A4676">
            <v>0</v>
          </cell>
          <cell r="B4676">
            <v>0</v>
          </cell>
        </row>
        <row r="4677">
          <cell r="A4677">
            <v>0</v>
          </cell>
          <cell r="B4677">
            <v>0</v>
          </cell>
        </row>
        <row r="4678">
          <cell r="A4678">
            <v>0</v>
          </cell>
          <cell r="B4678">
            <v>0</v>
          </cell>
        </row>
        <row r="4679">
          <cell r="A4679">
            <v>0</v>
          </cell>
          <cell r="B4679">
            <v>0</v>
          </cell>
        </row>
        <row r="4680">
          <cell r="A4680">
            <v>0</v>
          </cell>
          <cell r="B4680">
            <v>0</v>
          </cell>
        </row>
        <row r="4681">
          <cell r="A4681">
            <v>0</v>
          </cell>
          <cell r="B4681">
            <v>0</v>
          </cell>
        </row>
        <row r="4682">
          <cell r="A4682">
            <v>0</v>
          </cell>
          <cell r="B4682">
            <v>0</v>
          </cell>
        </row>
        <row r="4683">
          <cell r="A4683">
            <v>0</v>
          </cell>
          <cell r="B4683">
            <v>0</v>
          </cell>
        </row>
        <row r="4684">
          <cell r="A4684">
            <v>0</v>
          </cell>
          <cell r="B4684">
            <v>0</v>
          </cell>
        </row>
        <row r="4685">
          <cell r="A4685">
            <v>0</v>
          </cell>
          <cell r="B4685">
            <v>0</v>
          </cell>
        </row>
        <row r="4686">
          <cell r="A4686">
            <v>0</v>
          </cell>
          <cell r="B4686">
            <v>0</v>
          </cell>
        </row>
        <row r="4687">
          <cell r="A4687">
            <v>0</v>
          </cell>
          <cell r="B4687">
            <v>0</v>
          </cell>
        </row>
        <row r="4688">
          <cell r="A4688">
            <v>0</v>
          </cell>
          <cell r="B4688">
            <v>0</v>
          </cell>
        </row>
        <row r="4689">
          <cell r="A4689">
            <v>0</v>
          </cell>
          <cell r="B4689">
            <v>0</v>
          </cell>
        </row>
        <row r="4690">
          <cell r="A4690">
            <v>0</v>
          </cell>
          <cell r="B4690">
            <v>0</v>
          </cell>
        </row>
        <row r="4691">
          <cell r="A4691">
            <v>0</v>
          </cell>
          <cell r="B4691">
            <v>0</v>
          </cell>
        </row>
        <row r="4692">
          <cell r="A4692">
            <v>0</v>
          </cell>
          <cell r="B4692">
            <v>0</v>
          </cell>
        </row>
        <row r="4693">
          <cell r="A4693">
            <v>0</v>
          </cell>
          <cell r="B4693">
            <v>0</v>
          </cell>
        </row>
        <row r="4694">
          <cell r="A4694">
            <v>0</v>
          </cell>
          <cell r="B4694">
            <v>0</v>
          </cell>
        </row>
        <row r="4695">
          <cell r="A4695">
            <v>0</v>
          </cell>
          <cell r="B4695">
            <v>0</v>
          </cell>
        </row>
        <row r="4696">
          <cell r="A4696">
            <v>0</v>
          </cell>
          <cell r="B4696">
            <v>0</v>
          </cell>
        </row>
        <row r="4697">
          <cell r="A4697">
            <v>0</v>
          </cell>
          <cell r="B4697">
            <v>0</v>
          </cell>
        </row>
        <row r="4698">
          <cell r="A4698">
            <v>0</v>
          </cell>
          <cell r="B4698">
            <v>0</v>
          </cell>
        </row>
        <row r="4699">
          <cell r="A4699">
            <v>0</v>
          </cell>
          <cell r="B4699">
            <v>0</v>
          </cell>
        </row>
        <row r="4700">
          <cell r="A4700">
            <v>0</v>
          </cell>
          <cell r="B4700">
            <v>0</v>
          </cell>
        </row>
        <row r="4701">
          <cell r="A4701">
            <v>0</v>
          </cell>
          <cell r="B4701">
            <v>0</v>
          </cell>
        </row>
        <row r="4702">
          <cell r="A4702">
            <v>0</v>
          </cell>
          <cell r="B4702">
            <v>0</v>
          </cell>
        </row>
        <row r="4703">
          <cell r="A4703">
            <v>0</v>
          </cell>
          <cell r="B4703">
            <v>0</v>
          </cell>
        </row>
        <row r="4704">
          <cell r="A4704">
            <v>0</v>
          </cell>
          <cell r="B4704">
            <v>0</v>
          </cell>
        </row>
        <row r="4705">
          <cell r="A4705">
            <v>0</v>
          </cell>
          <cell r="B4705">
            <v>0</v>
          </cell>
        </row>
        <row r="4706">
          <cell r="A4706">
            <v>0</v>
          </cell>
          <cell r="B4706">
            <v>0</v>
          </cell>
        </row>
        <row r="4707">
          <cell r="A4707">
            <v>0</v>
          </cell>
          <cell r="B4707">
            <v>0</v>
          </cell>
        </row>
        <row r="4708">
          <cell r="A4708">
            <v>0</v>
          </cell>
          <cell r="B4708">
            <v>0</v>
          </cell>
        </row>
        <row r="4709">
          <cell r="A4709">
            <v>0</v>
          </cell>
          <cell r="B4709">
            <v>0</v>
          </cell>
        </row>
        <row r="4710">
          <cell r="A4710">
            <v>0</v>
          </cell>
          <cell r="B4710">
            <v>0</v>
          </cell>
        </row>
        <row r="4711">
          <cell r="A4711">
            <v>0</v>
          </cell>
          <cell r="B4711">
            <v>0</v>
          </cell>
        </row>
        <row r="4712">
          <cell r="A4712">
            <v>0</v>
          </cell>
          <cell r="B4712">
            <v>0</v>
          </cell>
        </row>
        <row r="4713">
          <cell r="A4713">
            <v>0</v>
          </cell>
          <cell r="B4713">
            <v>0</v>
          </cell>
        </row>
        <row r="4714">
          <cell r="A4714">
            <v>0</v>
          </cell>
          <cell r="B4714">
            <v>0</v>
          </cell>
        </row>
        <row r="4715">
          <cell r="A4715">
            <v>0</v>
          </cell>
          <cell r="B4715">
            <v>0</v>
          </cell>
        </row>
        <row r="4716">
          <cell r="A4716">
            <v>0</v>
          </cell>
          <cell r="B4716">
            <v>0</v>
          </cell>
        </row>
        <row r="4717">
          <cell r="A4717">
            <v>0</v>
          </cell>
          <cell r="B4717">
            <v>0</v>
          </cell>
        </row>
        <row r="4718">
          <cell r="A4718">
            <v>0</v>
          </cell>
          <cell r="B4718">
            <v>0</v>
          </cell>
        </row>
        <row r="4719">
          <cell r="A4719">
            <v>0</v>
          </cell>
          <cell r="B4719">
            <v>0</v>
          </cell>
        </row>
        <row r="4720">
          <cell r="A4720">
            <v>0</v>
          </cell>
          <cell r="B4720">
            <v>0</v>
          </cell>
        </row>
        <row r="4721">
          <cell r="A4721">
            <v>0</v>
          </cell>
          <cell r="B4721">
            <v>0</v>
          </cell>
        </row>
        <row r="4722">
          <cell r="A4722">
            <v>0</v>
          </cell>
          <cell r="B4722">
            <v>0</v>
          </cell>
        </row>
        <row r="4723">
          <cell r="A4723">
            <v>0</v>
          </cell>
          <cell r="B4723">
            <v>0</v>
          </cell>
        </row>
        <row r="4724">
          <cell r="A4724">
            <v>0</v>
          </cell>
          <cell r="B4724">
            <v>0</v>
          </cell>
        </row>
        <row r="4725">
          <cell r="A4725">
            <v>0</v>
          </cell>
          <cell r="B4725">
            <v>0</v>
          </cell>
        </row>
        <row r="4726">
          <cell r="A4726">
            <v>0</v>
          </cell>
          <cell r="B4726">
            <v>0</v>
          </cell>
        </row>
        <row r="4727">
          <cell r="A4727">
            <v>0</v>
          </cell>
          <cell r="B4727">
            <v>0</v>
          </cell>
        </row>
        <row r="4728">
          <cell r="A4728">
            <v>0</v>
          </cell>
          <cell r="B4728">
            <v>0</v>
          </cell>
        </row>
        <row r="4729">
          <cell r="A4729">
            <v>0</v>
          </cell>
          <cell r="B4729">
            <v>0</v>
          </cell>
        </row>
        <row r="4730">
          <cell r="A4730">
            <v>0</v>
          </cell>
          <cell r="B4730">
            <v>0</v>
          </cell>
        </row>
        <row r="4731">
          <cell r="A4731">
            <v>0</v>
          </cell>
          <cell r="B4731">
            <v>0</v>
          </cell>
        </row>
        <row r="4732">
          <cell r="A4732">
            <v>0</v>
          </cell>
          <cell r="B4732">
            <v>0</v>
          </cell>
        </row>
        <row r="4733">
          <cell r="A4733">
            <v>0</v>
          </cell>
          <cell r="B4733">
            <v>0</v>
          </cell>
        </row>
        <row r="4734">
          <cell r="A4734">
            <v>0</v>
          </cell>
          <cell r="B4734">
            <v>0</v>
          </cell>
        </row>
        <row r="4735">
          <cell r="A4735">
            <v>0</v>
          </cell>
          <cell r="B4735">
            <v>0</v>
          </cell>
        </row>
        <row r="4736">
          <cell r="A4736">
            <v>0</v>
          </cell>
          <cell r="B4736">
            <v>0</v>
          </cell>
        </row>
        <row r="4737">
          <cell r="A4737">
            <v>0</v>
          </cell>
          <cell r="B4737">
            <v>0</v>
          </cell>
        </row>
        <row r="4738">
          <cell r="A4738">
            <v>0</v>
          </cell>
          <cell r="B4738">
            <v>0</v>
          </cell>
        </row>
        <row r="4739">
          <cell r="A4739">
            <v>0</v>
          </cell>
          <cell r="B4739">
            <v>0</v>
          </cell>
        </row>
        <row r="4740">
          <cell r="A4740">
            <v>0</v>
          </cell>
          <cell r="B4740">
            <v>0</v>
          </cell>
        </row>
        <row r="4741">
          <cell r="A4741">
            <v>0</v>
          </cell>
          <cell r="B4741">
            <v>0</v>
          </cell>
        </row>
        <row r="4742">
          <cell r="A4742">
            <v>0</v>
          </cell>
          <cell r="B4742">
            <v>0</v>
          </cell>
        </row>
        <row r="4743">
          <cell r="A4743">
            <v>0</v>
          </cell>
          <cell r="B4743">
            <v>0</v>
          </cell>
        </row>
        <row r="4744">
          <cell r="A4744">
            <v>0</v>
          </cell>
          <cell r="B4744">
            <v>0</v>
          </cell>
        </row>
        <row r="4745">
          <cell r="A4745">
            <v>0</v>
          </cell>
          <cell r="B4745">
            <v>0</v>
          </cell>
        </row>
        <row r="4746">
          <cell r="A4746">
            <v>0</v>
          </cell>
          <cell r="B4746">
            <v>0</v>
          </cell>
        </row>
        <row r="4747">
          <cell r="A4747">
            <v>0</v>
          </cell>
          <cell r="B4747">
            <v>0</v>
          </cell>
        </row>
        <row r="4748">
          <cell r="A4748">
            <v>0</v>
          </cell>
          <cell r="B4748">
            <v>0</v>
          </cell>
        </row>
        <row r="4749">
          <cell r="A4749">
            <v>0</v>
          </cell>
          <cell r="B4749">
            <v>0</v>
          </cell>
        </row>
        <row r="4750">
          <cell r="A4750">
            <v>0</v>
          </cell>
          <cell r="B4750">
            <v>0</v>
          </cell>
        </row>
        <row r="4751">
          <cell r="A4751">
            <v>0</v>
          </cell>
          <cell r="B4751">
            <v>0</v>
          </cell>
        </row>
        <row r="4752">
          <cell r="A4752">
            <v>0</v>
          </cell>
          <cell r="B4752">
            <v>0</v>
          </cell>
        </row>
        <row r="4753">
          <cell r="A4753">
            <v>0</v>
          </cell>
          <cell r="B4753">
            <v>0</v>
          </cell>
        </row>
        <row r="4754">
          <cell r="A4754">
            <v>0</v>
          </cell>
          <cell r="B4754">
            <v>0</v>
          </cell>
        </row>
        <row r="4755">
          <cell r="A4755">
            <v>0</v>
          </cell>
          <cell r="B4755">
            <v>0</v>
          </cell>
        </row>
        <row r="4756">
          <cell r="A4756">
            <v>0</v>
          </cell>
          <cell r="B4756">
            <v>0</v>
          </cell>
        </row>
        <row r="4757">
          <cell r="A4757">
            <v>0</v>
          </cell>
          <cell r="B4757">
            <v>0</v>
          </cell>
        </row>
        <row r="4758">
          <cell r="A4758">
            <v>0</v>
          </cell>
          <cell r="B4758">
            <v>0</v>
          </cell>
        </row>
        <row r="4759">
          <cell r="A4759">
            <v>0</v>
          </cell>
          <cell r="B4759">
            <v>0</v>
          </cell>
        </row>
        <row r="4760">
          <cell r="A4760">
            <v>0</v>
          </cell>
          <cell r="B4760">
            <v>0</v>
          </cell>
        </row>
        <row r="4761">
          <cell r="A4761">
            <v>0</v>
          </cell>
          <cell r="B4761">
            <v>0</v>
          </cell>
        </row>
        <row r="4762">
          <cell r="A4762">
            <v>0</v>
          </cell>
          <cell r="B4762">
            <v>0</v>
          </cell>
        </row>
        <row r="4763">
          <cell r="A4763">
            <v>0</v>
          </cell>
          <cell r="B4763">
            <v>0</v>
          </cell>
        </row>
        <row r="4764">
          <cell r="A4764">
            <v>0</v>
          </cell>
          <cell r="B4764">
            <v>0</v>
          </cell>
        </row>
        <row r="4765">
          <cell r="A4765">
            <v>0</v>
          </cell>
          <cell r="B4765">
            <v>0</v>
          </cell>
        </row>
        <row r="4766">
          <cell r="A4766">
            <v>0</v>
          </cell>
          <cell r="B4766">
            <v>0</v>
          </cell>
        </row>
        <row r="4767">
          <cell r="A4767">
            <v>0</v>
          </cell>
          <cell r="B4767">
            <v>0</v>
          </cell>
        </row>
        <row r="4768">
          <cell r="A4768">
            <v>0</v>
          </cell>
          <cell r="B4768">
            <v>0</v>
          </cell>
        </row>
        <row r="4769">
          <cell r="A4769">
            <v>0</v>
          </cell>
          <cell r="B4769">
            <v>0</v>
          </cell>
        </row>
        <row r="4770">
          <cell r="A4770">
            <v>0</v>
          </cell>
          <cell r="B4770">
            <v>0</v>
          </cell>
        </row>
        <row r="4771">
          <cell r="A4771">
            <v>0</v>
          </cell>
          <cell r="B4771">
            <v>0</v>
          </cell>
        </row>
        <row r="4772">
          <cell r="A4772">
            <v>0</v>
          </cell>
          <cell r="B4772">
            <v>0</v>
          </cell>
        </row>
        <row r="4773">
          <cell r="A4773">
            <v>0</v>
          </cell>
          <cell r="B4773">
            <v>0</v>
          </cell>
        </row>
        <row r="4774">
          <cell r="A4774">
            <v>0</v>
          </cell>
          <cell r="B4774">
            <v>0</v>
          </cell>
        </row>
        <row r="4775">
          <cell r="A4775">
            <v>0</v>
          </cell>
          <cell r="B4775">
            <v>0</v>
          </cell>
        </row>
        <row r="4776">
          <cell r="A4776">
            <v>0</v>
          </cell>
          <cell r="B4776">
            <v>0</v>
          </cell>
        </row>
        <row r="4777">
          <cell r="A4777">
            <v>0</v>
          </cell>
          <cell r="B4777">
            <v>0</v>
          </cell>
        </row>
        <row r="4778">
          <cell r="A4778">
            <v>0</v>
          </cell>
          <cell r="B4778">
            <v>0</v>
          </cell>
        </row>
        <row r="4779">
          <cell r="A4779">
            <v>0</v>
          </cell>
          <cell r="B4779">
            <v>0</v>
          </cell>
        </row>
        <row r="4780">
          <cell r="A4780">
            <v>0</v>
          </cell>
          <cell r="B4780">
            <v>0</v>
          </cell>
        </row>
        <row r="4781">
          <cell r="A4781">
            <v>0</v>
          </cell>
          <cell r="B4781">
            <v>0</v>
          </cell>
        </row>
        <row r="4782">
          <cell r="A4782">
            <v>0</v>
          </cell>
          <cell r="B4782">
            <v>0</v>
          </cell>
        </row>
        <row r="4783">
          <cell r="A4783">
            <v>0</v>
          </cell>
          <cell r="B4783">
            <v>0</v>
          </cell>
        </row>
        <row r="4784">
          <cell r="A4784">
            <v>0</v>
          </cell>
          <cell r="B4784">
            <v>0</v>
          </cell>
        </row>
        <row r="4785">
          <cell r="A4785">
            <v>0</v>
          </cell>
          <cell r="B4785">
            <v>0</v>
          </cell>
        </row>
        <row r="4786">
          <cell r="A4786">
            <v>0</v>
          </cell>
          <cell r="B4786">
            <v>0</v>
          </cell>
        </row>
        <row r="4787">
          <cell r="A4787">
            <v>0</v>
          </cell>
          <cell r="B4787">
            <v>0</v>
          </cell>
        </row>
        <row r="4788">
          <cell r="A4788">
            <v>0</v>
          </cell>
          <cell r="B4788">
            <v>0</v>
          </cell>
        </row>
        <row r="4789">
          <cell r="A4789">
            <v>0</v>
          </cell>
          <cell r="B4789">
            <v>0</v>
          </cell>
        </row>
        <row r="4790">
          <cell r="A4790">
            <v>0</v>
          </cell>
          <cell r="B4790">
            <v>0</v>
          </cell>
        </row>
        <row r="4791">
          <cell r="A4791">
            <v>0</v>
          </cell>
          <cell r="B4791">
            <v>0</v>
          </cell>
        </row>
        <row r="4792">
          <cell r="A4792">
            <v>0</v>
          </cell>
          <cell r="B4792">
            <v>0</v>
          </cell>
        </row>
        <row r="4793">
          <cell r="A4793">
            <v>0</v>
          </cell>
          <cell r="B4793">
            <v>0</v>
          </cell>
        </row>
        <row r="4794">
          <cell r="A4794">
            <v>0</v>
          </cell>
          <cell r="B4794">
            <v>0</v>
          </cell>
        </row>
        <row r="4795">
          <cell r="A4795">
            <v>0</v>
          </cell>
          <cell r="B4795">
            <v>0</v>
          </cell>
        </row>
        <row r="4796">
          <cell r="A4796">
            <v>0</v>
          </cell>
          <cell r="B4796">
            <v>0</v>
          </cell>
        </row>
        <row r="4797">
          <cell r="A4797">
            <v>0</v>
          </cell>
          <cell r="B4797">
            <v>0</v>
          </cell>
        </row>
        <row r="4798">
          <cell r="A4798">
            <v>0</v>
          </cell>
          <cell r="B4798">
            <v>0</v>
          </cell>
        </row>
        <row r="4799">
          <cell r="A4799">
            <v>0</v>
          </cell>
          <cell r="B4799">
            <v>0</v>
          </cell>
        </row>
        <row r="4800">
          <cell r="A4800">
            <v>0</v>
          </cell>
          <cell r="B4800">
            <v>0</v>
          </cell>
        </row>
        <row r="4801">
          <cell r="A4801">
            <v>0</v>
          </cell>
          <cell r="B4801">
            <v>0</v>
          </cell>
        </row>
        <row r="4802">
          <cell r="A4802">
            <v>0</v>
          </cell>
          <cell r="B4802">
            <v>0</v>
          </cell>
        </row>
        <row r="4803">
          <cell r="A4803">
            <v>0</v>
          </cell>
          <cell r="B4803">
            <v>0</v>
          </cell>
        </row>
        <row r="4804">
          <cell r="A4804">
            <v>0</v>
          </cell>
          <cell r="B4804">
            <v>0</v>
          </cell>
        </row>
        <row r="4805">
          <cell r="A4805">
            <v>0</v>
          </cell>
          <cell r="B4805">
            <v>0</v>
          </cell>
        </row>
        <row r="4806">
          <cell r="A4806">
            <v>0</v>
          </cell>
          <cell r="B4806">
            <v>0</v>
          </cell>
        </row>
        <row r="4807">
          <cell r="A4807">
            <v>0</v>
          </cell>
          <cell r="B4807">
            <v>0</v>
          </cell>
        </row>
        <row r="4808">
          <cell r="A4808">
            <v>0</v>
          </cell>
          <cell r="B4808">
            <v>0</v>
          </cell>
        </row>
        <row r="4809">
          <cell r="A4809">
            <v>0</v>
          </cell>
          <cell r="B4809">
            <v>0</v>
          </cell>
        </row>
        <row r="4810">
          <cell r="A4810">
            <v>0</v>
          </cell>
          <cell r="B4810">
            <v>0</v>
          </cell>
        </row>
        <row r="4811">
          <cell r="A4811">
            <v>0</v>
          </cell>
          <cell r="B4811">
            <v>0</v>
          </cell>
        </row>
        <row r="4812">
          <cell r="A4812">
            <v>0</v>
          </cell>
          <cell r="B4812">
            <v>0</v>
          </cell>
        </row>
        <row r="4813">
          <cell r="A4813">
            <v>0</v>
          </cell>
          <cell r="B4813">
            <v>0</v>
          </cell>
        </row>
        <row r="4814">
          <cell r="A4814">
            <v>0</v>
          </cell>
          <cell r="B4814">
            <v>0</v>
          </cell>
        </row>
        <row r="4815">
          <cell r="A4815">
            <v>0</v>
          </cell>
          <cell r="B4815">
            <v>0</v>
          </cell>
        </row>
        <row r="4816">
          <cell r="A4816">
            <v>0</v>
          </cell>
          <cell r="B4816">
            <v>0</v>
          </cell>
        </row>
        <row r="4817">
          <cell r="A4817">
            <v>0</v>
          </cell>
          <cell r="B4817">
            <v>0</v>
          </cell>
        </row>
        <row r="4818">
          <cell r="A4818">
            <v>0</v>
          </cell>
          <cell r="B4818">
            <v>0</v>
          </cell>
        </row>
        <row r="4819">
          <cell r="A4819">
            <v>0</v>
          </cell>
          <cell r="B4819">
            <v>0</v>
          </cell>
        </row>
        <row r="4820">
          <cell r="A4820">
            <v>0</v>
          </cell>
          <cell r="B4820">
            <v>0</v>
          </cell>
        </row>
        <row r="4821">
          <cell r="A4821">
            <v>0</v>
          </cell>
          <cell r="B4821">
            <v>0</v>
          </cell>
        </row>
        <row r="4822">
          <cell r="A4822">
            <v>0</v>
          </cell>
          <cell r="B4822">
            <v>0</v>
          </cell>
        </row>
        <row r="4823">
          <cell r="A4823">
            <v>0</v>
          </cell>
          <cell r="B4823">
            <v>0</v>
          </cell>
        </row>
        <row r="4824">
          <cell r="A4824">
            <v>0</v>
          </cell>
          <cell r="B4824">
            <v>0</v>
          </cell>
        </row>
        <row r="4825">
          <cell r="A4825">
            <v>0</v>
          </cell>
          <cell r="B4825">
            <v>0</v>
          </cell>
        </row>
        <row r="4826">
          <cell r="A4826">
            <v>0</v>
          </cell>
          <cell r="B4826">
            <v>0</v>
          </cell>
        </row>
        <row r="4827">
          <cell r="A4827">
            <v>0</v>
          </cell>
          <cell r="B4827">
            <v>0</v>
          </cell>
        </row>
        <row r="4828">
          <cell r="A4828">
            <v>0</v>
          </cell>
          <cell r="B4828">
            <v>0</v>
          </cell>
        </row>
        <row r="4829">
          <cell r="A4829">
            <v>0</v>
          </cell>
          <cell r="B4829">
            <v>0</v>
          </cell>
        </row>
        <row r="4830">
          <cell r="A4830">
            <v>0</v>
          </cell>
          <cell r="B4830">
            <v>0</v>
          </cell>
        </row>
        <row r="4831">
          <cell r="A4831">
            <v>0</v>
          </cell>
          <cell r="B4831">
            <v>0</v>
          </cell>
        </row>
        <row r="4832">
          <cell r="A4832">
            <v>0</v>
          </cell>
          <cell r="B4832">
            <v>0</v>
          </cell>
        </row>
        <row r="4833">
          <cell r="A4833">
            <v>0</v>
          </cell>
          <cell r="B4833">
            <v>0</v>
          </cell>
        </row>
        <row r="4834">
          <cell r="A4834">
            <v>0</v>
          </cell>
          <cell r="B4834">
            <v>0</v>
          </cell>
        </row>
        <row r="4835">
          <cell r="A4835">
            <v>0</v>
          </cell>
          <cell r="B4835">
            <v>0</v>
          </cell>
        </row>
        <row r="4836">
          <cell r="A4836">
            <v>0</v>
          </cell>
          <cell r="B4836">
            <v>0</v>
          </cell>
        </row>
        <row r="4837">
          <cell r="A4837">
            <v>0</v>
          </cell>
          <cell r="B4837">
            <v>0</v>
          </cell>
        </row>
        <row r="4838">
          <cell r="A4838">
            <v>0</v>
          </cell>
          <cell r="B4838">
            <v>0</v>
          </cell>
        </row>
        <row r="4839">
          <cell r="A4839">
            <v>0</v>
          </cell>
          <cell r="B4839">
            <v>0</v>
          </cell>
        </row>
        <row r="4840">
          <cell r="A4840">
            <v>0</v>
          </cell>
          <cell r="B4840">
            <v>0</v>
          </cell>
        </row>
        <row r="4841">
          <cell r="A4841">
            <v>0</v>
          </cell>
          <cell r="B4841">
            <v>0</v>
          </cell>
        </row>
        <row r="4842">
          <cell r="A4842">
            <v>0</v>
          </cell>
          <cell r="B4842">
            <v>0</v>
          </cell>
        </row>
        <row r="4843">
          <cell r="A4843">
            <v>0</v>
          </cell>
          <cell r="B4843">
            <v>0</v>
          </cell>
        </row>
        <row r="4844">
          <cell r="A4844">
            <v>0</v>
          </cell>
          <cell r="B4844">
            <v>0</v>
          </cell>
        </row>
        <row r="4845">
          <cell r="A4845">
            <v>0</v>
          </cell>
          <cell r="B4845">
            <v>0</v>
          </cell>
        </row>
        <row r="4846">
          <cell r="A4846">
            <v>0</v>
          </cell>
          <cell r="B4846">
            <v>0</v>
          </cell>
        </row>
        <row r="4847">
          <cell r="A4847">
            <v>0</v>
          </cell>
          <cell r="B4847">
            <v>0</v>
          </cell>
        </row>
        <row r="4848">
          <cell r="A4848">
            <v>0</v>
          </cell>
          <cell r="B4848">
            <v>0</v>
          </cell>
        </row>
        <row r="4849">
          <cell r="A4849">
            <v>0</v>
          </cell>
          <cell r="B4849">
            <v>0</v>
          </cell>
        </row>
        <row r="4850">
          <cell r="A4850">
            <v>0</v>
          </cell>
          <cell r="B4850">
            <v>0</v>
          </cell>
        </row>
        <row r="4851">
          <cell r="A4851">
            <v>0</v>
          </cell>
          <cell r="B4851">
            <v>0</v>
          </cell>
        </row>
        <row r="4852">
          <cell r="A4852">
            <v>0</v>
          </cell>
          <cell r="B4852">
            <v>0</v>
          </cell>
        </row>
        <row r="4853">
          <cell r="A4853">
            <v>0</v>
          </cell>
          <cell r="B4853">
            <v>0</v>
          </cell>
        </row>
        <row r="4854">
          <cell r="A4854">
            <v>0</v>
          </cell>
          <cell r="B4854">
            <v>0</v>
          </cell>
        </row>
        <row r="4855">
          <cell r="A4855">
            <v>0</v>
          </cell>
          <cell r="B4855">
            <v>0</v>
          </cell>
        </row>
        <row r="4856">
          <cell r="A4856">
            <v>0</v>
          </cell>
          <cell r="B4856">
            <v>0</v>
          </cell>
        </row>
        <row r="4857">
          <cell r="A4857">
            <v>0</v>
          </cell>
          <cell r="B4857">
            <v>0</v>
          </cell>
        </row>
        <row r="4858">
          <cell r="A4858">
            <v>0</v>
          </cell>
          <cell r="B4858">
            <v>0</v>
          </cell>
        </row>
        <row r="4859">
          <cell r="A4859">
            <v>0</v>
          </cell>
          <cell r="B4859">
            <v>0</v>
          </cell>
        </row>
        <row r="4860">
          <cell r="A4860">
            <v>0</v>
          </cell>
          <cell r="B4860">
            <v>0</v>
          </cell>
        </row>
        <row r="4861">
          <cell r="A4861">
            <v>0</v>
          </cell>
          <cell r="B4861">
            <v>0</v>
          </cell>
        </row>
        <row r="4862">
          <cell r="A4862">
            <v>0</v>
          </cell>
          <cell r="B4862">
            <v>0</v>
          </cell>
        </row>
        <row r="4863">
          <cell r="A4863">
            <v>0</v>
          </cell>
          <cell r="B4863">
            <v>0</v>
          </cell>
        </row>
        <row r="4864">
          <cell r="A4864">
            <v>0</v>
          </cell>
          <cell r="B4864">
            <v>0</v>
          </cell>
        </row>
        <row r="4865">
          <cell r="A4865">
            <v>0</v>
          </cell>
          <cell r="B4865">
            <v>0</v>
          </cell>
        </row>
        <row r="4866">
          <cell r="A4866">
            <v>0</v>
          </cell>
          <cell r="B4866">
            <v>0</v>
          </cell>
        </row>
        <row r="4867">
          <cell r="A4867">
            <v>0</v>
          </cell>
          <cell r="B4867">
            <v>0</v>
          </cell>
        </row>
        <row r="4868">
          <cell r="A4868">
            <v>0</v>
          </cell>
          <cell r="B4868">
            <v>0</v>
          </cell>
        </row>
        <row r="4869">
          <cell r="A4869">
            <v>0</v>
          </cell>
          <cell r="B4869">
            <v>0</v>
          </cell>
        </row>
        <row r="4870">
          <cell r="A4870">
            <v>0</v>
          </cell>
          <cell r="B4870">
            <v>0</v>
          </cell>
        </row>
        <row r="4871">
          <cell r="A4871">
            <v>0</v>
          </cell>
          <cell r="B4871">
            <v>0</v>
          </cell>
        </row>
        <row r="4872">
          <cell r="A4872">
            <v>0</v>
          </cell>
          <cell r="B4872">
            <v>0</v>
          </cell>
        </row>
        <row r="4873">
          <cell r="A4873">
            <v>0</v>
          </cell>
          <cell r="B4873">
            <v>0</v>
          </cell>
        </row>
        <row r="4874">
          <cell r="A4874">
            <v>0</v>
          </cell>
          <cell r="B4874">
            <v>0</v>
          </cell>
        </row>
        <row r="4875">
          <cell r="A4875">
            <v>0</v>
          </cell>
          <cell r="B4875">
            <v>0</v>
          </cell>
        </row>
        <row r="4876">
          <cell r="A4876">
            <v>0</v>
          </cell>
          <cell r="B4876">
            <v>0</v>
          </cell>
        </row>
        <row r="4877">
          <cell r="A4877">
            <v>0</v>
          </cell>
          <cell r="B4877">
            <v>0</v>
          </cell>
        </row>
        <row r="4878">
          <cell r="A4878">
            <v>0</v>
          </cell>
          <cell r="B4878">
            <v>0</v>
          </cell>
        </row>
        <row r="4879">
          <cell r="A4879">
            <v>0</v>
          </cell>
          <cell r="B4879">
            <v>0</v>
          </cell>
        </row>
        <row r="4880">
          <cell r="A4880">
            <v>0</v>
          </cell>
          <cell r="B4880">
            <v>0</v>
          </cell>
        </row>
        <row r="4881">
          <cell r="A4881">
            <v>0</v>
          </cell>
          <cell r="B4881">
            <v>0</v>
          </cell>
        </row>
        <row r="4882">
          <cell r="A4882">
            <v>0</v>
          </cell>
          <cell r="B4882">
            <v>0</v>
          </cell>
        </row>
        <row r="4883">
          <cell r="A4883">
            <v>0</v>
          </cell>
          <cell r="B4883">
            <v>0</v>
          </cell>
        </row>
        <row r="4884">
          <cell r="A4884">
            <v>0</v>
          </cell>
          <cell r="B4884">
            <v>0</v>
          </cell>
        </row>
        <row r="4885">
          <cell r="A4885">
            <v>0</v>
          </cell>
          <cell r="B4885">
            <v>0</v>
          </cell>
        </row>
        <row r="4886">
          <cell r="A4886">
            <v>0</v>
          </cell>
          <cell r="B4886">
            <v>0</v>
          </cell>
        </row>
        <row r="4887">
          <cell r="A4887">
            <v>0</v>
          </cell>
          <cell r="B4887">
            <v>0</v>
          </cell>
        </row>
        <row r="4888">
          <cell r="A4888">
            <v>0</v>
          </cell>
          <cell r="B4888">
            <v>0</v>
          </cell>
        </row>
        <row r="4889">
          <cell r="A4889">
            <v>0</v>
          </cell>
          <cell r="B4889">
            <v>0</v>
          </cell>
        </row>
        <row r="4890">
          <cell r="A4890">
            <v>0</v>
          </cell>
          <cell r="B4890">
            <v>0</v>
          </cell>
        </row>
        <row r="4891">
          <cell r="A4891">
            <v>0</v>
          </cell>
          <cell r="B4891">
            <v>0</v>
          </cell>
        </row>
        <row r="4892">
          <cell r="A4892">
            <v>0</v>
          </cell>
          <cell r="B4892">
            <v>0</v>
          </cell>
        </row>
        <row r="4893">
          <cell r="A4893">
            <v>0</v>
          </cell>
          <cell r="B4893">
            <v>0</v>
          </cell>
        </row>
        <row r="4894">
          <cell r="A4894">
            <v>0</v>
          </cell>
          <cell r="B4894">
            <v>0</v>
          </cell>
        </row>
        <row r="4895">
          <cell r="A4895">
            <v>0</v>
          </cell>
          <cell r="B4895">
            <v>0</v>
          </cell>
        </row>
        <row r="4896">
          <cell r="A4896">
            <v>0</v>
          </cell>
          <cell r="B4896">
            <v>0</v>
          </cell>
        </row>
        <row r="4897">
          <cell r="A4897">
            <v>0</v>
          </cell>
          <cell r="B4897">
            <v>0</v>
          </cell>
        </row>
        <row r="4898">
          <cell r="A4898">
            <v>0</v>
          </cell>
          <cell r="B4898">
            <v>0</v>
          </cell>
        </row>
        <row r="4899">
          <cell r="A4899">
            <v>0</v>
          </cell>
          <cell r="B4899">
            <v>0</v>
          </cell>
        </row>
        <row r="4900">
          <cell r="A4900">
            <v>0</v>
          </cell>
          <cell r="B4900">
            <v>0</v>
          </cell>
        </row>
        <row r="4901">
          <cell r="A4901">
            <v>0</v>
          </cell>
          <cell r="B4901">
            <v>0</v>
          </cell>
        </row>
        <row r="4902">
          <cell r="A4902">
            <v>0</v>
          </cell>
          <cell r="B4902">
            <v>0</v>
          </cell>
        </row>
        <row r="4903">
          <cell r="A4903">
            <v>0</v>
          </cell>
          <cell r="B4903">
            <v>0</v>
          </cell>
        </row>
        <row r="4904">
          <cell r="A4904">
            <v>0</v>
          </cell>
          <cell r="B4904">
            <v>0</v>
          </cell>
        </row>
        <row r="4905">
          <cell r="A4905">
            <v>0</v>
          </cell>
          <cell r="B4905">
            <v>0</v>
          </cell>
        </row>
        <row r="4906">
          <cell r="A4906">
            <v>0</v>
          </cell>
          <cell r="B4906">
            <v>0</v>
          </cell>
        </row>
        <row r="4907">
          <cell r="A4907">
            <v>0</v>
          </cell>
          <cell r="B4907">
            <v>0</v>
          </cell>
        </row>
        <row r="4908">
          <cell r="A4908">
            <v>0</v>
          </cell>
          <cell r="B4908">
            <v>0</v>
          </cell>
        </row>
        <row r="4909">
          <cell r="A4909">
            <v>0</v>
          </cell>
          <cell r="B4909">
            <v>0</v>
          </cell>
        </row>
        <row r="4910">
          <cell r="A4910">
            <v>0</v>
          </cell>
          <cell r="B4910">
            <v>0</v>
          </cell>
        </row>
        <row r="4911">
          <cell r="A4911">
            <v>0</v>
          </cell>
          <cell r="B4911">
            <v>0</v>
          </cell>
        </row>
        <row r="4912">
          <cell r="A4912">
            <v>0</v>
          </cell>
          <cell r="B4912">
            <v>0</v>
          </cell>
        </row>
        <row r="4913">
          <cell r="A4913">
            <v>0</v>
          </cell>
          <cell r="B4913">
            <v>0</v>
          </cell>
        </row>
        <row r="4914">
          <cell r="A4914">
            <v>0</v>
          </cell>
          <cell r="B4914">
            <v>0</v>
          </cell>
        </row>
        <row r="4915">
          <cell r="A4915">
            <v>0</v>
          </cell>
          <cell r="B4915">
            <v>0</v>
          </cell>
        </row>
        <row r="4916">
          <cell r="A4916">
            <v>0</v>
          </cell>
          <cell r="B4916">
            <v>0</v>
          </cell>
        </row>
        <row r="4917">
          <cell r="A4917">
            <v>0</v>
          </cell>
          <cell r="B4917">
            <v>0</v>
          </cell>
        </row>
        <row r="4918">
          <cell r="A4918">
            <v>0</v>
          </cell>
          <cell r="B4918">
            <v>0</v>
          </cell>
        </row>
        <row r="4919">
          <cell r="A4919">
            <v>0</v>
          </cell>
          <cell r="B4919">
            <v>0</v>
          </cell>
        </row>
        <row r="4920">
          <cell r="A4920">
            <v>0</v>
          </cell>
          <cell r="B4920">
            <v>0</v>
          </cell>
        </row>
        <row r="4921">
          <cell r="A4921">
            <v>0</v>
          </cell>
          <cell r="B4921">
            <v>0</v>
          </cell>
        </row>
        <row r="4922">
          <cell r="A4922">
            <v>0</v>
          </cell>
          <cell r="B4922">
            <v>0</v>
          </cell>
        </row>
        <row r="4923">
          <cell r="A4923">
            <v>0</v>
          </cell>
          <cell r="B4923">
            <v>0</v>
          </cell>
        </row>
        <row r="4924">
          <cell r="A4924">
            <v>0</v>
          </cell>
          <cell r="B4924">
            <v>0</v>
          </cell>
        </row>
        <row r="4925">
          <cell r="A4925">
            <v>0</v>
          </cell>
          <cell r="B4925">
            <v>0</v>
          </cell>
        </row>
        <row r="4926">
          <cell r="A4926">
            <v>0</v>
          </cell>
          <cell r="B4926">
            <v>0</v>
          </cell>
        </row>
        <row r="4927">
          <cell r="A4927">
            <v>0</v>
          </cell>
          <cell r="B4927">
            <v>0</v>
          </cell>
        </row>
        <row r="4928">
          <cell r="A4928">
            <v>0</v>
          </cell>
          <cell r="B4928">
            <v>0</v>
          </cell>
        </row>
        <row r="4929">
          <cell r="A4929">
            <v>0</v>
          </cell>
          <cell r="B4929">
            <v>0</v>
          </cell>
        </row>
        <row r="4930">
          <cell r="A4930">
            <v>0</v>
          </cell>
          <cell r="B4930">
            <v>0</v>
          </cell>
        </row>
        <row r="4931">
          <cell r="A4931">
            <v>0</v>
          </cell>
          <cell r="B4931">
            <v>0</v>
          </cell>
        </row>
        <row r="4932">
          <cell r="A4932">
            <v>0</v>
          </cell>
          <cell r="B4932">
            <v>0</v>
          </cell>
        </row>
        <row r="4933">
          <cell r="A4933">
            <v>0</v>
          </cell>
          <cell r="B4933">
            <v>0</v>
          </cell>
        </row>
        <row r="4934">
          <cell r="A4934">
            <v>0</v>
          </cell>
          <cell r="B4934">
            <v>0</v>
          </cell>
        </row>
        <row r="4935">
          <cell r="A4935">
            <v>0</v>
          </cell>
          <cell r="B4935">
            <v>0</v>
          </cell>
        </row>
        <row r="4936">
          <cell r="A4936">
            <v>0</v>
          </cell>
          <cell r="B4936">
            <v>0</v>
          </cell>
        </row>
        <row r="4937">
          <cell r="A4937">
            <v>0</v>
          </cell>
          <cell r="B4937">
            <v>0</v>
          </cell>
        </row>
        <row r="4938">
          <cell r="A4938">
            <v>0</v>
          </cell>
          <cell r="B4938">
            <v>0</v>
          </cell>
        </row>
        <row r="4939">
          <cell r="A4939">
            <v>0</v>
          </cell>
          <cell r="B4939">
            <v>0</v>
          </cell>
        </row>
        <row r="4940">
          <cell r="A4940">
            <v>0</v>
          </cell>
          <cell r="B4940">
            <v>0</v>
          </cell>
        </row>
        <row r="4941">
          <cell r="A4941">
            <v>0</v>
          </cell>
          <cell r="B4941">
            <v>0</v>
          </cell>
        </row>
        <row r="4942">
          <cell r="A4942">
            <v>0</v>
          </cell>
          <cell r="B4942">
            <v>0</v>
          </cell>
        </row>
        <row r="4943">
          <cell r="A4943">
            <v>0</v>
          </cell>
          <cell r="B4943">
            <v>0</v>
          </cell>
        </row>
        <row r="4944">
          <cell r="A4944">
            <v>0</v>
          </cell>
          <cell r="B4944">
            <v>0</v>
          </cell>
        </row>
        <row r="4945">
          <cell r="A4945">
            <v>0</v>
          </cell>
          <cell r="B4945">
            <v>0</v>
          </cell>
        </row>
        <row r="4946">
          <cell r="A4946">
            <v>0</v>
          </cell>
          <cell r="B4946">
            <v>0</v>
          </cell>
        </row>
        <row r="4947">
          <cell r="A4947">
            <v>0</v>
          </cell>
          <cell r="B4947">
            <v>0</v>
          </cell>
        </row>
        <row r="4948">
          <cell r="A4948">
            <v>0</v>
          </cell>
          <cell r="B4948">
            <v>0</v>
          </cell>
        </row>
        <row r="4949">
          <cell r="A4949">
            <v>0</v>
          </cell>
          <cell r="B4949">
            <v>0</v>
          </cell>
        </row>
        <row r="4950">
          <cell r="A4950">
            <v>0</v>
          </cell>
          <cell r="B4950">
            <v>0</v>
          </cell>
        </row>
        <row r="4951">
          <cell r="A4951">
            <v>0</v>
          </cell>
          <cell r="B4951">
            <v>0</v>
          </cell>
        </row>
        <row r="4952">
          <cell r="A4952">
            <v>0</v>
          </cell>
          <cell r="B4952">
            <v>0</v>
          </cell>
        </row>
        <row r="4953">
          <cell r="A4953">
            <v>0</v>
          </cell>
          <cell r="B4953">
            <v>0</v>
          </cell>
        </row>
        <row r="4954">
          <cell r="A4954">
            <v>0</v>
          </cell>
          <cell r="B4954">
            <v>0</v>
          </cell>
        </row>
        <row r="4955">
          <cell r="A4955">
            <v>0</v>
          </cell>
          <cell r="B4955">
            <v>0</v>
          </cell>
        </row>
        <row r="4956">
          <cell r="A4956">
            <v>0</v>
          </cell>
          <cell r="B4956">
            <v>0</v>
          </cell>
        </row>
        <row r="4957">
          <cell r="A4957">
            <v>0</v>
          </cell>
          <cell r="B4957">
            <v>0</v>
          </cell>
        </row>
        <row r="4958">
          <cell r="A4958">
            <v>0</v>
          </cell>
          <cell r="B4958">
            <v>0</v>
          </cell>
        </row>
        <row r="4959">
          <cell r="A4959">
            <v>0</v>
          </cell>
          <cell r="B4959">
            <v>0</v>
          </cell>
        </row>
        <row r="4960">
          <cell r="A4960">
            <v>0</v>
          </cell>
          <cell r="B4960">
            <v>0</v>
          </cell>
        </row>
        <row r="4961">
          <cell r="A4961">
            <v>0</v>
          </cell>
          <cell r="B4961">
            <v>0</v>
          </cell>
        </row>
        <row r="4962">
          <cell r="A4962">
            <v>0</v>
          </cell>
          <cell r="B4962">
            <v>0</v>
          </cell>
        </row>
        <row r="4963">
          <cell r="A4963">
            <v>0</v>
          </cell>
          <cell r="B4963">
            <v>0</v>
          </cell>
        </row>
        <row r="4964">
          <cell r="A4964">
            <v>0</v>
          </cell>
          <cell r="B4964">
            <v>0</v>
          </cell>
        </row>
        <row r="4965">
          <cell r="A4965">
            <v>0</v>
          </cell>
          <cell r="B4965">
            <v>0</v>
          </cell>
        </row>
        <row r="4966">
          <cell r="A4966">
            <v>0</v>
          </cell>
          <cell r="B4966">
            <v>0</v>
          </cell>
        </row>
        <row r="4967">
          <cell r="A4967">
            <v>0</v>
          </cell>
          <cell r="B4967">
            <v>0</v>
          </cell>
        </row>
        <row r="4968">
          <cell r="A4968">
            <v>0</v>
          </cell>
          <cell r="B4968">
            <v>0</v>
          </cell>
        </row>
        <row r="4969">
          <cell r="A4969">
            <v>0</v>
          </cell>
          <cell r="B4969">
            <v>0</v>
          </cell>
        </row>
        <row r="4970">
          <cell r="A4970">
            <v>0</v>
          </cell>
          <cell r="B4970">
            <v>0</v>
          </cell>
        </row>
        <row r="4971">
          <cell r="A4971">
            <v>0</v>
          </cell>
          <cell r="B4971">
            <v>0</v>
          </cell>
        </row>
        <row r="4972">
          <cell r="A4972">
            <v>0</v>
          </cell>
          <cell r="B4972">
            <v>0</v>
          </cell>
        </row>
        <row r="4973">
          <cell r="A4973">
            <v>0</v>
          </cell>
          <cell r="B4973">
            <v>0</v>
          </cell>
        </row>
        <row r="4974">
          <cell r="A4974">
            <v>0</v>
          </cell>
          <cell r="B4974">
            <v>0</v>
          </cell>
        </row>
        <row r="4975">
          <cell r="A4975">
            <v>0</v>
          </cell>
          <cell r="B4975">
            <v>0</v>
          </cell>
        </row>
        <row r="4976">
          <cell r="A4976">
            <v>0</v>
          </cell>
          <cell r="B4976">
            <v>0</v>
          </cell>
        </row>
        <row r="4977">
          <cell r="A4977">
            <v>0</v>
          </cell>
          <cell r="B4977">
            <v>0</v>
          </cell>
        </row>
        <row r="4978">
          <cell r="A4978">
            <v>0</v>
          </cell>
          <cell r="B4978">
            <v>0</v>
          </cell>
        </row>
        <row r="4979">
          <cell r="A4979">
            <v>0</v>
          </cell>
          <cell r="B4979">
            <v>0</v>
          </cell>
        </row>
        <row r="4980">
          <cell r="A4980">
            <v>0</v>
          </cell>
          <cell r="B4980">
            <v>0</v>
          </cell>
        </row>
        <row r="4981">
          <cell r="A4981">
            <v>0</v>
          </cell>
          <cell r="B4981">
            <v>0</v>
          </cell>
        </row>
        <row r="4982">
          <cell r="A4982">
            <v>0</v>
          </cell>
          <cell r="B4982">
            <v>0</v>
          </cell>
        </row>
        <row r="4983">
          <cell r="A4983">
            <v>0</v>
          </cell>
          <cell r="B4983">
            <v>0</v>
          </cell>
        </row>
        <row r="4984">
          <cell r="A4984">
            <v>0</v>
          </cell>
          <cell r="B4984">
            <v>0</v>
          </cell>
        </row>
        <row r="4985">
          <cell r="A4985">
            <v>0</v>
          </cell>
          <cell r="B4985">
            <v>0</v>
          </cell>
        </row>
        <row r="4986">
          <cell r="A4986">
            <v>0</v>
          </cell>
          <cell r="B4986">
            <v>0</v>
          </cell>
        </row>
        <row r="4987">
          <cell r="A4987">
            <v>0</v>
          </cell>
          <cell r="B4987">
            <v>0</v>
          </cell>
        </row>
        <row r="4988">
          <cell r="A4988">
            <v>0</v>
          </cell>
          <cell r="B4988">
            <v>0</v>
          </cell>
        </row>
        <row r="4989">
          <cell r="A4989">
            <v>0</v>
          </cell>
          <cell r="B4989">
            <v>0</v>
          </cell>
        </row>
        <row r="4990">
          <cell r="A4990">
            <v>0</v>
          </cell>
          <cell r="B4990">
            <v>0</v>
          </cell>
        </row>
        <row r="4991">
          <cell r="A4991">
            <v>0</v>
          </cell>
          <cell r="B4991">
            <v>0</v>
          </cell>
        </row>
        <row r="4992">
          <cell r="A4992">
            <v>0</v>
          </cell>
          <cell r="B4992">
            <v>0</v>
          </cell>
        </row>
        <row r="4993">
          <cell r="A4993">
            <v>0</v>
          </cell>
          <cell r="B4993">
            <v>0</v>
          </cell>
        </row>
        <row r="4994">
          <cell r="A4994">
            <v>0</v>
          </cell>
          <cell r="B4994">
            <v>0</v>
          </cell>
        </row>
        <row r="4995">
          <cell r="A4995">
            <v>0</v>
          </cell>
          <cell r="B4995">
            <v>0</v>
          </cell>
        </row>
        <row r="4996">
          <cell r="A4996">
            <v>0</v>
          </cell>
          <cell r="B4996">
            <v>0</v>
          </cell>
        </row>
        <row r="4997">
          <cell r="A4997">
            <v>0</v>
          </cell>
          <cell r="B4997">
            <v>0</v>
          </cell>
        </row>
        <row r="4998">
          <cell r="A4998">
            <v>0</v>
          </cell>
          <cell r="B4998">
            <v>0</v>
          </cell>
        </row>
        <row r="4999">
          <cell r="A4999">
            <v>0</v>
          </cell>
          <cell r="B4999">
            <v>0</v>
          </cell>
        </row>
        <row r="5000">
          <cell r="A5000">
            <v>0</v>
          </cell>
          <cell r="B5000">
            <v>0</v>
          </cell>
        </row>
        <row r="5001">
          <cell r="A5001">
            <v>0</v>
          </cell>
          <cell r="B5001">
            <v>0</v>
          </cell>
        </row>
        <row r="5002">
          <cell r="A5002">
            <v>0</v>
          </cell>
          <cell r="B5002">
            <v>0</v>
          </cell>
        </row>
        <row r="5003">
          <cell r="A5003">
            <v>0</v>
          </cell>
          <cell r="B5003">
            <v>0</v>
          </cell>
        </row>
        <row r="5004">
          <cell r="A5004">
            <v>0</v>
          </cell>
          <cell r="B5004">
            <v>0</v>
          </cell>
        </row>
        <row r="5005">
          <cell r="A5005">
            <v>0</v>
          </cell>
          <cell r="B5005">
            <v>0</v>
          </cell>
        </row>
        <row r="5006">
          <cell r="A5006">
            <v>0</v>
          </cell>
          <cell r="B5006">
            <v>0</v>
          </cell>
        </row>
        <row r="5007">
          <cell r="A5007">
            <v>0</v>
          </cell>
          <cell r="B5007">
            <v>0</v>
          </cell>
        </row>
        <row r="5008">
          <cell r="A5008">
            <v>0</v>
          </cell>
          <cell r="B5008">
            <v>0</v>
          </cell>
        </row>
        <row r="5009">
          <cell r="A5009">
            <v>0</v>
          </cell>
          <cell r="B5009">
            <v>0</v>
          </cell>
        </row>
        <row r="5010">
          <cell r="A5010">
            <v>0</v>
          </cell>
          <cell r="B5010">
            <v>0</v>
          </cell>
        </row>
        <row r="5011">
          <cell r="A5011">
            <v>0</v>
          </cell>
          <cell r="B5011">
            <v>0</v>
          </cell>
        </row>
        <row r="5012">
          <cell r="A5012">
            <v>0</v>
          </cell>
          <cell r="B5012">
            <v>0</v>
          </cell>
        </row>
        <row r="5013">
          <cell r="A5013">
            <v>0</v>
          </cell>
          <cell r="B5013">
            <v>0</v>
          </cell>
        </row>
        <row r="5014">
          <cell r="A5014">
            <v>0</v>
          </cell>
          <cell r="B5014">
            <v>0</v>
          </cell>
        </row>
        <row r="5015">
          <cell r="A5015">
            <v>0</v>
          </cell>
          <cell r="B5015">
            <v>0</v>
          </cell>
        </row>
        <row r="5016">
          <cell r="A5016">
            <v>0</v>
          </cell>
          <cell r="B5016">
            <v>0</v>
          </cell>
        </row>
        <row r="5017">
          <cell r="A5017">
            <v>0</v>
          </cell>
          <cell r="B5017">
            <v>0</v>
          </cell>
        </row>
        <row r="5018">
          <cell r="A5018">
            <v>0</v>
          </cell>
          <cell r="B5018">
            <v>0</v>
          </cell>
        </row>
        <row r="5019">
          <cell r="A5019">
            <v>0</v>
          </cell>
          <cell r="B5019">
            <v>0</v>
          </cell>
        </row>
        <row r="5020">
          <cell r="A5020">
            <v>0</v>
          </cell>
          <cell r="B5020">
            <v>0</v>
          </cell>
        </row>
        <row r="5021">
          <cell r="A5021">
            <v>0</v>
          </cell>
          <cell r="B5021">
            <v>0</v>
          </cell>
        </row>
        <row r="5022">
          <cell r="A5022">
            <v>0</v>
          </cell>
          <cell r="B5022">
            <v>0</v>
          </cell>
        </row>
        <row r="5023">
          <cell r="A5023">
            <v>0</v>
          </cell>
          <cell r="B5023">
            <v>0</v>
          </cell>
        </row>
        <row r="5024">
          <cell r="A5024">
            <v>0</v>
          </cell>
          <cell r="B5024">
            <v>0</v>
          </cell>
        </row>
        <row r="5025">
          <cell r="A5025">
            <v>0</v>
          </cell>
          <cell r="B5025">
            <v>0</v>
          </cell>
        </row>
        <row r="5026">
          <cell r="A5026">
            <v>0</v>
          </cell>
          <cell r="B5026">
            <v>0</v>
          </cell>
        </row>
        <row r="5027">
          <cell r="A5027">
            <v>0</v>
          </cell>
          <cell r="B5027">
            <v>0</v>
          </cell>
        </row>
        <row r="5028">
          <cell r="A5028">
            <v>0</v>
          </cell>
          <cell r="B5028">
            <v>0</v>
          </cell>
        </row>
        <row r="5029">
          <cell r="A5029">
            <v>0</v>
          </cell>
          <cell r="B5029">
            <v>0</v>
          </cell>
        </row>
        <row r="5030">
          <cell r="A5030">
            <v>0</v>
          </cell>
          <cell r="B5030">
            <v>0</v>
          </cell>
        </row>
        <row r="5031">
          <cell r="A5031">
            <v>0</v>
          </cell>
          <cell r="B5031">
            <v>0</v>
          </cell>
        </row>
        <row r="5032">
          <cell r="A5032">
            <v>0</v>
          </cell>
          <cell r="B5032">
            <v>0</v>
          </cell>
        </row>
        <row r="5033">
          <cell r="A5033">
            <v>0</v>
          </cell>
          <cell r="B5033">
            <v>0</v>
          </cell>
        </row>
        <row r="5034">
          <cell r="A5034">
            <v>0</v>
          </cell>
          <cell r="B5034">
            <v>0</v>
          </cell>
        </row>
        <row r="5035">
          <cell r="A5035">
            <v>0</v>
          </cell>
          <cell r="B5035">
            <v>0</v>
          </cell>
        </row>
        <row r="5036">
          <cell r="A5036">
            <v>0</v>
          </cell>
          <cell r="B5036">
            <v>0</v>
          </cell>
        </row>
        <row r="5037">
          <cell r="A5037">
            <v>0</v>
          </cell>
          <cell r="B5037">
            <v>0</v>
          </cell>
        </row>
        <row r="5038">
          <cell r="A5038">
            <v>0</v>
          </cell>
          <cell r="B5038">
            <v>0</v>
          </cell>
        </row>
        <row r="5039">
          <cell r="A5039">
            <v>0</v>
          </cell>
          <cell r="B5039">
            <v>0</v>
          </cell>
        </row>
        <row r="5040">
          <cell r="A5040">
            <v>0</v>
          </cell>
          <cell r="B5040">
            <v>0</v>
          </cell>
        </row>
        <row r="5041">
          <cell r="A5041">
            <v>0</v>
          </cell>
          <cell r="B5041">
            <v>0</v>
          </cell>
        </row>
        <row r="5042">
          <cell r="A5042">
            <v>0</v>
          </cell>
          <cell r="B5042">
            <v>0</v>
          </cell>
        </row>
        <row r="5043">
          <cell r="A5043">
            <v>0</v>
          </cell>
          <cell r="B5043">
            <v>0</v>
          </cell>
        </row>
        <row r="5044">
          <cell r="A5044">
            <v>0</v>
          </cell>
          <cell r="B5044">
            <v>0</v>
          </cell>
        </row>
        <row r="5045">
          <cell r="A5045">
            <v>0</v>
          </cell>
          <cell r="B5045">
            <v>0</v>
          </cell>
        </row>
        <row r="5046">
          <cell r="A5046">
            <v>0</v>
          </cell>
          <cell r="B5046">
            <v>0</v>
          </cell>
        </row>
        <row r="5047">
          <cell r="A5047">
            <v>0</v>
          </cell>
          <cell r="B5047">
            <v>0</v>
          </cell>
        </row>
        <row r="5048">
          <cell r="A5048">
            <v>0</v>
          </cell>
          <cell r="B5048">
            <v>0</v>
          </cell>
        </row>
        <row r="5049">
          <cell r="A5049">
            <v>0</v>
          </cell>
          <cell r="B5049">
            <v>0</v>
          </cell>
        </row>
        <row r="5050">
          <cell r="A5050">
            <v>0</v>
          </cell>
          <cell r="B5050">
            <v>0</v>
          </cell>
        </row>
        <row r="5051">
          <cell r="A5051">
            <v>0</v>
          </cell>
          <cell r="B5051">
            <v>0</v>
          </cell>
        </row>
        <row r="5052">
          <cell r="A5052">
            <v>0</v>
          </cell>
          <cell r="B5052">
            <v>0</v>
          </cell>
        </row>
        <row r="5053">
          <cell r="A5053">
            <v>0</v>
          </cell>
          <cell r="B5053">
            <v>0</v>
          </cell>
        </row>
        <row r="5054">
          <cell r="A5054">
            <v>0</v>
          </cell>
          <cell r="B5054">
            <v>0</v>
          </cell>
        </row>
        <row r="5055">
          <cell r="A5055">
            <v>0</v>
          </cell>
          <cell r="B5055">
            <v>0</v>
          </cell>
        </row>
        <row r="5056">
          <cell r="A5056">
            <v>0</v>
          </cell>
          <cell r="B5056">
            <v>0</v>
          </cell>
        </row>
        <row r="5057">
          <cell r="A5057">
            <v>0</v>
          </cell>
          <cell r="B5057">
            <v>0</v>
          </cell>
        </row>
        <row r="5058">
          <cell r="A5058">
            <v>0</v>
          </cell>
          <cell r="B5058">
            <v>0</v>
          </cell>
        </row>
        <row r="5059">
          <cell r="A5059">
            <v>0</v>
          </cell>
          <cell r="B5059">
            <v>0</v>
          </cell>
        </row>
        <row r="5060">
          <cell r="A5060">
            <v>0</v>
          </cell>
          <cell r="B5060">
            <v>0</v>
          </cell>
        </row>
        <row r="5061">
          <cell r="A5061">
            <v>0</v>
          </cell>
          <cell r="B5061">
            <v>0</v>
          </cell>
        </row>
        <row r="5062">
          <cell r="A5062">
            <v>0</v>
          </cell>
          <cell r="B5062">
            <v>0</v>
          </cell>
        </row>
        <row r="5063">
          <cell r="A5063">
            <v>0</v>
          </cell>
          <cell r="B5063">
            <v>0</v>
          </cell>
        </row>
        <row r="5064">
          <cell r="A5064">
            <v>0</v>
          </cell>
          <cell r="B5064">
            <v>0</v>
          </cell>
        </row>
        <row r="5065">
          <cell r="A5065">
            <v>0</v>
          </cell>
          <cell r="B5065">
            <v>0</v>
          </cell>
        </row>
        <row r="5066">
          <cell r="A5066">
            <v>0</v>
          </cell>
          <cell r="B5066">
            <v>0</v>
          </cell>
        </row>
        <row r="5067">
          <cell r="A5067">
            <v>0</v>
          </cell>
          <cell r="B5067">
            <v>0</v>
          </cell>
        </row>
        <row r="5068">
          <cell r="A5068">
            <v>0</v>
          </cell>
          <cell r="B5068">
            <v>0</v>
          </cell>
        </row>
        <row r="5069">
          <cell r="A5069">
            <v>0</v>
          </cell>
          <cell r="B5069">
            <v>0</v>
          </cell>
        </row>
        <row r="5070">
          <cell r="A5070">
            <v>0</v>
          </cell>
          <cell r="B5070">
            <v>0</v>
          </cell>
        </row>
        <row r="5071">
          <cell r="A5071">
            <v>0</v>
          </cell>
          <cell r="B5071">
            <v>0</v>
          </cell>
        </row>
        <row r="5072">
          <cell r="A5072">
            <v>0</v>
          </cell>
          <cell r="B5072">
            <v>0</v>
          </cell>
        </row>
        <row r="5073">
          <cell r="A5073">
            <v>0</v>
          </cell>
          <cell r="B5073">
            <v>0</v>
          </cell>
        </row>
        <row r="5074">
          <cell r="A5074">
            <v>0</v>
          </cell>
          <cell r="B5074">
            <v>0</v>
          </cell>
        </row>
        <row r="5075">
          <cell r="A5075">
            <v>0</v>
          </cell>
          <cell r="B5075">
            <v>0</v>
          </cell>
        </row>
        <row r="5076">
          <cell r="A5076">
            <v>0</v>
          </cell>
          <cell r="B5076">
            <v>0</v>
          </cell>
        </row>
        <row r="5077">
          <cell r="A5077">
            <v>0</v>
          </cell>
          <cell r="B5077">
            <v>0</v>
          </cell>
        </row>
        <row r="5078">
          <cell r="A5078">
            <v>0</v>
          </cell>
          <cell r="B5078">
            <v>0</v>
          </cell>
        </row>
        <row r="5079">
          <cell r="A5079">
            <v>0</v>
          </cell>
          <cell r="B5079">
            <v>0</v>
          </cell>
        </row>
        <row r="5080">
          <cell r="A5080">
            <v>0</v>
          </cell>
          <cell r="B5080">
            <v>0</v>
          </cell>
        </row>
        <row r="5081">
          <cell r="A5081">
            <v>0</v>
          </cell>
          <cell r="B5081">
            <v>0</v>
          </cell>
        </row>
        <row r="5082">
          <cell r="A5082">
            <v>0</v>
          </cell>
          <cell r="B5082">
            <v>0</v>
          </cell>
        </row>
        <row r="5083">
          <cell r="A5083">
            <v>0</v>
          </cell>
          <cell r="B5083">
            <v>0</v>
          </cell>
        </row>
        <row r="5084">
          <cell r="A5084">
            <v>0</v>
          </cell>
          <cell r="B5084">
            <v>0</v>
          </cell>
        </row>
        <row r="5085">
          <cell r="A5085">
            <v>0</v>
          </cell>
          <cell r="B5085">
            <v>0</v>
          </cell>
        </row>
        <row r="5086">
          <cell r="A5086">
            <v>0</v>
          </cell>
          <cell r="B5086">
            <v>0</v>
          </cell>
        </row>
        <row r="5087">
          <cell r="A5087">
            <v>0</v>
          </cell>
          <cell r="B5087">
            <v>0</v>
          </cell>
        </row>
        <row r="5088">
          <cell r="A5088">
            <v>0</v>
          </cell>
          <cell r="B5088">
            <v>0</v>
          </cell>
        </row>
        <row r="5089">
          <cell r="A5089">
            <v>0</v>
          </cell>
          <cell r="B5089">
            <v>0</v>
          </cell>
        </row>
        <row r="5090">
          <cell r="A5090">
            <v>0</v>
          </cell>
          <cell r="B5090">
            <v>0</v>
          </cell>
        </row>
        <row r="5091">
          <cell r="A5091">
            <v>0</v>
          </cell>
          <cell r="B5091">
            <v>0</v>
          </cell>
        </row>
        <row r="5092">
          <cell r="A5092">
            <v>0</v>
          </cell>
          <cell r="B5092">
            <v>0</v>
          </cell>
        </row>
        <row r="5093">
          <cell r="A5093">
            <v>0</v>
          </cell>
          <cell r="B5093">
            <v>0</v>
          </cell>
        </row>
        <row r="5094">
          <cell r="A5094">
            <v>0</v>
          </cell>
          <cell r="B5094">
            <v>0</v>
          </cell>
        </row>
        <row r="5095">
          <cell r="A5095">
            <v>0</v>
          </cell>
          <cell r="B5095">
            <v>0</v>
          </cell>
        </row>
        <row r="5096">
          <cell r="A5096">
            <v>0</v>
          </cell>
          <cell r="B5096">
            <v>0</v>
          </cell>
        </row>
        <row r="5097">
          <cell r="A5097">
            <v>0</v>
          </cell>
          <cell r="B5097">
            <v>0</v>
          </cell>
        </row>
        <row r="5098">
          <cell r="A5098">
            <v>0</v>
          </cell>
          <cell r="B5098">
            <v>0</v>
          </cell>
        </row>
        <row r="5099">
          <cell r="A5099">
            <v>0</v>
          </cell>
          <cell r="B5099">
            <v>0</v>
          </cell>
        </row>
        <row r="5100">
          <cell r="A5100">
            <v>0</v>
          </cell>
          <cell r="B5100">
            <v>0</v>
          </cell>
        </row>
        <row r="5101">
          <cell r="A5101">
            <v>0</v>
          </cell>
          <cell r="B5101">
            <v>0</v>
          </cell>
        </row>
        <row r="5102">
          <cell r="A5102">
            <v>0</v>
          </cell>
          <cell r="B5102">
            <v>0</v>
          </cell>
        </row>
        <row r="5103">
          <cell r="A5103">
            <v>0</v>
          </cell>
          <cell r="B5103">
            <v>0</v>
          </cell>
        </row>
        <row r="5104">
          <cell r="A5104">
            <v>0</v>
          </cell>
          <cell r="B5104">
            <v>0</v>
          </cell>
        </row>
        <row r="5105">
          <cell r="A5105">
            <v>0</v>
          </cell>
          <cell r="B5105">
            <v>0</v>
          </cell>
        </row>
        <row r="5106">
          <cell r="A5106">
            <v>0</v>
          </cell>
          <cell r="B5106">
            <v>0</v>
          </cell>
        </row>
        <row r="5107">
          <cell r="A5107">
            <v>0</v>
          </cell>
          <cell r="B5107">
            <v>0</v>
          </cell>
        </row>
        <row r="5108">
          <cell r="A5108">
            <v>0</v>
          </cell>
          <cell r="B5108">
            <v>0</v>
          </cell>
        </row>
        <row r="5109">
          <cell r="A5109">
            <v>0</v>
          </cell>
          <cell r="B5109">
            <v>0</v>
          </cell>
        </row>
        <row r="5110">
          <cell r="A5110">
            <v>0</v>
          </cell>
          <cell r="B5110">
            <v>0</v>
          </cell>
        </row>
        <row r="5111">
          <cell r="A5111">
            <v>0</v>
          </cell>
          <cell r="B5111">
            <v>0</v>
          </cell>
        </row>
        <row r="5112">
          <cell r="A5112">
            <v>0</v>
          </cell>
          <cell r="B5112">
            <v>0</v>
          </cell>
        </row>
        <row r="5113">
          <cell r="A5113">
            <v>0</v>
          </cell>
          <cell r="B5113">
            <v>0</v>
          </cell>
        </row>
        <row r="5114">
          <cell r="A5114">
            <v>0</v>
          </cell>
          <cell r="B5114">
            <v>0</v>
          </cell>
        </row>
        <row r="5115">
          <cell r="A5115">
            <v>0</v>
          </cell>
          <cell r="B5115">
            <v>0</v>
          </cell>
        </row>
        <row r="5116">
          <cell r="A5116">
            <v>0</v>
          </cell>
          <cell r="B5116">
            <v>0</v>
          </cell>
        </row>
        <row r="5117">
          <cell r="A5117">
            <v>0</v>
          </cell>
          <cell r="B5117">
            <v>0</v>
          </cell>
        </row>
        <row r="5118">
          <cell r="A5118">
            <v>0</v>
          </cell>
          <cell r="B5118">
            <v>0</v>
          </cell>
        </row>
        <row r="5119">
          <cell r="A5119">
            <v>0</v>
          </cell>
          <cell r="B5119">
            <v>0</v>
          </cell>
        </row>
        <row r="5120">
          <cell r="A5120">
            <v>0</v>
          </cell>
          <cell r="B5120">
            <v>0</v>
          </cell>
        </row>
        <row r="5121">
          <cell r="A5121">
            <v>0</v>
          </cell>
          <cell r="B5121">
            <v>0</v>
          </cell>
        </row>
        <row r="5122">
          <cell r="A5122">
            <v>0</v>
          </cell>
          <cell r="B5122">
            <v>0</v>
          </cell>
        </row>
        <row r="5123">
          <cell r="A5123">
            <v>0</v>
          </cell>
          <cell r="B5123">
            <v>0</v>
          </cell>
        </row>
        <row r="5124">
          <cell r="A5124">
            <v>0</v>
          </cell>
          <cell r="B5124">
            <v>0</v>
          </cell>
        </row>
        <row r="5125">
          <cell r="A5125">
            <v>0</v>
          </cell>
          <cell r="B5125">
            <v>0</v>
          </cell>
        </row>
        <row r="5126">
          <cell r="A5126">
            <v>0</v>
          </cell>
          <cell r="B5126">
            <v>0</v>
          </cell>
        </row>
        <row r="5127">
          <cell r="A5127">
            <v>0</v>
          </cell>
          <cell r="B5127">
            <v>0</v>
          </cell>
        </row>
        <row r="5128">
          <cell r="A5128">
            <v>0</v>
          </cell>
          <cell r="B5128">
            <v>0</v>
          </cell>
        </row>
        <row r="5129">
          <cell r="A5129">
            <v>0</v>
          </cell>
          <cell r="B5129">
            <v>0</v>
          </cell>
        </row>
        <row r="5130">
          <cell r="A5130">
            <v>0</v>
          </cell>
          <cell r="B5130">
            <v>0</v>
          </cell>
        </row>
        <row r="5131">
          <cell r="A5131">
            <v>0</v>
          </cell>
          <cell r="B5131">
            <v>0</v>
          </cell>
        </row>
        <row r="5132">
          <cell r="A5132">
            <v>0</v>
          </cell>
          <cell r="B5132">
            <v>0</v>
          </cell>
        </row>
        <row r="5133">
          <cell r="A5133">
            <v>0</v>
          </cell>
          <cell r="B5133">
            <v>0</v>
          </cell>
        </row>
        <row r="5134">
          <cell r="A5134">
            <v>0</v>
          </cell>
          <cell r="B5134">
            <v>0</v>
          </cell>
        </row>
        <row r="5135">
          <cell r="A5135">
            <v>0</v>
          </cell>
          <cell r="B5135">
            <v>0</v>
          </cell>
        </row>
        <row r="5136">
          <cell r="A5136">
            <v>0</v>
          </cell>
          <cell r="B5136">
            <v>0</v>
          </cell>
        </row>
        <row r="5137">
          <cell r="A5137">
            <v>0</v>
          </cell>
          <cell r="B5137">
            <v>0</v>
          </cell>
        </row>
        <row r="5138">
          <cell r="A5138">
            <v>0</v>
          </cell>
          <cell r="B5138">
            <v>0</v>
          </cell>
        </row>
        <row r="5139">
          <cell r="A5139">
            <v>0</v>
          </cell>
          <cell r="B5139">
            <v>0</v>
          </cell>
        </row>
        <row r="5140">
          <cell r="A5140">
            <v>0</v>
          </cell>
          <cell r="B5140">
            <v>0</v>
          </cell>
        </row>
        <row r="5141">
          <cell r="A5141">
            <v>0</v>
          </cell>
          <cell r="B5141">
            <v>0</v>
          </cell>
        </row>
        <row r="5142">
          <cell r="A5142">
            <v>0</v>
          </cell>
          <cell r="B5142">
            <v>0</v>
          </cell>
        </row>
        <row r="5143">
          <cell r="A5143">
            <v>0</v>
          </cell>
          <cell r="B5143">
            <v>0</v>
          </cell>
        </row>
        <row r="5144">
          <cell r="A5144">
            <v>0</v>
          </cell>
          <cell r="B5144">
            <v>0</v>
          </cell>
        </row>
        <row r="5145">
          <cell r="A5145">
            <v>0</v>
          </cell>
          <cell r="B5145">
            <v>0</v>
          </cell>
        </row>
        <row r="5146">
          <cell r="A5146">
            <v>0</v>
          </cell>
          <cell r="B5146">
            <v>0</v>
          </cell>
        </row>
        <row r="5147">
          <cell r="A5147">
            <v>0</v>
          </cell>
          <cell r="B5147">
            <v>0</v>
          </cell>
        </row>
        <row r="5148">
          <cell r="A5148">
            <v>0</v>
          </cell>
          <cell r="B5148">
            <v>0</v>
          </cell>
        </row>
        <row r="5149">
          <cell r="A5149">
            <v>0</v>
          </cell>
          <cell r="B5149">
            <v>0</v>
          </cell>
        </row>
        <row r="5150">
          <cell r="A5150">
            <v>0</v>
          </cell>
          <cell r="B5150">
            <v>0</v>
          </cell>
        </row>
        <row r="5151">
          <cell r="A5151">
            <v>0</v>
          </cell>
          <cell r="B5151">
            <v>0</v>
          </cell>
        </row>
        <row r="5152">
          <cell r="A5152">
            <v>0</v>
          </cell>
          <cell r="B5152">
            <v>0</v>
          </cell>
        </row>
        <row r="5153">
          <cell r="A5153">
            <v>0</v>
          </cell>
          <cell r="B5153">
            <v>0</v>
          </cell>
        </row>
        <row r="5154">
          <cell r="A5154">
            <v>0</v>
          </cell>
          <cell r="B5154">
            <v>0</v>
          </cell>
        </row>
        <row r="5155">
          <cell r="A5155">
            <v>0</v>
          </cell>
          <cell r="B5155">
            <v>0</v>
          </cell>
        </row>
        <row r="5156">
          <cell r="A5156">
            <v>0</v>
          </cell>
          <cell r="B5156">
            <v>0</v>
          </cell>
        </row>
        <row r="5157">
          <cell r="A5157">
            <v>0</v>
          </cell>
          <cell r="B5157">
            <v>0</v>
          </cell>
        </row>
        <row r="5158">
          <cell r="A5158">
            <v>0</v>
          </cell>
          <cell r="B5158">
            <v>0</v>
          </cell>
        </row>
        <row r="5159">
          <cell r="A5159">
            <v>0</v>
          </cell>
          <cell r="B5159">
            <v>0</v>
          </cell>
        </row>
        <row r="5160">
          <cell r="A5160">
            <v>0</v>
          </cell>
          <cell r="B5160">
            <v>0</v>
          </cell>
        </row>
        <row r="5161">
          <cell r="A5161">
            <v>0</v>
          </cell>
          <cell r="B5161">
            <v>0</v>
          </cell>
        </row>
        <row r="5162">
          <cell r="A5162">
            <v>0</v>
          </cell>
          <cell r="B5162">
            <v>0</v>
          </cell>
        </row>
        <row r="5163">
          <cell r="A5163">
            <v>0</v>
          </cell>
          <cell r="B5163">
            <v>0</v>
          </cell>
        </row>
        <row r="5164">
          <cell r="A5164">
            <v>0</v>
          </cell>
          <cell r="B5164">
            <v>0</v>
          </cell>
        </row>
        <row r="5165">
          <cell r="A5165">
            <v>0</v>
          </cell>
          <cell r="B5165">
            <v>0</v>
          </cell>
        </row>
        <row r="5166">
          <cell r="A5166">
            <v>0</v>
          </cell>
          <cell r="B5166">
            <v>0</v>
          </cell>
        </row>
        <row r="5167">
          <cell r="A5167">
            <v>0</v>
          </cell>
          <cell r="B5167">
            <v>0</v>
          </cell>
        </row>
        <row r="5168">
          <cell r="A5168">
            <v>0</v>
          </cell>
          <cell r="B5168">
            <v>0</v>
          </cell>
        </row>
        <row r="5169">
          <cell r="A5169">
            <v>0</v>
          </cell>
          <cell r="B5169">
            <v>0</v>
          </cell>
        </row>
        <row r="5170">
          <cell r="A5170">
            <v>0</v>
          </cell>
          <cell r="B5170">
            <v>0</v>
          </cell>
        </row>
        <row r="5171">
          <cell r="A5171">
            <v>0</v>
          </cell>
          <cell r="B5171">
            <v>0</v>
          </cell>
        </row>
        <row r="5172">
          <cell r="A5172">
            <v>0</v>
          </cell>
          <cell r="B5172">
            <v>0</v>
          </cell>
        </row>
        <row r="5173">
          <cell r="A5173">
            <v>0</v>
          </cell>
          <cell r="B5173">
            <v>0</v>
          </cell>
        </row>
        <row r="5174">
          <cell r="A5174">
            <v>0</v>
          </cell>
          <cell r="B5174">
            <v>0</v>
          </cell>
        </row>
        <row r="5175">
          <cell r="A5175">
            <v>0</v>
          </cell>
          <cell r="B5175">
            <v>0</v>
          </cell>
        </row>
        <row r="5176">
          <cell r="A5176">
            <v>0</v>
          </cell>
          <cell r="B5176">
            <v>0</v>
          </cell>
        </row>
        <row r="5177">
          <cell r="A5177">
            <v>0</v>
          </cell>
          <cell r="B5177">
            <v>0</v>
          </cell>
        </row>
        <row r="5178">
          <cell r="A5178">
            <v>0</v>
          </cell>
          <cell r="B5178">
            <v>0</v>
          </cell>
        </row>
        <row r="5179">
          <cell r="A5179">
            <v>0</v>
          </cell>
          <cell r="B5179">
            <v>0</v>
          </cell>
        </row>
        <row r="5180">
          <cell r="A5180">
            <v>0</v>
          </cell>
          <cell r="B5180">
            <v>0</v>
          </cell>
        </row>
        <row r="5181">
          <cell r="A5181">
            <v>0</v>
          </cell>
          <cell r="B5181">
            <v>0</v>
          </cell>
        </row>
        <row r="5182">
          <cell r="A5182">
            <v>0</v>
          </cell>
          <cell r="B5182">
            <v>0</v>
          </cell>
        </row>
        <row r="5183">
          <cell r="A5183">
            <v>0</v>
          </cell>
          <cell r="B5183">
            <v>0</v>
          </cell>
        </row>
        <row r="5184">
          <cell r="A5184">
            <v>0</v>
          </cell>
          <cell r="B5184">
            <v>0</v>
          </cell>
        </row>
        <row r="5185">
          <cell r="A5185">
            <v>0</v>
          </cell>
          <cell r="B5185">
            <v>0</v>
          </cell>
        </row>
        <row r="5186">
          <cell r="A5186">
            <v>0</v>
          </cell>
          <cell r="B5186">
            <v>0</v>
          </cell>
        </row>
        <row r="5187">
          <cell r="A5187">
            <v>0</v>
          </cell>
          <cell r="B5187">
            <v>0</v>
          </cell>
        </row>
        <row r="5188">
          <cell r="A5188">
            <v>0</v>
          </cell>
          <cell r="B5188">
            <v>0</v>
          </cell>
        </row>
        <row r="5189">
          <cell r="A5189">
            <v>0</v>
          </cell>
          <cell r="B5189">
            <v>0</v>
          </cell>
        </row>
        <row r="5190">
          <cell r="A5190">
            <v>0</v>
          </cell>
          <cell r="B5190">
            <v>0</v>
          </cell>
        </row>
        <row r="5191">
          <cell r="A5191">
            <v>0</v>
          </cell>
          <cell r="B5191">
            <v>0</v>
          </cell>
        </row>
        <row r="5192">
          <cell r="A5192">
            <v>0</v>
          </cell>
          <cell r="B5192">
            <v>0</v>
          </cell>
        </row>
        <row r="5193">
          <cell r="A5193">
            <v>0</v>
          </cell>
          <cell r="B5193">
            <v>0</v>
          </cell>
        </row>
        <row r="5194">
          <cell r="A5194">
            <v>0</v>
          </cell>
          <cell r="B5194">
            <v>0</v>
          </cell>
        </row>
        <row r="5195">
          <cell r="A5195">
            <v>0</v>
          </cell>
          <cell r="B5195">
            <v>0</v>
          </cell>
        </row>
        <row r="5196">
          <cell r="A5196">
            <v>0</v>
          </cell>
          <cell r="B5196">
            <v>0</v>
          </cell>
        </row>
        <row r="5197">
          <cell r="A5197">
            <v>0</v>
          </cell>
          <cell r="B5197">
            <v>0</v>
          </cell>
        </row>
        <row r="5198">
          <cell r="A5198">
            <v>0</v>
          </cell>
          <cell r="B5198">
            <v>0</v>
          </cell>
        </row>
        <row r="5199">
          <cell r="A5199">
            <v>0</v>
          </cell>
          <cell r="B5199">
            <v>0</v>
          </cell>
        </row>
        <row r="5200">
          <cell r="A5200">
            <v>0</v>
          </cell>
          <cell r="B5200">
            <v>0</v>
          </cell>
        </row>
        <row r="5201">
          <cell r="A5201">
            <v>0</v>
          </cell>
          <cell r="B5201">
            <v>0</v>
          </cell>
        </row>
        <row r="5202">
          <cell r="A5202">
            <v>0</v>
          </cell>
          <cell r="B5202">
            <v>0</v>
          </cell>
        </row>
        <row r="5203">
          <cell r="A5203">
            <v>0</v>
          </cell>
          <cell r="B5203">
            <v>0</v>
          </cell>
        </row>
        <row r="5204">
          <cell r="A5204">
            <v>0</v>
          </cell>
          <cell r="B5204">
            <v>0</v>
          </cell>
        </row>
        <row r="5205">
          <cell r="A5205">
            <v>0</v>
          </cell>
          <cell r="B5205">
            <v>0</v>
          </cell>
        </row>
        <row r="5206">
          <cell r="A5206">
            <v>0</v>
          </cell>
          <cell r="B5206">
            <v>0</v>
          </cell>
        </row>
        <row r="5207">
          <cell r="A5207">
            <v>0</v>
          </cell>
          <cell r="B5207">
            <v>0</v>
          </cell>
        </row>
        <row r="5208">
          <cell r="A5208">
            <v>0</v>
          </cell>
          <cell r="B5208">
            <v>0</v>
          </cell>
        </row>
        <row r="5209">
          <cell r="A5209">
            <v>0</v>
          </cell>
          <cell r="B5209">
            <v>0</v>
          </cell>
        </row>
        <row r="5210">
          <cell r="A5210">
            <v>0</v>
          </cell>
          <cell r="B5210">
            <v>0</v>
          </cell>
        </row>
        <row r="5211">
          <cell r="A5211">
            <v>0</v>
          </cell>
          <cell r="B5211">
            <v>0</v>
          </cell>
        </row>
        <row r="5212">
          <cell r="A5212">
            <v>0</v>
          </cell>
          <cell r="B5212">
            <v>0</v>
          </cell>
        </row>
        <row r="5213">
          <cell r="A5213">
            <v>0</v>
          </cell>
          <cell r="B5213">
            <v>0</v>
          </cell>
        </row>
        <row r="5214">
          <cell r="A5214">
            <v>0</v>
          </cell>
          <cell r="B5214">
            <v>0</v>
          </cell>
        </row>
        <row r="5215">
          <cell r="A5215">
            <v>0</v>
          </cell>
          <cell r="B5215">
            <v>0</v>
          </cell>
        </row>
        <row r="5216">
          <cell r="A5216">
            <v>0</v>
          </cell>
          <cell r="B5216">
            <v>0</v>
          </cell>
        </row>
        <row r="5217">
          <cell r="A5217">
            <v>0</v>
          </cell>
          <cell r="B5217">
            <v>0</v>
          </cell>
        </row>
        <row r="5218">
          <cell r="A5218">
            <v>0</v>
          </cell>
          <cell r="B5218">
            <v>0</v>
          </cell>
        </row>
        <row r="5219">
          <cell r="A5219">
            <v>0</v>
          </cell>
          <cell r="B5219">
            <v>0</v>
          </cell>
        </row>
        <row r="5220">
          <cell r="A5220">
            <v>0</v>
          </cell>
          <cell r="B5220">
            <v>0</v>
          </cell>
        </row>
        <row r="5221">
          <cell r="A5221">
            <v>0</v>
          </cell>
          <cell r="B5221">
            <v>0</v>
          </cell>
        </row>
        <row r="5222">
          <cell r="A5222">
            <v>0</v>
          </cell>
          <cell r="B5222">
            <v>0</v>
          </cell>
        </row>
        <row r="5223">
          <cell r="A5223">
            <v>0</v>
          </cell>
          <cell r="B5223">
            <v>0</v>
          </cell>
        </row>
        <row r="5224">
          <cell r="A5224">
            <v>0</v>
          </cell>
          <cell r="B5224">
            <v>0</v>
          </cell>
        </row>
        <row r="5225">
          <cell r="A5225">
            <v>0</v>
          </cell>
          <cell r="B5225">
            <v>0</v>
          </cell>
        </row>
        <row r="5226">
          <cell r="A5226">
            <v>0</v>
          </cell>
          <cell r="B5226">
            <v>0</v>
          </cell>
        </row>
        <row r="5227">
          <cell r="A5227">
            <v>0</v>
          </cell>
          <cell r="B5227">
            <v>0</v>
          </cell>
        </row>
        <row r="5228">
          <cell r="A5228">
            <v>0</v>
          </cell>
          <cell r="B5228">
            <v>0</v>
          </cell>
        </row>
        <row r="5229">
          <cell r="A5229">
            <v>0</v>
          </cell>
          <cell r="B5229">
            <v>0</v>
          </cell>
        </row>
        <row r="5230">
          <cell r="A5230">
            <v>0</v>
          </cell>
          <cell r="B5230">
            <v>0</v>
          </cell>
        </row>
        <row r="5231">
          <cell r="A5231">
            <v>0</v>
          </cell>
          <cell r="B5231">
            <v>0</v>
          </cell>
        </row>
        <row r="5232">
          <cell r="A5232">
            <v>0</v>
          </cell>
          <cell r="B5232">
            <v>0</v>
          </cell>
        </row>
        <row r="5233">
          <cell r="A5233">
            <v>0</v>
          </cell>
          <cell r="B5233">
            <v>0</v>
          </cell>
        </row>
        <row r="5234">
          <cell r="A5234">
            <v>0</v>
          </cell>
          <cell r="B5234">
            <v>0</v>
          </cell>
        </row>
        <row r="5235">
          <cell r="A5235">
            <v>0</v>
          </cell>
          <cell r="B5235">
            <v>0</v>
          </cell>
        </row>
        <row r="5236">
          <cell r="A5236">
            <v>0</v>
          </cell>
          <cell r="B5236">
            <v>0</v>
          </cell>
        </row>
        <row r="5237">
          <cell r="A5237">
            <v>0</v>
          </cell>
          <cell r="B5237">
            <v>0</v>
          </cell>
        </row>
        <row r="5238">
          <cell r="A5238">
            <v>0</v>
          </cell>
          <cell r="B5238">
            <v>0</v>
          </cell>
        </row>
        <row r="5239">
          <cell r="A5239">
            <v>0</v>
          </cell>
          <cell r="B5239">
            <v>0</v>
          </cell>
        </row>
        <row r="5240">
          <cell r="A5240">
            <v>0</v>
          </cell>
          <cell r="B5240">
            <v>0</v>
          </cell>
        </row>
        <row r="5241">
          <cell r="A5241">
            <v>0</v>
          </cell>
          <cell r="B5241">
            <v>0</v>
          </cell>
        </row>
        <row r="5242">
          <cell r="A5242">
            <v>0</v>
          </cell>
          <cell r="B5242">
            <v>0</v>
          </cell>
        </row>
        <row r="5243">
          <cell r="A5243">
            <v>0</v>
          </cell>
          <cell r="B5243">
            <v>0</v>
          </cell>
        </row>
        <row r="5244">
          <cell r="A5244">
            <v>0</v>
          </cell>
          <cell r="B5244">
            <v>0</v>
          </cell>
        </row>
        <row r="5245">
          <cell r="A5245">
            <v>0</v>
          </cell>
          <cell r="B5245">
            <v>0</v>
          </cell>
        </row>
        <row r="5246">
          <cell r="A5246">
            <v>0</v>
          </cell>
          <cell r="B5246">
            <v>0</v>
          </cell>
        </row>
        <row r="5247">
          <cell r="A5247">
            <v>0</v>
          </cell>
          <cell r="B5247">
            <v>0</v>
          </cell>
        </row>
        <row r="5248">
          <cell r="A5248">
            <v>0</v>
          </cell>
          <cell r="B5248">
            <v>0</v>
          </cell>
        </row>
        <row r="5249">
          <cell r="A5249">
            <v>0</v>
          </cell>
          <cell r="B5249">
            <v>0</v>
          </cell>
        </row>
        <row r="5250">
          <cell r="A5250">
            <v>0</v>
          </cell>
          <cell r="B5250">
            <v>0</v>
          </cell>
        </row>
        <row r="5251">
          <cell r="A5251">
            <v>0</v>
          </cell>
          <cell r="B5251">
            <v>0</v>
          </cell>
        </row>
        <row r="5252">
          <cell r="A5252">
            <v>0</v>
          </cell>
          <cell r="B5252">
            <v>0</v>
          </cell>
        </row>
        <row r="5253">
          <cell r="A5253">
            <v>0</v>
          </cell>
          <cell r="B5253">
            <v>0</v>
          </cell>
        </row>
        <row r="5254">
          <cell r="A5254">
            <v>0</v>
          </cell>
          <cell r="B5254">
            <v>0</v>
          </cell>
        </row>
        <row r="5255">
          <cell r="A5255">
            <v>0</v>
          </cell>
          <cell r="B5255">
            <v>0</v>
          </cell>
        </row>
        <row r="5256">
          <cell r="A5256">
            <v>0</v>
          </cell>
          <cell r="B5256">
            <v>0</v>
          </cell>
        </row>
        <row r="5257">
          <cell r="A5257">
            <v>0</v>
          </cell>
          <cell r="B5257">
            <v>0</v>
          </cell>
        </row>
        <row r="5258">
          <cell r="A5258">
            <v>0</v>
          </cell>
          <cell r="B5258">
            <v>0</v>
          </cell>
        </row>
        <row r="5259">
          <cell r="A5259">
            <v>0</v>
          </cell>
          <cell r="B5259">
            <v>0</v>
          </cell>
        </row>
        <row r="5260">
          <cell r="A5260">
            <v>0</v>
          </cell>
          <cell r="B5260">
            <v>0</v>
          </cell>
        </row>
        <row r="5261">
          <cell r="A5261">
            <v>0</v>
          </cell>
          <cell r="B5261">
            <v>0</v>
          </cell>
        </row>
        <row r="5262">
          <cell r="A5262">
            <v>0</v>
          </cell>
          <cell r="B5262">
            <v>0</v>
          </cell>
        </row>
        <row r="5263">
          <cell r="A5263">
            <v>0</v>
          </cell>
          <cell r="B5263">
            <v>0</v>
          </cell>
        </row>
        <row r="5264">
          <cell r="A5264">
            <v>0</v>
          </cell>
          <cell r="B5264">
            <v>0</v>
          </cell>
        </row>
        <row r="5265">
          <cell r="A5265">
            <v>0</v>
          </cell>
          <cell r="B5265">
            <v>0</v>
          </cell>
        </row>
        <row r="5266">
          <cell r="A5266">
            <v>0</v>
          </cell>
          <cell r="B5266">
            <v>0</v>
          </cell>
        </row>
        <row r="5267">
          <cell r="A5267">
            <v>0</v>
          </cell>
          <cell r="B5267">
            <v>0</v>
          </cell>
        </row>
        <row r="5268">
          <cell r="A5268">
            <v>0</v>
          </cell>
          <cell r="B5268">
            <v>0</v>
          </cell>
        </row>
        <row r="5269">
          <cell r="A5269">
            <v>0</v>
          </cell>
          <cell r="B5269">
            <v>0</v>
          </cell>
        </row>
        <row r="5270">
          <cell r="A5270">
            <v>0</v>
          </cell>
          <cell r="B5270">
            <v>0</v>
          </cell>
        </row>
        <row r="5271">
          <cell r="A5271">
            <v>0</v>
          </cell>
          <cell r="B5271">
            <v>0</v>
          </cell>
        </row>
        <row r="5272">
          <cell r="A5272">
            <v>0</v>
          </cell>
          <cell r="B5272">
            <v>0</v>
          </cell>
        </row>
        <row r="5273">
          <cell r="A5273">
            <v>0</v>
          </cell>
          <cell r="B5273">
            <v>0</v>
          </cell>
        </row>
        <row r="5274">
          <cell r="A5274">
            <v>0</v>
          </cell>
          <cell r="B5274">
            <v>0</v>
          </cell>
        </row>
        <row r="5275">
          <cell r="A5275">
            <v>0</v>
          </cell>
          <cell r="B5275">
            <v>0</v>
          </cell>
        </row>
        <row r="5276">
          <cell r="A5276">
            <v>0</v>
          </cell>
          <cell r="B5276">
            <v>0</v>
          </cell>
        </row>
        <row r="5277">
          <cell r="A5277">
            <v>0</v>
          </cell>
          <cell r="B5277">
            <v>0</v>
          </cell>
        </row>
        <row r="5278">
          <cell r="A5278">
            <v>0</v>
          </cell>
          <cell r="B5278">
            <v>0</v>
          </cell>
        </row>
        <row r="5279">
          <cell r="A5279">
            <v>0</v>
          </cell>
          <cell r="B5279">
            <v>0</v>
          </cell>
        </row>
        <row r="5280">
          <cell r="A5280">
            <v>0</v>
          </cell>
          <cell r="B5280">
            <v>0</v>
          </cell>
        </row>
        <row r="5281">
          <cell r="A5281">
            <v>0</v>
          </cell>
          <cell r="B5281">
            <v>0</v>
          </cell>
        </row>
        <row r="5282">
          <cell r="A5282">
            <v>0</v>
          </cell>
          <cell r="B5282">
            <v>0</v>
          </cell>
        </row>
        <row r="5283">
          <cell r="A5283">
            <v>0</v>
          </cell>
          <cell r="B5283">
            <v>0</v>
          </cell>
        </row>
        <row r="5284">
          <cell r="A5284">
            <v>0</v>
          </cell>
          <cell r="B5284">
            <v>0</v>
          </cell>
        </row>
        <row r="5285">
          <cell r="A5285">
            <v>0</v>
          </cell>
          <cell r="B5285">
            <v>0</v>
          </cell>
        </row>
        <row r="5286">
          <cell r="A5286">
            <v>0</v>
          </cell>
          <cell r="B5286">
            <v>0</v>
          </cell>
        </row>
        <row r="5287">
          <cell r="A5287">
            <v>0</v>
          </cell>
          <cell r="B5287">
            <v>0</v>
          </cell>
        </row>
        <row r="5288">
          <cell r="A5288">
            <v>0</v>
          </cell>
          <cell r="B5288">
            <v>0</v>
          </cell>
        </row>
        <row r="5289">
          <cell r="A5289">
            <v>0</v>
          </cell>
          <cell r="B5289">
            <v>0</v>
          </cell>
        </row>
        <row r="5290">
          <cell r="A5290">
            <v>0</v>
          </cell>
          <cell r="B5290">
            <v>0</v>
          </cell>
        </row>
        <row r="5291">
          <cell r="A5291">
            <v>0</v>
          </cell>
          <cell r="B5291">
            <v>0</v>
          </cell>
        </row>
        <row r="5292">
          <cell r="A5292">
            <v>0</v>
          </cell>
          <cell r="B5292">
            <v>0</v>
          </cell>
        </row>
        <row r="5293">
          <cell r="A5293">
            <v>0</v>
          </cell>
          <cell r="B5293">
            <v>0</v>
          </cell>
        </row>
        <row r="5294">
          <cell r="A5294">
            <v>0</v>
          </cell>
          <cell r="B5294">
            <v>0</v>
          </cell>
        </row>
        <row r="5295">
          <cell r="A5295">
            <v>0</v>
          </cell>
          <cell r="B5295">
            <v>0</v>
          </cell>
        </row>
        <row r="5296">
          <cell r="A5296">
            <v>0</v>
          </cell>
          <cell r="B5296">
            <v>0</v>
          </cell>
        </row>
        <row r="5297">
          <cell r="A5297">
            <v>0</v>
          </cell>
          <cell r="B5297">
            <v>0</v>
          </cell>
        </row>
        <row r="5298">
          <cell r="A5298">
            <v>0</v>
          </cell>
          <cell r="B5298">
            <v>0</v>
          </cell>
        </row>
        <row r="5299">
          <cell r="A5299">
            <v>0</v>
          </cell>
          <cell r="B5299">
            <v>0</v>
          </cell>
        </row>
        <row r="5300">
          <cell r="A5300">
            <v>0</v>
          </cell>
          <cell r="B5300">
            <v>0</v>
          </cell>
        </row>
        <row r="5301">
          <cell r="A5301">
            <v>0</v>
          </cell>
          <cell r="B5301">
            <v>0</v>
          </cell>
        </row>
        <row r="5302">
          <cell r="A5302">
            <v>0</v>
          </cell>
          <cell r="B5302">
            <v>0</v>
          </cell>
        </row>
        <row r="5303">
          <cell r="A5303">
            <v>0</v>
          </cell>
          <cell r="B5303">
            <v>0</v>
          </cell>
        </row>
        <row r="5304">
          <cell r="A5304">
            <v>0</v>
          </cell>
          <cell r="B5304">
            <v>0</v>
          </cell>
        </row>
        <row r="5305">
          <cell r="A5305">
            <v>0</v>
          </cell>
          <cell r="B5305">
            <v>0</v>
          </cell>
        </row>
        <row r="5306">
          <cell r="A5306">
            <v>0</v>
          </cell>
          <cell r="B5306">
            <v>0</v>
          </cell>
        </row>
        <row r="5307">
          <cell r="A5307">
            <v>0</v>
          </cell>
          <cell r="B5307">
            <v>0</v>
          </cell>
        </row>
        <row r="5308">
          <cell r="A5308">
            <v>0</v>
          </cell>
          <cell r="B5308">
            <v>0</v>
          </cell>
        </row>
        <row r="5309">
          <cell r="A5309">
            <v>0</v>
          </cell>
          <cell r="B5309">
            <v>0</v>
          </cell>
        </row>
        <row r="5310">
          <cell r="A5310">
            <v>0</v>
          </cell>
          <cell r="B5310">
            <v>0</v>
          </cell>
        </row>
        <row r="5311">
          <cell r="A5311">
            <v>0</v>
          </cell>
          <cell r="B5311">
            <v>0</v>
          </cell>
        </row>
        <row r="5312">
          <cell r="A5312">
            <v>0</v>
          </cell>
          <cell r="B5312">
            <v>0</v>
          </cell>
        </row>
        <row r="5313">
          <cell r="A5313">
            <v>0</v>
          </cell>
          <cell r="B5313">
            <v>0</v>
          </cell>
        </row>
        <row r="5314">
          <cell r="A5314">
            <v>0</v>
          </cell>
          <cell r="B5314">
            <v>0</v>
          </cell>
        </row>
        <row r="5315">
          <cell r="A5315">
            <v>0</v>
          </cell>
          <cell r="B5315">
            <v>0</v>
          </cell>
        </row>
        <row r="5316">
          <cell r="A5316">
            <v>0</v>
          </cell>
          <cell r="B5316">
            <v>0</v>
          </cell>
        </row>
        <row r="5317">
          <cell r="A5317">
            <v>0</v>
          </cell>
          <cell r="B5317">
            <v>0</v>
          </cell>
        </row>
        <row r="5318">
          <cell r="A5318">
            <v>0</v>
          </cell>
          <cell r="B5318">
            <v>0</v>
          </cell>
        </row>
        <row r="5319">
          <cell r="A5319">
            <v>0</v>
          </cell>
          <cell r="B5319">
            <v>0</v>
          </cell>
        </row>
        <row r="5320">
          <cell r="A5320">
            <v>0</v>
          </cell>
          <cell r="B5320">
            <v>0</v>
          </cell>
        </row>
        <row r="5321">
          <cell r="A5321">
            <v>0</v>
          </cell>
          <cell r="B5321">
            <v>0</v>
          </cell>
        </row>
        <row r="5322">
          <cell r="A5322">
            <v>0</v>
          </cell>
          <cell r="B5322">
            <v>0</v>
          </cell>
        </row>
        <row r="5323">
          <cell r="A5323">
            <v>0</v>
          </cell>
          <cell r="B5323">
            <v>0</v>
          </cell>
        </row>
        <row r="5324">
          <cell r="A5324">
            <v>0</v>
          </cell>
          <cell r="B5324">
            <v>0</v>
          </cell>
        </row>
        <row r="5325">
          <cell r="A5325">
            <v>0</v>
          </cell>
          <cell r="B5325">
            <v>0</v>
          </cell>
        </row>
        <row r="5326">
          <cell r="A5326">
            <v>0</v>
          </cell>
          <cell r="B5326">
            <v>0</v>
          </cell>
        </row>
        <row r="5327">
          <cell r="A5327">
            <v>0</v>
          </cell>
          <cell r="B5327">
            <v>0</v>
          </cell>
        </row>
        <row r="5328">
          <cell r="A5328">
            <v>0</v>
          </cell>
          <cell r="B5328">
            <v>0</v>
          </cell>
        </row>
        <row r="5329">
          <cell r="A5329">
            <v>0</v>
          </cell>
          <cell r="B5329">
            <v>0</v>
          </cell>
        </row>
        <row r="5330">
          <cell r="A5330">
            <v>0</v>
          </cell>
          <cell r="B5330">
            <v>0</v>
          </cell>
        </row>
        <row r="5331">
          <cell r="A5331">
            <v>0</v>
          </cell>
          <cell r="B5331">
            <v>0</v>
          </cell>
        </row>
        <row r="5332">
          <cell r="A5332">
            <v>0</v>
          </cell>
          <cell r="B5332">
            <v>0</v>
          </cell>
        </row>
        <row r="5333">
          <cell r="A5333">
            <v>0</v>
          </cell>
          <cell r="B5333">
            <v>0</v>
          </cell>
        </row>
        <row r="5334">
          <cell r="A5334">
            <v>0</v>
          </cell>
          <cell r="B5334">
            <v>0</v>
          </cell>
        </row>
        <row r="5335">
          <cell r="A5335">
            <v>0</v>
          </cell>
          <cell r="B5335">
            <v>0</v>
          </cell>
        </row>
        <row r="5336">
          <cell r="A5336">
            <v>0</v>
          </cell>
          <cell r="B5336">
            <v>0</v>
          </cell>
        </row>
        <row r="5337">
          <cell r="A5337">
            <v>0</v>
          </cell>
          <cell r="B5337">
            <v>0</v>
          </cell>
        </row>
        <row r="5338">
          <cell r="A5338">
            <v>0</v>
          </cell>
          <cell r="B5338">
            <v>0</v>
          </cell>
        </row>
        <row r="5339">
          <cell r="A5339">
            <v>0</v>
          </cell>
          <cell r="B5339">
            <v>0</v>
          </cell>
        </row>
        <row r="5340">
          <cell r="A5340">
            <v>0</v>
          </cell>
          <cell r="B5340">
            <v>0</v>
          </cell>
        </row>
        <row r="5341">
          <cell r="A5341">
            <v>0</v>
          </cell>
          <cell r="B5341">
            <v>0</v>
          </cell>
        </row>
        <row r="5342">
          <cell r="A5342">
            <v>0</v>
          </cell>
          <cell r="B5342">
            <v>0</v>
          </cell>
        </row>
        <row r="5343">
          <cell r="A5343">
            <v>0</v>
          </cell>
          <cell r="B5343">
            <v>0</v>
          </cell>
        </row>
        <row r="5344">
          <cell r="A5344">
            <v>0</v>
          </cell>
          <cell r="B5344">
            <v>0</v>
          </cell>
        </row>
        <row r="5345">
          <cell r="A5345">
            <v>0</v>
          </cell>
          <cell r="B5345">
            <v>0</v>
          </cell>
        </row>
        <row r="5346">
          <cell r="A5346">
            <v>0</v>
          </cell>
          <cell r="B5346">
            <v>0</v>
          </cell>
        </row>
        <row r="5347">
          <cell r="A5347">
            <v>0</v>
          </cell>
          <cell r="B5347">
            <v>0</v>
          </cell>
        </row>
        <row r="5348">
          <cell r="A5348">
            <v>0</v>
          </cell>
          <cell r="B5348">
            <v>0</v>
          </cell>
        </row>
        <row r="5349">
          <cell r="A5349">
            <v>0</v>
          </cell>
          <cell r="B5349">
            <v>0</v>
          </cell>
        </row>
        <row r="5350">
          <cell r="A5350">
            <v>0</v>
          </cell>
          <cell r="B5350">
            <v>0</v>
          </cell>
        </row>
        <row r="5351">
          <cell r="A5351">
            <v>0</v>
          </cell>
          <cell r="B5351">
            <v>0</v>
          </cell>
        </row>
        <row r="5352">
          <cell r="A5352">
            <v>0</v>
          </cell>
          <cell r="B5352">
            <v>0</v>
          </cell>
        </row>
        <row r="5353">
          <cell r="A5353">
            <v>0</v>
          </cell>
          <cell r="B5353">
            <v>0</v>
          </cell>
        </row>
        <row r="5354">
          <cell r="A5354">
            <v>0</v>
          </cell>
          <cell r="B5354">
            <v>0</v>
          </cell>
        </row>
        <row r="5355">
          <cell r="A5355">
            <v>0</v>
          </cell>
          <cell r="B5355">
            <v>0</v>
          </cell>
        </row>
        <row r="5356">
          <cell r="A5356">
            <v>0</v>
          </cell>
          <cell r="B5356">
            <v>0</v>
          </cell>
        </row>
        <row r="5357">
          <cell r="A5357">
            <v>0</v>
          </cell>
          <cell r="B5357">
            <v>0</v>
          </cell>
        </row>
        <row r="5358">
          <cell r="A5358">
            <v>0</v>
          </cell>
          <cell r="B5358">
            <v>0</v>
          </cell>
        </row>
        <row r="5359">
          <cell r="A5359">
            <v>0</v>
          </cell>
          <cell r="B5359">
            <v>0</v>
          </cell>
        </row>
        <row r="5360">
          <cell r="A5360">
            <v>0</v>
          </cell>
          <cell r="B5360">
            <v>0</v>
          </cell>
        </row>
        <row r="5361">
          <cell r="A5361">
            <v>0</v>
          </cell>
          <cell r="B5361">
            <v>0</v>
          </cell>
        </row>
        <row r="5362">
          <cell r="A5362">
            <v>0</v>
          </cell>
          <cell r="B5362">
            <v>0</v>
          </cell>
        </row>
        <row r="5363">
          <cell r="A5363">
            <v>0</v>
          </cell>
          <cell r="B5363">
            <v>0</v>
          </cell>
        </row>
        <row r="5364">
          <cell r="A5364">
            <v>0</v>
          </cell>
          <cell r="B5364">
            <v>0</v>
          </cell>
        </row>
        <row r="5365">
          <cell r="A5365">
            <v>0</v>
          </cell>
          <cell r="B5365">
            <v>0</v>
          </cell>
        </row>
        <row r="5366">
          <cell r="A5366">
            <v>0</v>
          </cell>
          <cell r="B5366">
            <v>0</v>
          </cell>
        </row>
        <row r="5367">
          <cell r="A5367">
            <v>0</v>
          </cell>
          <cell r="B5367">
            <v>0</v>
          </cell>
        </row>
        <row r="5368">
          <cell r="A5368">
            <v>0</v>
          </cell>
          <cell r="B5368">
            <v>0</v>
          </cell>
        </row>
        <row r="5369">
          <cell r="A5369">
            <v>0</v>
          </cell>
          <cell r="B5369">
            <v>0</v>
          </cell>
        </row>
        <row r="5370">
          <cell r="A5370">
            <v>0</v>
          </cell>
          <cell r="B5370">
            <v>0</v>
          </cell>
        </row>
        <row r="5371">
          <cell r="A5371">
            <v>0</v>
          </cell>
          <cell r="B5371">
            <v>0</v>
          </cell>
        </row>
        <row r="5372">
          <cell r="A5372">
            <v>0</v>
          </cell>
          <cell r="B5372">
            <v>0</v>
          </cell>
        </row>
        <row r="5373">
          <cell r="A5373">
            <v>0</v>
          </cell>
          <cell r="B5373">
            <v>0</v>
          </cell>
        </row>
        <row r="5374">
          <cell r="A5374">
            <v>0</v>
          </cell>
          <cell r="B5374">
            <v>0</v>
          </cell>
        </row>
        <row r="5375">
          <cell r="A5375">
            <v>0</v>
          </cell>
          <cell r="B5375">
            <v>0</v>
          </cell>
        </row>
        <row r="5376">
          <cell r="A5376">
            <v>0</v>
          </cell>
          <cell r="B5376">
            <v>0</v>
          </cell>
        </row>
        <row r="5377">
          <cell r="A5377">
            <v>0</v>
          </cell>
          <cell r="B5377">
            <v>0</v>
          </cell>
        </row>
        <row r="5378">
          <cell r="A5378">
            <v>0</v>
          </cell>
          <cell r="B5378">
            <v>0</v>
          </cell>
        </row>
        <row r="5379">
          <cell r="A5379">
            <v>0</v>
          </cell>
          <cell r="B5379">
            <v>0</v>
          </cell>
        </row>
        <row r="5380">
          <cell r="A5380">
            <v>0</v>
          </cell>
          <cell r="B5380">
            <v>0</v>
          </cell>
        </row>
        <row r="5381">
          <cell r="A5381">
            <v>0</v>
          </cell>
          <cell r="B5381">
            <v>0</v>
          </cell>
        </row>
        <row r="5382">
          <cell r="A5382">
            <v>0</v>
          </cell>
          <cell r="B5382">
            <v>0</v>
          </cell>
        </row>
        <row r="5383">
          <cell r="A5383">
            <v>0</v>
          </cell>
          <cell r="B5383">
            <v>0</v>
          </cell>
        </row>
        <row r="5384">
          <cell r="A5384">
            <v>0</v>
          </cell>
          <cell r="B5384">
            <v>0</v>
          </cell>
        </row>
        <row r="5385">
          <cell r="A5385">
            <v>0</v>
          </cell>
          <cell r="B5385">
            <v>0</v>
          </cell>
        </row>
        <row r="5386">
          <cell r="A5386">
            <v>0</v>
          </cell>
          <cell r="B5386">
            <v>0</v>
          </cell>
        </row>
        <row r="5387">
          <cell r="A5387">
            <v>0</v>
          </cell>
          <cell r="B5387">
            <v>0</v>
          </cell>
        </row>
        <row r="5388">
          <cell r="A5388">
            <v>0</v>
          </cell>
          <cell r="B5388">
            <v>0</v>
          </cell>
        </row>
        <row r="5389">
          <cell r="A5389">
            <v>0</v>
          </cell>
          <cell r="B5389">
            <v>0</v>
          </cell>
        </row>
        <row r="5390">
          <cell r="A5390">
            <v>0</v>
          </cell>
          <cell r="B5390">
            <v>0</v>
          </cell>
        </row>
        <row r="5391">
          <cell r="A5391">
            <v>0</v>
          </cell>
          <cell r="B5391">
            <v>0</v>
          </cell>
        </row>
        <row r="5392">
          <cell r="A5392">
            <v>0</v>
          </cell>
          <cell r="B5392">
            <v>0</v>
          </cell>
        </row>
        <row r="5393">
          <cell r="A5393">
            <v>0</v>
          </cell>
          <cell r="B5393">
            <v>0</v>
          </cell>
        </row>
        <row r="5394">
          <cell r="A5394">
            <v>0</v>
          </cell>
          <cell r="B5394">
            <v>0</v>
          </cell>
        </row>
        <row r="5395">
          <cell r="A5395">
            <v>0</v>
          </cell>
          <cell r="B5395">
            <v>0</v>
          </cell>
        </row>
        <row r="5396">
          <cell r="A5396">
            <v>0</v>
          </cell>
          <cell r="B5396">
            <v>0</v>
          </cell>
        </row>
        <row r="5397">
          <cell r="A5397">
            <v>0</v>
          </cell>
          <cell r="B5397">
            <v>0</v>
          </cell>
        </row>
        <row r="5398">
          <cell r="A5398">
            <v>0</v>
          </cell>
          <cell r="B5398">
            <v>0</v>
          </cell>
        </row>
        <row r="5399">
          <cell r="A5399">
            <v>0</v>
          </cell>
          <cell r="B5399">
            <v>0</v>
          </cell>
        </row>
        <row r="5400">
          <cell r="A5400">
            <v>0</v>
          </cell>
          <cell r="B5400">
            <v>0</v>
          </cell>
        </row>
        <row r="5401">
          <cell r="A5401">
            <v>0</v>
          </cell>
          <cell r="B5401">
            <v>0</v>
          </cell>
        </row>
        <row r="5402">
          <cell r="A5402">
            <v>0</v>
          </cell>
          <cell r="B5402">
            <v>0</v>
          </cell>
        </row>
        <row r="5403">
          <cell r="A5403">
            <v>0</v>
          </cell>
          <cell r="B5403">
            <v>0</v>
          </cell>
        </row>
        <row r="5404">
          <cell r="A5404">
            <v>0</v>
          </cell>
          <cell r="B5404">
            <v>0</v>
          </cell>
        </row>
        <row r="5405">
          <cell r="A5405">
            <v>0</v>
          </cell>
          <cell r="B5405">
            <v>0</v>
          </cell>
        </row>
        <row r="5406">
          <cell r="A5406">
            <v>0</v>
          </cell>
          <cell r="B5406">
            <v>0</v>
          </cell>
        </row>
        <row r="5407">
          <cell r="A5407">
            <v>0</v>
          </cell>
          <cell r="B5407">
            <v>0</v>
          </cell>
        </row>
        <row r="5408">
          <cell r="A5408">
            <v>0</v>
          </cell>
          <cell r="B5408">
            <v>0</v>
          </cell>
        </row>
        <row r="5409">
          <cell r="A5409">
            <v>0</v>
          </cell>
          <cell r="B5409">
            <v>0</v>
          </cell>
        </row>
        <row r="5410">
          <cell r="A5410">
            <v>0</v>
          </cell>
          <cell r="B5410">
            <v>0</v>
          </cell>
        </row>
        <row r="5411">
          <cell r="A5411">
            <v>0</v>
          </cell>
          <cell r="B5411">
            <v>0</v>
          </cell>
        </row>
        <row r="5412">
          <cell r="A5412">
            <v>0</v>
          </cell>
          <cell r="B5412">
            <v>0</v>
          </cell>
        </row>
        <row r="5413">
          <cell r="A5413">
            <v>0</v>
          </cell>
          <cell r="B5413">
            <v>0</v>
          </cell>
        </row>
        <row r="5414">
          <cell r="A5414">
            <v>0</v>
          </cell>
          <cell r="B5414">
            <v>0</v>
          </cell>
        </row>
        <row r="5415">
          <cell r="A5415">
            <v>0</v>
          </cell>
          <cell r="B5415">
            <v>0</v>
          </cell>
        </row>
        <row r="5416">
          <cell r="A5416">
            <v>0</v>
          </cell>
          <cell r="B5416">
            <v>0</v>
          </cell>
        </row>
        <row r="5417">
          <cell r="A5417">
            <v>0</v>
          </cell>
          <cell r="B5417">
            <v>0</v>
          </cell>
        </row>
        <row r="5418">
          <cell r="A5418">
            <v>0</v>
          </cell>
          <cell r="B5418">
            <v>0</v>
          </cell>
        </row>
        <row r="5419">
          <cell r="A5419">
            <v>0</v>
          </cell>
          <cell r="B5419">
            <v>0</v>
          </cell>
        </row>
        <row r="5420">
          <cell r="A5420">
            <v>0</v>
          </cell>
          <cell r="B5420">
            <v>0</v>
          </cell>
        </row>
        <row r="5421">
          <cell r="A5421">
            <v>0</v>
          </cell>
          <cell r="B5421">
            <v>0</v>
          </cell>
        </row>
        <row r="5422">
          <cell r="A5422">
            <v>0</v>
          </cell>
          <cell r="B5422">
            <v>0</v>
          </cell>
        </row>
        <row r="5423">
          <cell r="A5423">
            <v>0</v>
          </cell>
          <cell r="B5423">
            <v>0</v>
          </cell>
        </row>
        <row r="5424">
          <cell r="A5424">
            <v>0</v>
          </cell>
          <cell r="B5424">
            <v>0</v>
          </cell>
        </row>
        <row r="5425">
          <cell r="A5425">
            <v>0</v>
          </cell>
          <cell r="B5425">
            <v>0</v>
          </cell>
        </row>
        <row r="5426">
          <cell r="A5426">
            <v>0</v>
          </cell>
          <cell r="B5426">
            <v>0</v>
          </cell>
        </row>
        <row r="5427">
          <cell r="A5427">
            <v>0</v>
          </cell>
          <cell r="B5427">
            <v>0</v>
          </cell>
        </row>
        <row r="5428">
          <cell r="A5428">
            <v>0</v>
          </cell>
          <cell r="B5428">
            <v>0</v>
          </cell>
        </row>
        <row r="5429">
          <cell r="A5429">
            <v>0</v>
          </cell>
          <cell r="B5429">
            <v>0</v>
          </cell>
        </row>
        <row r="5430">
          <cell r="A5430">
            <v>0</v>
          </cell>
          <cell r="B5430">
            <v>0</v>
          </cell>
        </row>
        <row r="5431">
          <cell r="A5431">
            <v>0</v>
          </cell>
          <cell r="B5431">
            <v>0</v>
          </cell>
        </row>
        <row r="5432">
          <cell r="A5432">
            <v>0</v>
          </cell>
          <cell r="B5432">
            <v>0</v>
          </cell>
        </row>
        <row r="5433">
          <cell r="A5433">
            <v>0</v>
          </cell>
          <cell r="B5433">
            <v>0</v>
          </cell>
        </row>
        <row r="5434">
          <cell r="A5434">
            <v>0</v>
          </cell>
          <cell r="B5434">
            <v>0</v>
          </cell>
        </row>
        <row r="5435">
          <cell r="A5435">
            <v>0</v>
          </cell>
          <cell r="B5435">
            <v>0</v>
          </cell>
        </row>
        <row r="5436">
          <cell r="A5436">
            <v>0</v>
          </cell>
          <cell r="B5436">
            <v>0</v>
          </cell>
        </row>
        <row r="5437">
          <cell r="A5437">
            <v>0</v>
          </cell>
          <cell r="B5437">
            <v>0</v>
          </cell>
        </row>
        <row r="5438">
          <cell r="A5438">
            <v>0</v>
          </cell>
          <cell r="B5438">
            <v>0</v>
          </cell>
        </row>
        <row r="5439">
          <cell r="A5439">
            <v>0</v>
          </cell>
          <cell r="B5439">
            <v>0</v>
          </cell>
        </row>
        <row r="5440">
          <cell r="A5440">
            <v>0</v>
          </cell>
          <cell r="B5440">
            <v>0</v>
          </cell>
        </row>
        <row r="5441">
          <cell r="A5441">
            <v>0</v>
          </cell>
          <cell r="B5441">
            <v>0</v>
          </cell>
        </row>
        <row r="5442">
          <cell r="A5442">
            <v>0</v>
          </cell>
          <cell r="B5442">
            <v>0</v>
          </cell>
        </row>
        <row r="5443">
          <cell r="A5443">
            <v>0</v>
          </cell>
          <cell r="B5443">
            <v>0</v>
          </cell>
        </row>
        <row r="5444">
          <cell r="A5444">
            <v>0</v>
          </cell>
          <cell r="B5444">
            <v>0</v>
          </cell>
        </row>
        <row r="5445">
          <cell r="A5445">
            <v>0</v>
          </cell>
          <cell r="B5445">
            <v>0</v>
          </cell>
        </row>
        <row r="5446">
          <cell r="A5446">
            <v>0</v>
          </cell>
          <cell r="B5446">
            <v>0</v>
          </cell>
        </row>
        <row r="5447">
          <cell r="A5447">
            <v>0</v>
          </cell>
          <cell r="B5447">
            <v>0</v>
          </cell>
        </row>
        <row r="5448">
          <cell r="A5448">
            <v>0</v>
          </cell>
          <cell r="B5448">
            <v>0</v>
          </cell>
        </row>
        <row r="5449">
          <cell r="A5449">
            <v>0</v>
          </cell>
          <cell r="B5449">
            <v>0</v>
          </cell>
        </row>
        <row r="5450">
          <cell r="A5450">
            <v>0</v>
          </cell>
          <cell r="B5450">
            <v>0</v>
          </cell>
        </row>
        <row r="5451">
          <cell r="A5451">
            <v>0</v>
          </cell>
          <cell r="B5451">
            <v>0</v>
          </cell>
        </row>
        <row r="5452">
          <cell r="A5452">
            <v>0</v>
          </cell>
          <cell r="B5452">
            <v>0</v>
          </cell>
        </row>
        <row r="5453">
          <cell r="A5453">
            <v>0</v>
          </cell>
          <cell r="B5453">
            <v>0</v>
          </cell>
        </row>
        <row r="5454">
          <cell r="A5454">
            <v>0</v>
          </cell>
          <cell r="B5454">
            <v>0</v>
          </cell>
        </row>
        <row r="5455">
          <cell r="A5455">
            <v>0</v>
          </cell>
          <cell r="B5455">
            <v>0</v>
          </cell>
        </row>
        <row r="5456">
          <cell r="A5456">
            <v>0</v>
          </cell>
          <cell r="B5456">
            <v>0</v>
          </cell>
        </row>
        <row r="5457">
          <cell r="A5457">
            <v>0</v>
          </cell>
          <cell r="B5457">
            <v>0</v>
          </cell>
        </row>
        <row r="5458">
          <cell r="A5458">
            <v>0</v>
          </cell>
          <cell r="B5458">
            <v>0</v>
          </cell>
        </row>
        <row r="5459">
          <cell r="A5459">
            <v>0</v>
          </cell>
          <cell r="B5459">
            <v>0</v>
          </cell>
        </row>
        <row r="5460">
          <cell r="A5460">
            <v>0</v>
          </cell>
          <cell r="B5460">
            <v>0</v>
          </cell>
        </row>
        <row r="5461">
          <cell r="A5461">
            <v>0</v>
          </cell>
          <cell r="B5461">
            <v>0</v>
          </cell>
        </row>
        <row r="5462">
          <cell r="A5462">
            <v>0</v>
          </cell>
          <cell r="B5462">
            <v>0</v>
          </cell>
        </row>
        <row r="5463">
          <cell r="A5463">
            <v>0</v>
          </cell>
          <cell r="B5463">
            <v>0</v>
          </cell>
        </row>
        <row r="5464">
          <cell r="A5464">
            <v>0</v>
          </cell>
          <cell r="B5464">
            <v>0</v>
          </cell>
        </row>
        <row r="5465">
          <cell r="A5465">
            <v>0</v>
          </cell>
          <cell r="B5465">
            <v>0</v>
          </cell>
        </row>
        <row r="5466">
          <cell r="A5466">
            <v>0</v>
          </cell>
          <cell r="B5466">
            <v>0</v>
          </cell>
        </row>
        <row r="5467">
          <cell r="A5467">
            <v>0</v>
          </cell>
          <cell r="B5467">
            <v>0</v>
          </cell>
        </row>
        <row r="5468">
          <cell r="A5468">
            <v>0</v>
          </cell>
          <cell r="B5468">
            <v>0</v>
          </cell>
        </row>
        <row r="5469">
          <cell r="A5469">
            <v>0</v>
          </cell>
          <cell r="B5469">
            <v>0</v>
          </cell>
        </row>
        <row r="5470">
          <cell r="A5470">
            <v>0</v>
          </cell>
          <cell r="B5470">
            <v>0</v>
          </cell>
        </row>
        <row r="5471">
          <cell r="A5471">
            <v>0</v>
          </cell>
          <cell r="B5471">
            <v>0</v>
          </cell>
        </row>
        <row r="5472">
          <cell r="A5472">
            <v>0</v>
          </cell>
          <cell r="B5472">
            <v>0</v>
          </cell>
        </row>
        <row r="5473">
          <cell r="A5473">
            <v>0</v>
          </cell>
          <cell r="B5473">
            <v>0</v>
          </cell>
        </row>
        <row r="5474">
          <cell r="A5474">
            <v>0</v>
          </cell>
          <cell r="B5474">
            <v>0</v>
          </cell>
        </row>
        <row r="5475">
          <cell r="A5475">
            <v>0</v>
          </cell>
          <cell r="B5475">
            <v>0</v>
          </cell>
        </row>
        <row r="5476">
          <cell r="A5476">
            <v>0</v>
          </cell>
          <cell r="B5476">
            <v>0</v>
          </cell>
        </row>
        <row r="5477">
          <cell r="A5477">
            <v>0</v>
          </cell>
          <cell r="B5477">
            <v>0</v>
          </cell>
        </row>
        <row r="5478">
          <cell r="A5478">
            <v>0</v>
          </cell>
          <cell r="B5478">
            <v>0</v>
          </cell>
        </row>
        <row r="5479">
          <cell r="A5479">
            <v>0</v>
          </cell>
          <cell r="B5479">
            <v>0</v>
          </cell>
        </row>
        <row r="5480">
          <cell r="A5480">
            <v>0</v>
          </cell>
          <cell r="B5480">
            <v>0</v>
          </cell>
        </row>
        <row r="5481">
          <cell r="A5481">
            <v>0</v>
          </cell>
          <cell r="B5481">
            <v>0</v>
          </cell>
        </row>
        <row r="5482">
          <cell r="A5482">
            <v>0</v>
          </cell>
          <cell r="B5482">
            <v>0</v>
          </cell>
        </row>
        <row r="5483">
          <cell r="A5483">
            <v>0</v>
          </cell>
          <cell r="B5483">
            <v>0</v>
          </cell>
        </row>
        <row r="5484">
          <cell r="A5484">
            <v>0</v>
          </cell>
          <cell r="B5484">
            <v>0</v>
          </cell>
        </row>
        <row r="5485">
          <cell r="A5485">
            <v>0</v>
          </cell>
          <cell r="B5485">
            <v>0</v>
          </cell>
        </row>
        <row r="5486">
          <cell r="A5486">
            <v>0</v>
          </cell>
          <cell r="B5486">
            <v>0</v>
          </cell>
        </row>
        <row r="5487">
          <cell r="A5487">
            <v>0</v>
          </cell>
          <cell r="B5487">
            <v>0</v>
          </cell>
        </row>
        <row r="5488">
          <cell r="A5488">
            <v>0</v>
          </cell>
          <cell r="B5488">
            <v>0</v>
          </cell>
        </row>
        <row r="5489">
          <cell r="A5489">
            <v>0</v>
          </cell>
          <cell r="B5489">
            <v>0</v>
          </cell>
        </row>
        <row r="5490">
          <cell r="A5490">
            <v>0</v>
          </cell>
          <cell r="B5490">
            <v>0</v>
          </cell>
        </row>
        <row r="5491">
          <cell r="A5491">
            <v>0</v>
          </cell>
          <cell r="B5491">
            <v>0</v>
          </cell>
        </row>
        <row r="5492">
          <cell r="A5492">
            <v>0</v>
          </cell>
          <cell r="B5492">
            <v>0</v>
          </cell>
        </row>
        <row r="5493">
          <cell r="A5493">
            <v>0</v>
          </cell>
          <cell r="B5493">
            <v>0</v>
          </cell>
        </row>
        <row r="5494">
          <cell r="A5494">
            <v>0</v>
          </cell>
          <cell r="B5494">
            <v>0</v>
          </cell>
        </row>
        <row r="5495">
          <cell r="A5495">
            <v>0</v>
          </cell>
          <cell r="B5495">
            <v>0</v>
          </cell>
        </row>
        <row r="5496">
          <cell r="A5496">
            <v>0</v>
          </cell>
          <cell r="B5496">
            <v>0</v>
          </cell>
        </row>
        <row r="5497">
          <cell r="A5497">
            <v>0</v>
          </cell>
          <cell r="B5497">
            <v>0</v>
          </cell>
        </row>
        <row r="5498">
          <cell r="A5498">
            <v>0</v>
          </cell>
          <cell r="B5498">
            <v>0</v>
          </cell>
        </row>
        <row r="5499">
          <cell r="A5499">
            <v>0</v>
          </cell>
          <cell r="B5499">
            <v>0</v>
          </cell>
        </row>
        <row r="5500">
          <cell r="A5500">
            <v>0</v>
          </cell>
          <cell r="B5500">
            <v>0</v>
          </cell>
        </row>
        <row r="5501">
          <cell r="A5501">
            <v>0</v>
          </cell>
          <cell r="B5501">
            <v>0</v>
          </cell>
        </row>
        <row r="5502">
          <cell r="A5502">
            <v>0</v>
          </cell>
          <cell r="B5502">
            <v>0</v>
          </cell>
        </row>
        <row r="5503">
          <cell r="A5503">
            <v>0</v>
          </cell>
          <cell r="B5503">
            <v>0</v>
          </cell>
        </row>
        <row r="5504">
          <cell r="A5504">
            <v>0</v>
          </cell>
          <cell r="B5504">
            <v>0</v>
          </cell>
        </row>
        <row r="5505">
          <cell r="A5505">
            <v>0</v>
          </cell>
          <cell r="B5505">
            <v>0</v>
          </cell>
        </row>
        <row r="5506">
          <cell r="A5506">
            <v>0</v>
          </cell>
          <cell r="B5506">
            <v>0</v>
          </cell>
        </row>
        <row r="5507">
          <cell r="A5507">
            <v>0</v>
          </cell>
          <cell r="B5507">
            <v>0</v>
          </cell>
        </row>
        <row r="5508">
          <cell r="A5508">
            <v>0</v>
          </cell>
          <cell r="B5508">
            <v>0</v>
          </cell>
        </row>
        <row r="5509">
          <cell r="A5509">
            <v>0</v>
          </cell>
          <cell r="B5509">
            <v>0</v>
          </cell>
        </row>
        <row r="5510">
          <cell r="A5510">
            <v>0</v>
          </cell>
          <cell r="B5510">
            <v>0</v>
          </cell>
        </row>
        <row r="5511">
          <cell r="A5511">
            <v>0</v>
          </cell>
          <cell r="B5511">
            <v>0</v>
          </cell>
        </row>
        <row r="5512">
          <cell r="A5512">
            <v>0</v>
          </cell>
          <cell r="B5512">
            <v>0</v>
          </cell>
        </row>
        <row r="5513">
          <cell r="A5513">
            <v>0</v>
          </cell>
          <cell r="B5513">
            <v>0</v>
          </cell>
        </row>
        <row r="5514">
          <cell r="A5514">
            <v>0</v>
          </cell>
          <cell r="B5514">
            <v>0</v>
          </cell>
        </row>
        <row r="5515">
          <cell r="A5515">
            <v>0</v>
          </cell>
          <cell r="B5515">
            <v>0</v>
          </cell>
        </row>
        <row r="5516">
          <cell r="A5516">
            <v>0</v>
          </cell>
          <cell r="B5516">
            <v>0</v>
          </cell>
        </row>
        <row r="5517">
          <cell r="A5517">
            <v>0</v>
          </cell>
          <cell r="B5517">
            <v>0</v>
          </cell>
        </row>
        <row r="5518">
          <cell r="A5518">
            <v>0</v>
          </cell>
          <cell r="B5518">
            <v>0</v>
          </cell>
        </row>
        <row r="5519">
          <cell r="A5519">
            <v>0</v>
          </cell>
          <cell r="B5519">
            <v>0</v>
          </cell>
        </row>
        <row r="5520">
          <cell r="A5520">
            <v>0</v>
          </cell>
          <cell r="B5520">
            <v>0</v>
          </cell>
        </row>
        <row r="5521">
          <cell r="A5521">
            <v>0</v>
          </cell>
          <cell r="B5521">
            <v>0</v>
          </cell>
        </row>
        <row r="5522">
          <cell r="A5522">
            <v>0</v>
          </cell>
          <cell r="B5522">
            <v>0</v>
          </cell>
        </row>
        <row r="5523">
          <cell r="A5523">
            <v>0</v>
          </cell>
          <cell r="B5523">
            <v>0</v>
          </cell>
        </row>
        <row r="5524">
          <cell r="A5524">
            <v>0</v>
          </cell>
          <cell r="B5524">
            <v>0</v>
          </cell>
        </row>
        <row r="5525">
          <cell r="A5525">
            <v>0</v>
          </cell>
          <cell r="B5525">
            <v>0</v>
          </cell>
        </row>
        <row r="5526">
          <cell r="A5526">
            <v>0</v>
          </cell>
          <cell r="B5526">
            <v>0</v>
          </cell>
        </row>
        <row r="5527">
          <cell r="A5527">
            <v>0</v>
          </cell>
          <cell r="B5527">
            <v>0</v>
          </cell>
        </row>
        <row r="5528">
          <cell r="A5528">
            <v>0</v>
          </cell>
          <cell r="B5528">
            <v>0</v>
          </cell>
        </row>
        <row r="5529">
          <cell r="A5529">
            <v>0</v>
          </cell>
          <cell r="B5529">
            <v>0</v>
          </cell>
        </row>
        <row r="5530">
          <cell r="A5530">
            <v>0</v>
          </cell>
          <cell r="B5530">
            <v>0</v>
          </cell>
        </row>
        <row r="5531">
          <cell r="A5531">
            <v>0</v>
          </cell>
          <cell r="B5531">
            <v>0</v>
          </cell>
        </row>
        <row r="5532">
          <cell r="A5532">
            <v>0</v>
          </cell>
          <cell r="B5532">
            <v>0</v>
          </cell>
        </row>
        <row r="5533">
          <cell r="A5533">
            <v>0</v>
          </cell>
          <cell r="B5533">
            <v>0</v>
          </cell>
        </row>
        <row r="5534">
          <cell r="A5534">
            <v>0</v>
          </cell>
          <cell r="B5534">
            <v>0</v>
          </cell>
        </row>
        <row r="5535">
          <cell r="A5535">
            <v>0</v>
          </cell>
          <cell r="B5535">
            <v>0</v>
          </cell>
        </row>
        <row r="5536">
          <cell r="A5536">
            <v>0</v>
          </cell>
          <cell r="B5536">
            <v>0</v>
          </cell>
        </row>
        <row r="5537">
          <cell r="A5537">
            <v>0</v>
          </cell>
          <cell r="B5537">
            <v>0</v>
          </cell>
        </row>
        <row r="5538">
          <cell r="A5538">
            <v>0</v>
          </cell>
          <cell r="B5538">
            <v>0</v>
          </cell>
        </row>
        <row r="5539">
          <cell r="A5539">
            <v>0</v>
          </cell>
          <cell r="B5539">
            <v>0</v>
          </cell>
        </row>
        <row r="5540">
          <cell r="A5540">
            <v>0</v>
          </cell>
          <cell r="B5540">
            <v>0</v>
          </cell>
        </row>
        <row r="5541">
          <cell r="A5541">
            <v>0</v>
          </cell>
          <cell r="B5541">
            <v>0</v>
          </cell>
        </row>
        <row r="5542">
          <cell r="A5542">
            <v>0</v>
          </cell>
          <cell r="B5542">
            <v>0</v>
          </cell>
        </row>
        <row r="5543">
          <cell r="A5543">
            <v>0</v>
          </cell>
          <cell r="B5543">
            <v>0</v>
          </cell>
        </row>
        <row r="5544">
          <cell r="A5544">
            <v>0</v>
          </cell>
          <cell r="B5544">
            <v>0</v>
          </cell>
        </row>
        <row r="5545">
          <cell r="A5545">
            <v>0</v>
          </cell>
          <cell r="B5545">
            <v>0</v>
          </cell>
        </row>
        <row r="5546">
          <cell r="A5546">
            <v>0</v>
          </cell>
          <cell r="B5546">
            <v>0</v>
          </cell>
        </row>
        <row r="5547">
          <cell r="A5547">
            <v>0</v>
          </cell>
          <cell r="B5547">
            <v>0</v>
          </cell>
        </row>
        <row r="5548">
          <cell r="A5548">
            <v>0</v>
          </cell>
          <cell r="B5548">
            <v>0</v>
          </cell>
        </row>
        <row r="5549">
          <cell r="A5549">
            <v>0</v>
          </cell>
          <cell r="B5549">
            <v>0</v>
          </cell>
        </row>
        <row r="5550">
          <cell r="A5550">
            <v>0</v>
          </cell>
          <cell r="B5550">
            <v>0</v>
          </cell>
        </row>
        <row r="5551">
          <cell r="A5551">
            <v>0</v>
          </cell>
          <cell r="B5551">
            <v>0</v>
          </cell>
        </row>
        <row r="5552">
          <cell r="A5552">
            <v>0</v>
          </cell>
          <cell r="B5552">
            <v>0</v>
          </cell>
        </row>
        <row r="5553">
          <cell r="A5553">
            <v>0</v>
          </cell>
          <cell r="B5553">
            <v>0</v>
          </cell>
        </row>
        <row r="5554">
          <cell r="A5554">
            <v>0</v>
          </cell>
          <cell r="B5554">
            <v>0</v>
          </cell>
        </row>
        <row r="5555">
          <cell r="A5555">
            <v>0</v>
          </cell>
          <cell r="B5555">
            <v>0</v>
          </cell>
        </row>
        <row r="5556">
          <cell r="A5556">
            <v>0</v>
          </cell>
          <cell r="B5556">
            <v>0</v>
          </cell>
        </row>
        <row r="5557">
          <cell r="A5557">
            <v>0</v>
          </cell>
          <cell r="B5557">
            <v>0</v>
          </cell>
        </row>
        <row r="5558">
          <cell r="A5558">
            <v>0</v>
          </cell>
          <cell r="B5558">
            <v>0</v>
          </cell>
        </row>
        <row r="5559">
          <cell r="A5559">
            <v>0</v>
          </cell>
          <cell r="B5559">
            <v>0</v>
          </cell>
        </row>
        <row r="5560">
          <cell r="A5560">
            <v>0</v>
          </cell>
          <cell r="B5560">
            <v>0</v>
          </cell>
        </row>
        <row r="5561">
          <cell r="A5561">
            <v>0</v>
          </cell>
          <cell r="B5561">
            <v>0</v>
          </cell>
        </row>
        <row r="5562">
          <cell r="A5562">
            <v>0</v>
          </cell>
          <cell r="B5562">
            <v>0</v>
          </cell>
        </row>
        <row r="5563">
          <cell r="A5563">
            <v>0</v>
          </cell>
          <cell r="B5563">
            <v>0</v>
          </cell>
        </row>
        <row r="5564">
          <cell r="A5564">
            <v>0</v>
          </cell>
          <cell r="B5564">
            <v>0</v>
          </cell>
        </row>
        <row r="5565">
          <cell r="A5565">
            <v>0</v>
          </cell>
          <cell r="B5565">
            <v>0</v>
          </cell>
        </row>
        <row r="5566">
          <cell r="A5566">
            <v>0</v>
          </cell>
          <cell r="B5566">
            <v>0</v>
          </cell>
        </row>
        <row r="5567">
          <cell r="A5567">
            <v>0</v>
          </cell>
          <cell r="B5567">
            <v>0</v>
          </cell>
        </row>
        <row r="5568">
          <cell r="A5568">
            <v>0</v>
          </cell>
          <cell r="B5568">
            <v>0</v>
          </cell>
        </row>
        <row r="5569">
          <cell r="A5569">
            <v>0</v>
          </cell>
          <cell r="B5569">
            <v>0</v>
          </cell>
        </row>
        <row r="5570">
          <cell r="A5570">
            <v>0</v>
          </cell>
          <cell r="B5570">
            <v>0</v>
          </cell>
        </row>
        <row r="5571">
          <cell r="A5571">
            <v>0</v>
          </cell>
          <cell r="B5571">
            <v>0</v>
          </cell>
        </row>
        <row r="5572">
          <cell r="A5572">
            <v>0</v>
          </cell>
          <cell r="B5572">
            <v>0</v>
          </cell>
        </row>
        <row r="5573">
          <cell r="A5573">
            <v>0</v>
          </cell>
          <cell r="B5573">
            <v>0</v>
          </cell>
        </row>
        <row r="5574">
          <cell r="A5574">
            <v>0</v>
          </cell>
          <cell r="B5574">
            <v>0</v>
          </cell>
        </row>
        <row r="5575">
          <cell r="A5575">
            <v>0</v>
          </cell>
          <cell r="B5575">
            <v>0</v>
          </cell>
        </row>
        <row r="5576">
          <cell r="A5576">
            <v>0</v>
          </cell>
          <cell r="B5576">
            <v>0</v>
          </cell>
        </row>
        <row r="5577">
          <cell r="A5577">
            <v>0</v>
          </cell>
          <cell r="B5577">
            <v>0</v>
          </cell>
        </row>
        <row r="5578">
          <cell r="A5578">
            <v>0</v>
          </cell>
          <cell r="B5578">
            <v>0</v>
          </cell>
        </row>
        <row r="5579">
          <cell r="A5579">
            <v>0</v>
          </cell>
          <cell r="B5579">
            <v>0</v>
          </cell>
        </row>
        <row r="5580">
          <cell r="A5580">
            <v>0</v>
          </cell>
          <cell r="B5580">
            <v>0</v>
          </cell>
        </row>
        <row r="5581">
          <cell r="A5581">
            <v>0</v>
          </cell>
          <cell r="B5581">
            <v>0</v>
          </cell>
        </row>
        <row r="5582">
          <cell r="A5582">
            <v>0</v>
          </cell>
          <cell r="B5582">
            <v>0</v>
          </cell>
        </row>
        <row r="5583">
          <cell r="A5583">
            <v>0</v>
          </cell>
          <cell r="B5583">
            <v>0</v>
          </cell>
        </row>
        <row r="5584">
          <cell r="A5584">
            <v>0</v>
          </cell>
          <cell r="B5584">
            <v>0</v>
          </cell>
        </row>
        <row r="5585">
          <cell r="A5585">
            <v>0</v>
          </cell>
          <cell r="B5585">
            <v>0</v>
          </cell>
        </row>
        <row r="5586">
          <cell r="A5586">
            <v>0</v>
          </cell>
          <cell r="B5586">
            <v>0</v>
          </cell>
        </row>
        <row r="5587">
          <cell r="A5587">
            <v>0</v>
          </cell>
          <cell r="B5587">
            <v>0</v>
          </cell>
        </row>
        <row r="5588">
          <cell r="A5588">
            <v>0</v>
          </cell>
          <cell r="B5588">
            <v>0</v>
          </cell>
        </row>
        <row r="5589">
          <cell r="A5589">
            <v>0</v>
          </cell>
          <cell r="B5589">
            <v>0</v>
          </cell>
        </row>
        <row r="5590">
          <cell r="A5590">
            <v>0</v>
          </cell>
          <cell r="B5590">
            <v>0</v>
          </cell>
        </row>
        <row r="5591">
          <cell r="A5591">
            <v>0</v>
          </cell>
          <cell r="B5591">
            <v>0</v>
          </cell>
        </row>
        <row r="5592">
          <cell r="A5592">
            <v>0</v>
          </cell>
          <cell r="B5592">
            <v>0</v>
          </cell>
        </row>
        <row r="5593">
          <cell r="A5593">
            <v>0</v>
          </cell>
          <cell r="B5593">
            <v>0</v>
          </cell>
        </row>
        <row r="5594">
          <cell r="A5594">
            <v>0</v>
          </cell>
          <cell r="B5594">
            <v>0</v>
          </cell>
        </row>
        <row r="5595">
          <cell r="A5595">
            <v>0</v>
          </cell>
          <cell r="B5595">
            <v>0</v>
          </cell>
        </row>
        <row r="5596">
          <cell r="A5596">
            <v>0</v>
          </cell>
          <cell r="B5596">
            <v>0</v>
          </cell>
        </row>
        <row r="5597">
          <cell r="A5597">
            <v>0</v>
          </cell>
          <cell r="B5597">
            <v>0</v>
          </cell>
        </row>
        <row r="5598">
          <cell r="A5598">
            <v>0</v>
          </cell>
          <cell r="B5598">
            <v>0</v>
          </cell>
        </row>
        <row r="5599">
          <cell r="A5599">
            <v>0</v>
          </cell>
          <cell r="B5599">
            <v>0</v>
          </cell>
        </row>
        <row r="5600">
          <cell r="A5600">
            <v>0</v>
          </cell>
          <cell r="B5600">
            <v>0</v>
          </cell>
        </row>
        <row r="5601">
          <cell r="A5601">
            <v>0</v>
          </cell>
          <cell r="B5601">
            <v>0</v>
          </cell>
        </row>
        <row r="5602">
          <cell r="A5602">
            <v>0</v>
          </cell>
          <cell r="B5602">
            <v>0</v>
          </cell>
        </row>
        <row r="5603">
          <cell r="A5603">
            <v>0</v>
          </cell>
          <cell r="B5603">
            <v>0</v>
          </cell>
        </row>
        <row r="5604">
          <cell r="A5604">
            <v>0</v>
          </cell>
          <cell r="B5604">
            <v>0</v>
          </cell>
        </row>
        <row r="5605">
          <cell r="A5605">
            <v>0</v>
          </cell>
          <cell r="B5605">
            <v>0</v>
          </cell>
        </row>
        <row r="5606">
          <cell r="A5606">
            <v>0</v>
          </cell>
          <cell r="B5606">
            <v>0</v>
          </cell>
        </row>
        <row r="5607">
          <cell r="A5607">
            <v>0</v>
          </cell>
          <cell r="B5607">
            <v>0</v>
          </cell>
        </row>
        <row r="5608">
          <cell r="A5608">
            <v>0</v>
          </cell>
          <cell r="B5608">
            <v>0</v>
          </cell>
        </row>
        <row r="5609">
          <cell r="A5609">
            <v>0</v>
          </cell>
          <cell r="B5609">
            <v>0</v>
          </cell>
        </row>
        <row r="5610">
          <cell r="A5610">
            <v>0</v>
          </cell>
          <cell r="B5610">
            <v>0</v>
          </cell>
        </row>
        <row r="5611">
          <cell r="A5611">
            <v>0</v>
          </cell>
          <cell r="B5611">
            <v>0</v>
          </cell>
        </row>
        <row r="5612">
          <cell r="A5612">
            <v>0</v>
          </cell>
          <cell r="B5612">
            <v>0</v>
          </cell>
        </row>
        <row r="5613">
          <cell r="A5613">
            <v>0</v>
          </cell>
          <cell r="B5613">
            <v>0</v>
          </cell>
        </row>
        <row r="5614">
          <cell r="A5614">
            <v>0</v>
          </cell>
          <cell r="B5614">
            <v>0</v>
          </cell>
        </row>
        <row r="5615">
          <cell r="A5615">
            <v>0</v>
          </cell>
          <cell r="B5615">
            <v>0</v>
          </cell>
        </row>
        <row r="5616">
          <cell r="A5616">
            <v>0</v>
          </cell>
          <cell r="B5616">
            <v>0</v>
          </cell>
        </row>
        <row r="5617">
          <cell r="A5617">
            <v>0</v>
          </cell>
          <cell r="B5617">
            <v>0</v>
          </cell>
        </row>
        <row r="5618">
          <cell r="A5618">
            <v>0</v>
          </cell>
          <cell r="B5618">
            <v>0</v>
          </cell>
        </row>
        <row r="5619">
          <cell r="A5619">
            <v>0</v>
          </cell>
          <cell r="B5619">
            <v>0</v>
          </cell>
        </row>
        <row r="5620">
          <cell r="A5620">
            <v>0</v>
          </cell>
          <cell r="B5620">
            <v>0</v>
          </cell>
        </row>
        <row r="5621">
          <cell r="A5621">
            <v>0</v>
          </cell>
          <cell r="B5621">
            <v>0</v>
          </cell>
        </row>
        <row r="5622">
          <cell r="A5622">
            <v>0</v>
          </cell>
          <cell r="B5622">
            <v>0</v>
          </cell>
        </row>
        <row r="5623">
          <cell r="A5623">
            <v>0</v>
          </cell>
          <cell r="B5623">
            <v>0</v>
          </cell>
        </row>
        <row r="5624">
          <cell r="A5624">
            <v>0</v>
          </cell>
          <cell r="B5624">
            <v>0</v>
          </cell>
        </row>
        <row r="5625">
          <cell r="A5625">
            <v>0</v>
          </cell>
          <cell r="B5625">
            <v>0</v>
          </cell>
        </row>
        <row r="5626">
          <cell r="A5626">
            <v>0</v>
          </cell>
          <cell r="B5626">
            <v>0</v>
          </cell>
        </row>
        <row r="5627">
          <cell r="A5627">
            <v>0</v>
          </cell>
          <cell r="B5627">
            <v>0</v>
          </cell>
        </row>
        <row r="5628">
          <cell r="A5628">
            <v>0</v>
          </cell>
          <cell r="B5628">
            <v>0</v>
          </cell>
        </row>
        <row r="5629">
          <cell r="A5629">
            <v>0</v>
          </cell>
          <cell r="B5629">
            <v>0</v>
          </cell>
        </row>
        <row r="5630">
          <cell r="A5630">
            <v>0</v>
          </cell>
          <cell r="B5630">
            <v>0</v>
          </cell>
        </row>
        <row r="5631">
          <cell r="A5631">
            <v>0</v>
          </cell>
          <cell r="B5631">
            <v>0</v>
          </cell>
        </row>
        <row r="5632">
          <cell r="A5632">
            <v>0</v>
          </cell>
          <cell r="B5632">
            <v>0</v>
          </cell>
        </row>
        <row r="5633">
          <cell r="A5633">
            <v>0</v>
          </cell>
          <cell r="B5633">
            <v>0</v>
          </cell>
        </row>
        <row r="5634">
          <cell r="A5634">
            <v>0</v>
          </cell>
          <cell r="B5634">
            <v>0</v>
          </cell>
        </row>
        <row r="5635">
          <cell r="A5635">
            <v>0</v>
          </cell>
          <cell r="B5635">
            <v>0</v>
          </cell>
        </row>
        <row r="5636">
          <cell r="A5636">
            <v>0</v>
          </cell>
          <cell r="B5636">
            <v>0</v>
          </cell>
        </row>
        <row r="5637">
          <cell r="A5637">
            <v>0</v>
          </cell>
          <cell r="B5637">
            <v>0</v>
          </cell>
        </row>
        <row r="5638">
          <cell r="A5638">
            <v>0</v>
          </cell>
          <cell r="B5638">
            <v>0</v>
          </cell>
        </row>
        <row r="5639">
          <cell r="A5639">
            <v>0</v>
          </cell>
          <cell r="B5639">
            <v>0</v>
          </cell>
        </row>
        <row r="5640">
          <cell r="A5640">
            <v>0</v>
          </cell>
          <cell r="B5640">
            <v>0</v>
          </cell>
        </row>
        <row r="5641">
          <cell r="A5641">
            <v>0</v>
          </cell>
          <cell r="B5641">
            <v>0</v>
          </cell>
        </row>
        <row r="5642">
          <cell r="A5642">
            <v>0</v>
          </cell>
          <cell r="B5642">
            <v>0</v>
          </cell>
        </row>
        <row r="5643">
          <cell r="A5643">
            <v>0</v>
          </cell>
          <cell r="B5643">
            <v>0</v>
          </cell>
        </row>
        <row r="5644">
          <cell r="A5644">
            <v>0</v>
          </cell>
          <cell r="B5644">
            <v>0</v>
          </cell>
        </row>
        <row r="5645">
          <cell r="A5645">
            <v>0</v>
          </cell>
          <cell r="B5645">
            <v>0</v>
          </cell>
        </row>
        <row r="5646">
          <cell r="A5646">
            <v>0</v>
          </cell>
          <cell r="B5646">
            <v>0</v>
          </cell>
        </row>
        <row r="5647">
          <cell r="A5647">
            <v>0</v>
          </cell>
          <cell r="B5647">
            <v>0</v>
          </cell>
        </row>
        <row r="5648">
          <cell r="A5648">
            <v>0</v>
          </cell>
          <cell r="B5648">
            <v>0</v>
          </cell>
        </row>
        <row r="5649">
          <cell r="A5649">
            <v>0</v>
          </cell>
          <cell r="B5649">
            <v>0</v>
          </cell>
        </row>
        <row r="5650">
          <cell r="A5650">
            <v>0</v>
          </cell>
          <cell r="B5650">
            <v>0</v>
          </cell>
        </row>
        <row r="5651">
          <cell r="A5651">
            <v>0</v>
          </cell>
          <cell r="B5651">
            <v>0</v>
          </cell>
        </row>
        <row r="5652">
          <cell r="A5652">
            <v>0</v>
          </cell>
          <cell r="B5652">
            <v>0</v>
          </cell>
        </row>
        <row r="5653">
          <cell r="A5653">
            <v>0</v>
          </cell>
          <cell r="B5653">
            <v>0</v>
          </cell>
        </row>
        <row r="5654">
          <cell r="A5654">
            <v>0</v>
          </cell>
          <cell r="B5654">
            <v>0</v>
          </cell>
        </row>
        <row r="5655">
          <cell r="A5655">
            <v>0</v>
          </cell>
          <cell r="B5655">
            <v>0</v>
          </cell>
        </row>
        <row r="5656">
          <cell r="A5656">
            <v>0</v>
          </cell>
          <cell r="B5656">
            <v>0</v>
          </cell>
        </row>
        <row r="5657">
          <cell r="A5657">
            <v>0</v>
          </cell>
          <cell r="B5657">
            <v>0</v>
          </cell>
        </row>
        <row r="5658">
          <cell r="A5658">
            <v>0</v>
          </cell>
          <cell r="B5658">
            <v>0</v>
          </cell>
        </row>
        <row r="5659">
          <cell r="A5659">
            <v>0</v>
          </cell>
          <cell r="B5659">
            <v>0</v>
          </cell>
        </row>
        <row r="5660">
          <cell r="A5660">
            <v>0</v>
          </cell>
          <cell r="B5660">
            <v>0</v>
          </cell>
        </row>
        <row r="5661">
          <cell r="A5661">
            <v>0</v>
          </cell>
          <cell r="B5661">
            <v>0</v>
          </cell>
        </row>
        <row r="5662">
          <cell r="A5662">
            <v>0</v>
          </cell>
          <cell r="B5662">
            <v>0</v>
          </cell>
        </row>
        <row r="5663">
          <cell r="A5663">
            <v>0</v>
          </cell>
          <cell r="B5663">
            <v>0</v>
          </cell>
        </row>
        <row r="5664">
          <cell r="A5664">
            <v>0</v>
          </cell>
          <cell r="B5664">
            <v>0</v>
          </cell>
        </row>
        <row r="5665">
          <cell r="A5665">
            <v>0</v>
          </cell>
          <cell r="B5665">
            <v>0</v>
          </cell>
        </row>
        <row r="5666">
          <cell r="A5666">
            <v>0</v>
          </cell>
          <cell r="B5666">
            <v>0</v>
          </cell>
        </row>
        <row r="5667">
          <cell r="A5667">
            <v>0</v>
          </cell>
          <cell r="B5667">
            <v>0</v>
          </cell>
        </row>
        <row r="5668">
          <cell r="A5668">
            <v>0</v>
          </cell>
          <cell r="B5668">
            <v>0</v>
          </cell>
        </row>
        <row r="5669">
          <cell r="A5669">
            <v>0</v>
          </cell>
          <cell r="B5669">
            <v>0</v>
          </cell>
        </row>
        <row r="5670">
          <cell r="A5670">
            <v>0</v>
          </cell>
          <cell r="B5670">
            <v>0</v>
          </cell>
        </row>
        <row r="5671">
          <cell r="A5671">
            <v>0</v>
          </cell>
          <cell r="B5671">
            <v>0</v>
          </cell>
        </row>
        <row r="5672">
          <cell r="A5672">
            <v>0</v>
          </cell>
          <cell r="B5672">
            <v>0</v>
          </cell>
        </row>
        <row r="5673">
          <cell r="A5673">
            <v>0</v>
          </cell>
          <cell r="B5673">
            <v>0</v>
          </cell>
        </row>
        <row r="5674">
          <cell r="A5674">
            <v>0</v>
          </cell>
          <cell r="B5674">
            <v>0</v>
          </cell>
        </row>
        <row r="5675">
          <cell r="A5675">
            <v>0</v>
          </cell>
          <cell r="B5675">
            <v>0</v>
          </cell>
        </row>
        <row r="5676">
          <cell r="A5676">
            <v>0</v>
          </cell>
          <cell r="B5676">
            <v>0</v>
          </cell>
        </row>
        <row r="5677">
          <cell r="A5677">
            <v>0</v>
          </cell>
          <cell r="B5677">
            <v>0</v>
          </cell>
        </row>
        <row r="5678">
          <cell r="A5678">
            <v>0</v>
          </cell>
          <cell r="B5678">
            <v>0</v>
          </cell>
        </row>
        <row r="5679">
          <cell r="A5679">
            <v>0</v>
          </cell>
          <cell r="B5679">
            <v>0</v>
          </cell>
        </row>
        <row r="5680">
          <cell r="A5680">
            <v>0</v>
          </cell>
          <cell r="B5680">
            <v>0</v>
          </cell>
        </row>
        <row r="5681">
          <cell r="A5681">
            <v>0</v>
          </cell>
          <cell r="B5681">
            <v>0</v>
          </cell>
        </row>
        <row r="5682">
          <cell r="A5682">
            <v>0</v>
          </cell>
          <cell r="B5682">
            <v>0</v>
          </cell>
        </row>
        <row r="5683">
          <cell r="A5683">
            <v>0</v>
          </cell>
          <cell r="B5683">
            <v>0</v>
          </cell>
        </row>
        <row r="5684">
          <cell r="A5684">
            <v>0</v>
          </cell>
          <cell r="B5684">
            <v>0</v>
          </cell>
        </row>
        <row r="5685">
          <cell r="A5685">
            <v>0</v>
          </cell>
          <cell r="B5685">
            <v>0</v>
          </cell>
        </row>
        <row r="5686">
          <cell r="A5686">
            <v>0</v>
          </cell>
          <cell r="B5686">
            <v>0</v>
          </cell>
        </row>
        <row r="5687">
          <cell r="A5687">
            <v>0</v>
          </cell>
          <cell r="B5687">
            <v>0</v>
          </cell>
        </row>
        <row r="5688">
          <cell r="A5688">
            <v>0</v>
          </cell>
          <cell r="B5688">
            <v>0</v>
          </cell>
        </row>
        <row r="5689">
          <cell r="A5689">
            <v>0</v>
          </cell>
          <cell r="B5689">
            <v>0</v>
          </cell>
        </row>
        <row r="5690">
          <cell r="A5690">
            <v>0</v>
          </cell>
          <cell r="B5690">
            <v>0</v>
          </cell>
        </row>
        <row r="5691">
          <cell r="A5691">
            <v>0</v>
          </cell>
          <cell r="B5691">
            <v>0</v>
          </cell>
        </row>
        <row r="5692">
          <cell r="A5692">
            <v>0</v>
          </cell>
          <cell r="B5692">
            <v>0</v>
          </cell>
        </row>
        <row r="5693">
          <cell r="A5693">
            <v>0</v>
          </cell>
          <cell r="B5693">
            <v>0</v>
          </cell>
        </row>
        <row r="5694">
          <cell r="A5694">
            <v>0</v>
          </cell>
          <cell r="B5694">
            <v>0</v>
          </cell>
        </row>
        <row r="5695">
          <cell r="A5695">
            <v>0</v>
          </cell>
          <cell r="B5695">
            <v>0</v>
          </cell>
        </row>
        <row r="5696">
          <cell r="A5696">
            <v>0</v>
          </cell>
          <cell r="B5696">
            <v>0</v>
          </cell>
        </row>
        <row r="5697">
          <cell r="A5697">
            <v>0</v>
          </cell>
          <cell r="B5697">
            <v>0</v>
          </cell>
        </row>
        <row r="5698">
          <cell r="A5698">
            <v>0</v>
          </cell>
          <cell r="B5698">
            <v>0</v>
          </cell>
        </row>
        <row r="5699">
          <cell r="A5699">
            <v>0</v>
          </cell>
          <cell r="B5699">
            <v>0</v>
          </cell>
        </row>
        <row r="5700">
          <cell r="A5700">
            <v>0</v>
          </cell>
          <cell r="B5700">
            <v>0</v>
          </cell>
        </row>
        <row r="5701">
          <cell r="A5701">
            <v>0</v>
          </cell>
          <cell r="B5701">
            <v>0</v>
          </cell>
        </row>
        <row r="5702">
          <cell r="A5702">
            <v>0</v>
          </cell>
          <cell r="B5702">
            <v>0</v>
          </cell>
        </row>
        <row r="5703">
          <cell r="A5703">
            <v>0</v>
          </cell>
          <cell r="B5703">
            <v>0</v>
          </cell>
        </row>
        <row r="5704">
          <cell r="A5704">
            <v>0</v>
          </cell>
          <cell r="B5704">
            <v>0</v>
          </cell>
        </row>
        <row r="5705">
          <cell r="A5705">
            <v>0</v>
          </cell>
          <cell r="B5705">
            <v>0</v>
          </cell>
        </row>
        <row r="5706">
          <cell r="A5706">
            <v>0</v>
          </cell>
          <cell r="B5706">
            <v>0</v>
          </cell>
        </row>
        <row r="5707">
          <cell r="A5707">
            <v>0</v>
          </cell>
          <cell r="B5707">
            <v>0</v>
          </cell>
        </row>
        <row r="5708">
          <cell r="A5708">
            <v>0</v>
          </cell>
          <cell r="B5708">
            <v>0</v>
          </cell>
        </row>
        <row r="5709">
          <cell r="A5709">
            <v>0</v>
          </cell>
          <cell r="B5709">
            <v>0</v>
          </cell>
        </row>
        <row r="5710">
          <cell r="A5710">
            <v>0</v>
          </cell>
          <cell r="B5710">
            <v>0</v>
          </cell>
        </row>
        <row r="5711">
          <cell r="A5711">
            <v>0</v>
          </cell>
          <cell r="B5711">
            <v>0</v>
          </cell>
        </row>
        <row r="5712">
          <cell r="A5712">
            <v>0</v>
          </cell>
          <cell r="B5712">
            <v>0</v>
          </cell>
        </row>
        <row r="5713">
          <cell r="A5713">
            <v>0</v>
          </cell>
          <cell r="B5713">
            <v>0</v>
          </cell>
        </row>
        <row r="5714">
          <cell r="A5714">
            <v>0</v>
          </cell>
          <cell r="B5714">
            <v>0</v>
          </cell>
        </row>
        <row r="5715">
          <cell r="A5715">
            <v>0</v>
          </cell>
          <cell r="B5715">
            <v>0</v>
          </cell>
        </row>
        <row r="5716">
          <cell r="A5716">
            <v>0</v>
          </cell>
          <cell r="B5716">
            <v>0</v>
          </cell>
        </row>
        <row r="5717">
          <cell r="A5717">
            <v>0</v>
          </cell>
          <cell r="B5717">
            <v>0</v>
          </cell>
        </row>
        <row r="5718">
          <cell r="A5718">
            <v>0</v>
          </cell>
          <cell r="B5718">
            <v>0</v>
          </cell>
        </row>
        <row r="5719">
          <cell r="A5719">
            <v>0</v>
          </cell>
          <cell r="B5719">
            <v>0</v>
          </cell>
        </row>
        <row r="5720">
          <cell r="A5720">
            <v>0</v>
          </cell>
          <cell r="B5720">
            <v>0</v>
          </cell>
        </row>
        <row r="5721">
          <cell r="A5721">
            <v>0</v>
          </cell>
          <cell r="B5721">
            <v>0</v>
          </cell>
        </row>
        <row r="5722">
          <cell r="A5722">
            <v>0</v>
          </cell>
          <cell r="B5722">
            <v>0</v>
          </cell>
        </row>
        <row r="5723">
          <cell r="A5723">
            <v>0</v>
          </cell>
          <cell r="B5723">
            <v>0</v>
          </cell>
        </row>
        <row r="5724">
          <cell r="A5724">
            <v>0</v>
          </cell>
          <cell r="B5724">
            <v>0</v>
          </cell>
        </row>
        <row r="5725">
          <cell r="A5725">
            <v>0</v>
          </cell>
          <cell r="B5725">
            <v>0</v>
          </cell>
        </row>
        <row r="5726">
          <cell r="A5726">
            <v>0</v>
          </cell>
          <cell r="B5726">
            <v>0</v>
          </cell>
        </row>
        <row r="5727">
          <cell r="A5727">
            <v>0</v>
          </cell>
          <cell r="B5727">
            <v>0</v>
          </cell>
        </row>
        <row r="5728">
          <cell r="A5728">
            <v>0</v>
          </cell>
          <cell r="B5728">
            <v>0</v>
          </cell>
        </row>
        <row r="5729">
          <cell r="A5729">
            <v>0</v>
          </cell>
          <cell r="B5729">
            <v>0</v>
          </cell>
        </row>
        <row r="5730">
          <cell r="A5730">
            <v>0</v>
          </cell>
          <cell r="B5730">
            <v>0</v>
          </cell>
        </row>
        <row r="5731">
          <cell r="A5731">
            <v>0</v>
          </cell>
          <cell r="B5731">
            <v>0</v>
          </cell>
        </row>
        <row r="5732">
          <cell r="A5732">
            <v>0</v>
          </cell>
          <cell r="B5732">
            <v>0</v>
          </cell>
        </row>
        <row r="5733">
          <cell r="A5733">
            <v>0</v>
          </cell>
          <cell r="B5733">
            <v>0</v>
          </cell>
        </row>
        <row r="5734">
          <cell r="A5734">
            <v>0</v>
          </cell>
          <cell r="B5734">
            <v>0</v>
          </cell>
        </row>
        <row r="5735">
          <cell r="A5735">
            <v>0</v>
          </cell>
          <cell r="B5735">
            <v>0</v>
          </cell>
        </row>
        <row r="5736">
          <cell r="A5736">
            <v>0</v>
          </cell>
          <cell r="B5736">
            <v>0</v>
          </cell>
        </row>
        <row r="5737">
          <cell r="A5737">
            <v>0</v>
          </cell>
          <cell r="B5737">
            <v>0</v>
          </cell>
        </row>
        <row r="5738">
          <cell r="A5738">
            <v>0</v>
          </cell>
          <cell r="B5738">
            <v>0</v>
          </cell>
        </row>
        <row r="5739">
          <cell r="A5739">
            <v>0</v>
          </cell>
          <cell r="B5739">
            <v>0</v>
          </cell>
        </row>
        <row r="5740">
          <cell r="A5740">
            <v>0</v>
          </cell>
          <cell r="B5740">
            <v>0</v>
          </cell>
        </row>
        <row r="5741">
          <cell r="A5741">
            <v>0</v>
          </cell>
          <cell r="B5741">
            <v>0</v>
          </cell>
        </row>
        <row r="5742">
          <cell r="A5742">
            <v>0</v>
          </cell>
          <cell r="B5742">
            <v>0</v>
          </cell>
        </row>
        <row r="5743">
          <cell r="A5743">
            <v>0</v>
          </cell>
          <cell r="B5743">
            <v>0</v>
          </cell>
        </row>
        <row r="5744">
          <cell r="A5744">
            <v>0</v>
          </cell>
          <cell r="B5744">
            <v>0</v>
          </cell>
        </row>
        <row r="5745">
          <cell r="A5745">
            <v>0</v>
          </cell>
          <cell r="B5745">
            <v>0</v>
          </cell>
        </row>
        <row r="5746">
          <cell r="A5746">
            <v>0</v>
          </cell>
          <cell r="B5746">
            <v>0</v>
          </cell>
        </row>
        <row r="5747">
          <cell r="A5747">
            <v>0</v>
          </cell>
          <cell r="B5747">
            <v>0</v>
          </cell>
        </row>
        <row r="5748">
          <cell r="A5748">
            <v>0</v>
          </cell>
          <cell r="B5748">
            <v>0</v>
          </cell>
        </row>
        <row r="5749">
          <cell r="A5749">
            <v>0</v>
          </cell>
          <cell r="B5749">
            <v>0</v>
          </cell>
        </row>
        <row r="5750">
          <cell r="A5750">
            <v>0</v>
          </cell>
          <cell r="B5750">
            <v>0</v>
          </cell>
        </row>
        <row r="5751">
          <cell r="A5751">
            <v>0</v>
          </cell>
          <cell r="B5751">
            <v>0</v>
          </cell>
        </row>
        <row r="5752">
          <cell r="A5752">
            <v>0</v>
          </cell>
          <cell r="B5752">
            <v>0</v>
          </cell>
        </row>
        <row r="5753">
          <cell r="A5753">
            <v>0</v>
          </cell>
          <cell r="B5753">
            <v>0</v>
          </cell>
        </row>
        <row r="5754">
          <cell r="A5754">
            <v>0</v>
          </cell>
          <cell r="B5754">
            <v>0</v>
          </cell>
        </row>
        <row r="5755">
          <cell r="A5755">
            <v>0</v>
          </cell>
          <cell r="B5755">
            <v>0</v>
          </cell>
        </row>
        <row r="5756">
          <cell r="A5756">
            <v>0</v>
          </cell>
          <cell r="B5756">
            <v>0</v>
          </cell>
        </row>
        <row r="5757">
          <cell r="A5757">
            <v>0</v>
          </cell>
          <cell r="B5757">
            <v>0</v>
          </cell>
        </row>
        <row r="5758">
          <cell r="A5758">
            <v>0</v>
          </cell>
          <cell r="B5758">
            <v>0</v>
          </cell>
        </row>
        <row r="5759">
          <cell r="A5759">
            <v>0</v>
          </cell>
          <cell r="B5759">
            <v>0</v>
          </cell>
        </row>
        <row r="5760">
          <cell r="A5760">
            <v>0</v>
          </cell>
          <cell r="B5760">
            <v>0</v>
          </cell>
        </row>
        <row r="5761">
          <cell r="A5761">
            <v>0</v>
          </cell>
          <cell r="B5761">
            <v>0</v>
          </cell>
        </row>
        <row r="5762">
          <cell r="A5762">
            <v>0</v>
          </cell>
          <cell r="B5762">
            <v>0</v>
          </cell>
        </row>
        <row r="5763">
          <cell r="A5763">
            <v>0</v>
          </cell>
          <cell r="B5763">
            <v>0</v>
          </cell>
        </row>
        <row r="5764">
          <cell r="A5764">
            <v>0</v>
          </cell>
          <cell r="B5764">
            <v>0</v>
          </cell>
        </row>
        <row r="5765">
          <cell r="A5765">
            <v>0</v>
          </cell>
          <cell r="B5765">
            <v>0</v>
          </cell>
        </row>
        <row r="5766">
          <cell r="A5766">
            <v>0</v>
          </cell>
          <cell r="B5766">
            <v>0</v>
          </cell>
        </row>
        <row r="5767">
          <cell r="A5767">
            <v>0</v>
          </cell>
          <cell r="B5767">
            <v>0</v>
          </cell>
        </row>
        <row r="5768">
          <cell r="A5768">
            <v>0</v>
          </cell>
          <cell r="B5768">
            <v>0</v>
          </cell>
        </row>
        <row r="5769">
          <cell r="A5769">
            <v>0</v>
          </cell>
          <cell r="B5769">
            <v>0</v>
          </cell>
        </row>
        <row r="5770">
          <cell r="A5770">
            <v>0</v>
          </cell>
          <cell r="B5770">
            <v>0</v>
          </cell>
        </row>
        <row r="5771">
          <cell r="A5771">
            <v>0</v>
          </cell>
          <cell r="B5771">
            <v>0</v>
          </cell>
        </row>
        <row r="5772">
          <cell r="A5772">
            <v>0</v>
          </cell>
          <cell r="B5772">
            <v>0</v>
          </cell>
        </row>
        <row r="5773">
          <cell r="A5773">
            <v>0</v>
          </cell>
          <cell r="B5773">
            <v>0</v>
          </cell>
        </row>
        <row r="5774">
          <cell r="A5774">
            <v>0</v>
          </cell>
          <cell r="B5774">
            <v>0</v>
          </cell>
        </row>
        <row r="5775">
          <cell r="A5775">
            <v>0</v>
          </cell>
          <cell r="B5775">
            <v>0</v>
          </cell>
        </row>
        <row r="5776">
          <cell r="A5776">
            <v>0</v>
          </cell>
          <cell r="B5776">
            <v>0</v>
          </cell>
        </row>
        <row r="5777">
          <cell r="A5777">
            <v>0</v>
          </cell>
          <cell r="B5777">
            <v>0</v>
          </cell>
        </row>
        <row r="5778">
          <cell r="A5778">
            <v>0</v>
          </cell>
          <cell r="B5778">
            <v>0</v>
          </cell>
        </row>
        <row r="5779">
          <cell r="A5779">
            <v>0</v>
          </cell>
          <cell r="B5779">
            <v>0</v>
          </cell>
        </row>
        <row r="5780">
          <cell r="A5780">
            <v>0</v>
          </cell>
          <cell r="B5780">
            <v>0</v>
          </cell>
        </row>
        <row r="5781">
          <cell r="A5781">
            <v>0</v>
          </cell>
          <cell r="B5781">
            <v>0</v>
          </cell>
        </row>
        <row r="5782">
          <cell r="A5782">
            <v>0</v>
          </cell>
          <cell r="B5782">
            <v>0</v>
          </cell>
        </row>
        <row r="5783">
          <cell r="A5783">
            <v>0</v>
          </cell>
          <cell r="B5783">
            <v>0</v>
          </cell>
        </row>
        <row r="5784">
          <cell r="A5784">
            <v>0</v>
          </cell>
          <cell r="B5784">
            <v>0</v>
          </cell>
        </row>
        <row r="5785">
          <cell r="A5785">
            <v>0</v>
          </cell>
          <cell r="B5785">
            <v>0</v>
          </cell>
        </row>
        <row r="5786">
          <cell r="A5786">
            <v>0</v>
          </cell>
          <cell r="B5786">
            <v>0</v>
          </cell>
        </row>
        <row r="5787">
          <cell r="A5787">
            <v>0</v>
          </cell>
          <cell r="B5787">
            <v>0</v>
          </cell>
        </row>
        <row r="5788">
          <cell r="A5788">
            <v>0</v>
          </cell>
          <cell r="B5788">
            <v>0</v>
          </cell>
        </row>
        <row r="5789">
          <cell r="A5789">
            <v>0</v>
          </cell>
          <cell r="B5789">
            <v>0</v>
          </cell>
        </row>
        <row r="5790">
          <cell r="A5790">
            <v>0</v>
          </cell>
          <cell r="B5790">
            <v>0</v>
          </cell>
        </row>
        <row r="5791">
          <cell r="A5791">
            <v>0</v>
          </cell>
          <cell r="B5791">
            <v>0</v>
          </cell>
        </row>
        <row r="5792">
          <cell r="A5792">
            <v>0</v>
          </cell>
          <cell r="B5792">
            <v>0</v>
          </cell>
        </row>
        <row r="5793">
          <cell r="A5793">
            <v>0</v>
          </cell>
          <cell r="B5793">
            <v>0</v>
          </cell>
        </row>
        <row r="5794">
          <cell r="A5794">
            <v>0</v>
          </cell>
          <cell r="B5794">
            <v>0</v>
          </cell>
        </row>
        <row r="5795">
          <cell r="A5795">
            <v>0</v>
          </cell>
          <cell r="B5795">
            <v>0</v>
          </cell>
        </row>
        <row r="5796">
          <cell r="A5796">
            <v>0</v>
          </cell>
          <cell r="B5796">
            <v>0</v>
          </cell>
        </row>
        <row r="5797">
          <cell r="A5797">
            <v>0</v>
          </cell>
          <cell r="B5797">
            <v>0</v>
          </cell>
        </row>
        <row r="5798">
          <cell r="A5798">
            <v>0</v>
          </cell>
          <cell r="B5798">
            <v>0</v>
          </cell>
        </row>
        <row r="5799">
          <cell r="A5799">
            <v>0</v>
          </cell>
          <cell r="B5799">
            <v>0</v>
          </cell>
        </row>
        <row r="5800">
          <cell r="A5800">
            <v>0</v>
          </cell>
          <cell r="B5800">
            <v>0</v>
          </cell>
        </row>
        <row r="5801">
          <cell r="A5801">
            <v>0</v>
          </cell>
          <cell r="B5801">
            <v>0</v>
          </cell>
        </row>
        <row r="5802">
          <cell r="A5802">
            <v>0</v>
          </cell>
          <cell r="B5802">
            <v>0</v>
          </cell>
        </row>
        <row r="5803">
          <cell r="A5803">
            <v>0</v>
          </cell>
          <cell r="B5803">
            <v>0</v>
          </cell>
        </row>
        <row r="5804">
          <cell r="A5804">
            <v>0</v>
          </cell>
          <cell r="B5804">
            <v>0</v>
          </cell>
        </row>
        <row r="5805">
          <cell r="A5805">
            <v>0</v>
          </cell>
          <cell r="B5805">
            <v>0</v>
          </cell>
        </row>
        <row r="5806">
          <cell r="A5806">
            <v>0</v>
          </cell>
          <cell r="B5806">
            <v>0</v>
          </cell>
        </row>
        <row r="5807">
          <cell r="A5807">
            <v>0</v>
          </cell>
          <cell r="B5807">
            <v>0</v>
          </cell>
        </row>
        <row r="5808">
          <cell r="A5808">
            <v>0</v>
          </cell>
          <cell r="B5808">
            <v>0</v>
          </cell>
        </row>
        <row r="5809">
          <cell r="A5809">
            <v>0</v>
          </cell>
          <cell r="B5809">
            <v>0</v>
          </cell>
        </row>
        <row r="5810">
          <cell r="A5810">
            <v>0</v>
          </cell>
          <cell r="B5810">
            <v>0</v>
          </cell>
        </row>
        <row r="5811">
          <cell r="A5811">
            <v>0</v>
          </cell>
          <cell r="B5811">
            <v>0</v>
          </cell>
        </row>
        <row r="5812">
          <cell r="A5812">
            <v>0</v>
          </cell>
          <cell r="B5812">
            <v>0</v>
          </cell>
        </row>
        <row r="5813">
          <cell r="A5813">
            <v>0</v>
          </cell>
          <cell r="B5813">
            <v>0</v>
          </cell>
        </row>
        <row r="5814">
          <cell r="A5814">
            <v>0</v>
          </cell>
          <cell r="B5814">
            <v>0</v>
          </cell>
        </row>
        <row r="5815">
          <cell r="A5815">
            <v>0</v>
          </cell>
          <cell r="B5815">
            <v>0</v>
          </cell>
        </row>
        <row r="5816">
          <cell r="A5816">
            <v>0</v>
          </cell>
          <cell r="B5816">
            <v>0</v>
          </cell>
        </row>
        <row r="5817">
          <cell r="A5817">
            <v>0</v>
          </cell>
          <cell r="B5817">
            <v>0</v>
          </cell>
        </row>
        <row r="5818">
          <cell r="A5818">
            <v>0</v>
          </cell>
          <cell r="B5818">
            <v>0</v>
          </cell>
        </row>
        <row r="5819">
          <cell r="A5819">
            <v>0</v>
          </cell>
          <cell r="B5819">
            <v>0</v>
          </cell>
        </row>
        <row r="5820">
          <cell r="A5820">
            <v>0</v>
          </cell>
          <cell r="B5820">
            <v>0</v>
          </cell>
        </row>
        <row r="5821">
          <cell r="A5821">
            <v>0</v>
          </cell>
          <cell r="B5821">
            <v>0</v>
          </cell>
        </row>
        <row r="5822">
          <cell r="A5822">
            <v>0</v>
          </cell>
          <cell r="B5822">
            <v>0</v>
          </cell>
        </row>
        <row r="5823">
          <cell r="A5823">
            <v>0</v>
          </cell>
          <cell r="B5823">
            <v>0</v>
          </cell>
        </row>
        <row r="5824">
          <cell r="A5824">
            <v>0</v>
          </cell>
          <cell r="B5824">
            <v>0</v>
          </cell>
        </row>
        <row r="5825">
          <cell r="A5825">
            <v>0</v>
          </cell>
          <cell r="B5825">
            <v>0</v>
          </cell>
        </row>
        <row r="5826">
          <cell r="A5826">
            <v>0</v>
          </cell>
          <cell r="B5826">
            <v>0</v>
          </cell>
        </row>
        <row r="5827">
          <cell r="A5827">
            <v>0</v>
          </cell>
          <cell r="B5827">
            <v>0</v>
          </cell>
        </row>
        <row r="5828">
          <cell r="A5828">
            <v>0</v>
          </cell>
          <cell r="B5828">
            <v>0</v>
          </cell>
        </row>
        <row r="5829">
          <cell r="A5829">
            <v>0</v>
          </cell>
          <cell r="B5829">
            <v>0</v>
          </cell>
        </row>
        <row r="5830">
          <cell r="A5830">
            <v>0</v>
          </cell>
          <cell r="B5830">
            <v>0</v>
          </cell>
        </row>
        <row r="5831">
          <cell r="A5831">
            <v>0</v>
          </cell>
          <cell r="B5831">
            <v>0</v>
          </cell>
        </row>
        <row r="5832">
          <cell r="A5832">
            <v>0</v>
          </cell>
          <cell r="B5832">
            <v>0</v>
          </cell>
        </row>
        <row r="5833">
          <cell r="A5833">
            <v>0</v>
          </cell>
          <cell r="B5833">
            <v>0</v>
          </cell>
        </row>
        <row r="5834">
          <cell r="A5834">
            <v>0</v>
          </cell>
          <cell r="B5834">
            <v>0</v>
          </cell>
        </row>
        <row r="5835">
          <cell r="A5835">
            <v>0</v>
          </cell>
          <cell r="B5835">
            <v>0</v>
          </cell>
        </row>
        <row r="5836">
          <cell r="A5836">
            <v>0</v>
          </cell>
          <cell r="B5836">
            <v>0</v>
          </cell>
        </row>
        <row r="5837">
          <cell r="A5837">
            <v>0</v>
          </cell>
          <cell r="B5837">
            <v>0</v>
          </cell>
        </row>
        <row r="5838">
          <cell r="A5838">
            <v>0</v>
          </cell>
          <cell r="B5838">
            <v>0</v>
          </cell>
        </row>
        <row r="5839">
          <cell r="A5839">
            <v>0</v>
          </cell>
          <cell r="B5839">
            <v>0</v>
          </cell>
        </row>
        <row r="5840">
          <cell r="A5840">
            <v>0</v>
          </cell>
          <cell r="B5840">
            <v>0</v>
          </cell>
        </row>
        <row r="5841">
          <cell r="A5841">
            <v>0</v>
          </cell>
          <cell r="B5841">
            <v>0</v>
          </cell>
        </row>
        <row r="5842">
          <cell r="A5842">
            <v>0</v>
          </cell>
          <cell r="B5842">
            <v>0</v>
          </cell>
        </row>
        <row r="5843">
          <cell r="A5843">
            <v>0</v>
          </cell>
          <cell r="B5843">
            <v>0</v>
          </cell>
        </row>
        <row r="5844">
          <cell r="A5844">
            <v>0</v>
          </cell>
          <cell r="B5844">
            <v>0</v>
          </cell>
        </row>
        <row r="5845">
          <cell r="A5845">
            <v>0</v>
          </cell>
          <cell r="B5845">
            <v>0</v>
          </cell>
        </row>
        <row r="5846">
          <cell r="A5846">
            <v>0</v>
          </cell>
          <cell r="B5846">
            <v>0</v>
          </cell>
        </row>
        <row r="5847">
          <cell r="A5847">
            <v>0</v>
          </cell>
          <cell r="B5847">
            <v>0</v>
          </cell>
        </row>
        <row r="5848">
          <cell r="A5848">
            <v>0</v>
          </cell>
          <cell r="B5848">
            <v>0</v>
          </cell>
        </row>
        <row r="5849">
          <cell r="A5849">
            <v>0</v>
          </cell>
          <cell r="B5849">
            <v>0</v>
          </cell>
        </row>
        <row r="5850">
          <cell r="A5850">
            <v>0</v>
          </cell>
          <cell r="B5850">
            <v>0</v>
          </cell>
        </row>
        <row r="5851">
          <cell r="A5851">
            <v>0</v>
          </cell>
          <cell r="B5851">
            <v>0</v>
          </cell>
        </row>
        <row r="5852">
          <cell r="A5852">
            <v>0</v>
          </cell>
          <cell r="B5852">
            <v>0</v>
          </cell>
        </row>
        <row r="5853">
          <cell r="A5853">
            <v>0</v>
          </cell>
          <cell r="B5853">
            <v>0</v>
          </cell>
        </row>
        <row r="5854">
          <cell r="A5854">
            <v>0</v>
          </cell>
          <cell r="B5854">
            <v>0</v>
          </cell>
        </row>
        <row r="5855">
          <cell r="A5855">
            <v>0</v>
          </cell>
          <cell r="B5855">
            <v>0</v>
          </cell>
        </row>
        <row r="5856">
          <cell r="A5856">
            <v>0</v>
          </cell>
          <cell r="B5856">
            <v>0</v>
          </cell>
        </row>
        <row r="5857">
          <cell r="A5857">
            <v>0</v>
          </cell>
          <cell r="B5857">
            <v>0</v>
          </cell>
        </row>
        <row r="5858">
          <cell r="A5858">
            <v>0</v>
          </cell>
          <cell r="B5858">
            <v>0</v>
          </cell>
        </row>
        <row r="5859">
          <cell r="A5859">
            <v>0</v>
          </cell>
          <cell r="B5859">
            <v>0</v>
          </cell>
        </row>
        <row r="5860">
          <cell r="A5860">
            <v>0</v>
          </cell>
          <cell r="B5860">
            <v>0</v>
          </cell>
        </row>
        <row r="5861">
          <cell r="A5861">
            <v>0</v>
          </cell>
          <cell r="B5861">
            <v>0</v>
          </cell>
        </row>
        <row r="5862">
          <cell r="A5862">
            <v>0</v>
          </cell>
          <cell r="B5862">
            <v>0</v>
          </cell>
        </row>
        <row r="5863">
          <cell r="A5863">
            <v>0</v>
          </cell>
          <cell r="B5863">
            <v>0</v>
          </cell>
        </row>
        <row r="5864">
          <cell r="A5864">
            <v>0</v>
          </cell>
          <cell r="B5864">
            <v>0</v>
          </cell>
        </row>
        <row r="5865">
          <cell r="A5865">
            <v>0</v>
          </cell>
          <cell r="B5865">
            <v>0</v>
          </cell>
        </row>
        <row r="5866">
          <cell r="A5866">
            <v>0</v>
          </cell>
          <cell r="B5866">
            <v>0</v>
          </cell>
        </row>
        <row r="5867">
          <cell r="A5867">
            <v>0</v>
          </cell>
          <cell r="B5867">
            <v>0</v>
          </cell>
        </row>
        <row r="5868">
          <cell r="A5868">
            <v>0</v>
          </cell>
          <cell r="B5868">
            <v>0</v>
          </cell>
        </row>
        <row r="5869">
          <cell r="A5869">
            <v>0</v>
          </cell>
          <cell r="B5869">
            <v>0</v>
          </cell>
        </row>
        <row r="5870">
          <cell r="A5870">
            <v>0</v>
          </cell>
          <cell r="B5870">
            <v>0</v>
          </cell>
        </row>
        <row r="5871">
          <cell r="A5871">
            <v>0</v>
          </cell>
          <cell r="B5871">
            <v>0</v>
          </cell>
        </row>
        <row r="5872">
          <cell r="A5872">
            <v>0</v>
          </cell>
          <cell r="B5872">
            <v>0</v>
          </cell>
        </row>
        <row r="5873">
          <cell r="A5873">
            <v>0</v>
          </cell>
          <cell r="B5873">
            <v>0</v>
          </cell>
        </row>
        <row r="5874">
          <cell r="A5874">
            <v>0</v>
          </cell>
          <cell r="B5874">
            <v>0</v>
          </cell>
        </row>
        <row r="5875">
          <cell r="A5875">
            <v>0</v>
          </cell>
          <cell r="B5875">
            <v>0</v>
          </cell>
        </row>
        <row r="5876">
          <cell r="A5876">
            <v>0</v>
          </cell>
          <cell r="B5876">
            <v>0</v>
          </cell>
        </row>
        <row r="5877">
          <cell r="A5877">
            <v>0</v>
          </cell>
          <cell r="B5877">
            <v>0</v>
          </cell>
        </row>
        <row r="5878">
          <cell r="A5878">
            <v>0</v>
          </cell>
          <cell r="B5878">
            <v>0</v>
          </cell>
        </row>
        <row r="5879">
          <cell r="A5879">
            <v>0</v>
          </cell>
          <cell r="B5879">
            <v>0</v>
          </cell>
        </row>
        <row r="5880">
          <cell r="A5880">
            <v>0</v>
          </cell>
          <cell r="B5880">
            <v>0</v>
          </cell>
        </row>
        <row r="5881">
          <cell r="A5881">
            <v>0</v>
          </cell>
          <cell r="B5881">
            <v>0</v>
          </cell>
        </row>
        <row r="5882">
          <cell r="A5882">
            <v>0</v>
          </cell>
          <cell r="B5882">
            <v>0</v>
          </cell>
        </row>
        <row r="5883">
          <cell r="A5883">
            <v>0</v>
          </cell>
          <cell r="B5883">
            <v>0</v>
          </cell>
        </row>
        <row r="5884">
          <cell r="A5884">
            <v>0</v>
          </cell>
          <cell r="B5884">
            <v>0</v>
          </cell>
        </row>
        <row r="5885">
          <cell r="A5885">
            <v>0</v>
          </cell>
          <cell r="B5885">
            <v>0</v>
          </cell>
        </row>
        <row r="5886">
          <cell r="A5886">
            <v>0</v>
          </cell>
          <cell r="B5886">
            <v>0</v>
          </cell>
        </row>
        <row r="5887">
          <cell r="A5887">
            <v>0</v>
          </cell>
          <cell r="B5887">
            <v>0</v>
          </cell>
        </row>
        <row r="5888">
          <cell r="A5888">
            <v>0</v>
          </cell>
          <cell r="B5888">
            <v>0</v>
          </cell>
        </row>
        <row r="5889">
          <cell r="A5889">
            <v>0</v>
          </cell>
          <cell r="B5889">
            <v>0</v>
          </cell>
        </row>
        <row r="5890">
          <cell r="A5890">
            <v>0</v>
          </cell>
          <cell r="B5890">
            <v>0</v>
          </cell>
        </row>
        <row r="5891">
          <cell r="A5891">
            <v>0</v>
          </cell>
          <cell r="B5891">
            <v>0</v>
          </cell>
        </row>
        <row r="5892">
          <cell r="A5892">
            <v>0</v>
          </cell>
          <cell r="B5892">
            <v>0</v>
          </cell>
        </row>
        <row r="5893">
          <cell r="A5893">
            <v>0</v>
          </cell>
          <cell r="B5893">
            <v>0</v>
          </cell>
        </row>
        <row r="5894">
          <cell r="A5894">
            <v>0</v>
          </cell>
          <cell r="B5894">
            <v>0</v>
          </cell>
        </row>
        <row r="5895">
          <cell r="A5895">
            <v>0</v>
          </cell>
          <cell r="B5895">
            <v>0</v>
          </cell>
        </row>
        <row r="5896">
          <cell r="A5896">
            <v>0</v>
          </cell>
          <cell r="B5896">
            <v>0</v>
          </cell>
        </row>
        <row r="5897">
          <cell r="A5897">
            <v>0</v>
          </cell>
          <cell r="B5897">
            <v>0</v>
          </cell>
        </row>
        <row r="5898">
          <cell r="A5898">
            <v>0</v>
          </cell>
          <cell r="B5898">
            <v>0</v>
          </cell>
        </row>
        <row r="5899">
          <cell r="A5899">
            <v>0</v>
          </cell>
          <cell r="B5899">
            <v>0</v>
          </cell>
        </row>
        <row r="5900">
          <cell r="A5900">
            <v>0</v>
          </cell>
          <cell r="B5900">
            <v>0</v>
          </cell>
        </row>
        <row r="5901">
          <cell r="A5901">
            <v>0</v>
          </cell>
          <cell r="B5901">
            <v>0</v>
          </cell>
        </row>
        <row r="5902">
          <cell r="A5902">
            <v>0</v>
          </cell>
          <cell r="B5902">
            <v>0</v>
          </cell>
        </row>
        <row r="5903">
          <cell r="A5903">
            <v>0</v>
          </cell>
          <cell r="B5903">
            <v>0</v>
          </cell>
        </row>
        <row r="5904">
          <cell r="A5904">
            <v>0</v>
          </cell>
          <cell r="B5904">
            <v>0</v>
          </cell>
        </row>
        <row r="5905">
          <cell r="A5905">
            <v>0</v>
          </cell>
          <cell r="B5905">
            <v>0</v>
          </cell>
        </row>
        <row r="5906">
          <cell r="A5906">
            <v>0</v>
          </cell>
          <cell r="B5906">
            <v>0</v>
          </cell>
        </row>
        <row r="5907">
          <cell r="A5907">
            <v>0</v>
          </cell>
          <cell r="B5907">
            <v>0</v>
          </cell>
        </row>
        <row r="5908">
          <cell r="A5908">
            <v>0</v>
          </cell>
          <cell r="B5908">
            <v>0</v>
          </cell>
        </row>
        <row r="5909">
          <cell r="A5909">
            <v>0</v>
          </cell>
          <cell r="B5909">
            <v>0</v>
          </cell>
        </row>
        <row r="5910">
          <cell r="A5910">
            <v>0</v>
          </cell>
          <cell r="B5910">
            <v>0</v>
          </cell>
        </row>
        <row r="5911">
          <cell r="A5911">
            <v>0</v>
          </cell>
          <cell r="B5911">
            <v>0</v>
          </cell>
        </row>
        <row r="5912">
          <cell r="A5912">
            <v>0</v>
          </cell>
          <cell r="B5912">
            <v>0</v>
          </cell>
        </row>
        <row r="5913">
          <cell r="A5913">
            <v>0</v>
          </cell>
          <cell r="B5913">
            <v>0</v>
          </cell>
        </row>
        <row r="5914">
          <cell r="A5914">
            <v>0</v>
          </cell>
          <cell r="B5914">
            <v>0</v>
          </cell>
        </row>
        <row r="5915">
          <cell r="A5915">
            <v>0</v>
          </cell>
          <cell r="B5915">
            <v>0</v>
          </cell>
        </row>
        <row r="5916">
          <cell r="A5916">
            <v>0</v>
          </cell>
          <cell r="B5916">
            <v>0</v>
          </cell>
        </row>
        <row r="5917">
          <cell r="A5917">
            <v>0</v>
          </cell>
          <cell r="B5917">
            <v>0</v>
          </cell>
        </row>
        <row r="5918">
          <cell r="A5918">
            <v>0</v>
          </cell>
          <cell r="B5918">
            <v>0</v>
          </cell>
        </row>
        <row r="5919">
          <cell r="A5919">
            <v>0</v>
          </cell>
          <cell r="B5919">
            <v>0</v>
          </cell>
        </row>
        <row r="5920">
          <cell r="A5920">
            <v>0</v>
          </cell>
          <cell r="B5920">
            <v>0</v>
          </cell>
        </row>
        <row r="5921">
          <cell r="A5921">
            <v>0</v>
          </cell>
          <cell r="B5921">
            <v>0</v>
          </cell>
        </row>
        <row r="5922">
          <cell r="A5922">
            <v>0</v>
          </cell>
          <cell r="B5922">
            <v>0</v>
          </cell>
        </row>
        <row r="5923">
          <cell r="A5923">
            <v>0</v>
          </cell>
          <cell r="B5923">
            <v>0</v>
          </cell>
        </row>
        <row r="5924">
          <cell r="A5924">
            <v>0</v>
          </cell>
          <cell r="B5924">
            <v>0</v>
          </cell>
        </row>
        <row r="5925">
          <cell r="A5925">
            <v>0</v>
          </cell>
          <cell r="B5925">
            <v>0</v>
          </cell>
        </row>
        <row r="5926">
          <cell r="A5926">
            <v>0</v>
          </cell>
          <cell r="B5926">
            <v>0</v>
          </cell>
        </row>
        <row r="5927">
          <cell r="A5927">
            <v>0</v>
          </cell>
          <cell r="B5927">
            <v>0</v>
          </cell>
        </row>
        <row r="5928">
          <cell r="A5928">
            <v>0</v>
          </cell>
          <cell r="B5928">
            <v>0</v>
          </cell>
        </row>
        <row r="5929">
          <cell r="A5929">
            <v>0</v>
          </cell>
          <cell r="B5929">
            <v>0</v>
          </cell>
        </row>
        <row r="5930">
          <cell r="A5930">
            <v>0</v>
          </cell>
          <cell r="B5930">
            <v>0</v>
          </cell>
        </row>
        <row r="5931">
          <cell r="A5931">
            <v>0</v>
          </cell>
          <cell r="B5931">
            <v>0</v>
          </cell>
        </row>
        <row r="5932">
          <cell r="A5932">
            <v>0</v>
          </cell>
          <cell r="B5932">
            <v>0</v>
          </cell>
        </row>
        <row r="5933">
          <cell r="A5933">
            <v>0</v>
          </cell>
          <cell r="B5933">
            <v>0</v>
          </cell>
        </row>
        <row r="5934">
          <cell r="A5934">
            <v>0</v>
          </cell>
          <cell r="B5934">
            <v>0</v>
          </cell>
        </row>
        <row r="5935">
          <cell r="A5935">
            <v>0</v>
          </cell>
          <cell r="B5935">
            <v>0</v>
          </cell>
        </row>
        <row r="5936">
          <cell r="A5936">
            <v>0</v>
          </cell>
          <cell r="B5936">
            <v>0</v>
          </cell>
        </row>
        <row r="5937">
          <cell r="A5937">
            <v>0</v>
          </cell>
          <cell r="B5937">
            <v>0</v>
          </cell>
        </row>
        <row r="5938">
          <cell r="A5938">
            <v>0</v>
          </cell>
          <cell r="B5938">
            <v>0</v>
          </cell>
        </row>
        <row r="5939">
          <cell r="A5939">
            <v>0</v>
          </cell>
          <cell r="B5939">
            <v>0</v>
          </cell>
        </row>
        <row r="5940">
          <cell r="A5940">
            <v>0</v>
          </cell>
          <cell r="B5940">
            <v>0</v>
          </cell>
        </row>
        <row r="5941">
          <cell r="A5941">
            <v>0</v>
          </cell>
          <cell r="B5941">
            <v>0</v>
          </cell>
        </row>
        <row r="5942">
          <cell r="A5942">
            <v>0</v>
          </cell>
          <cell r="B5942">
            <v>0</v>
          </cell>
        </row>
        <row r="5943">
          <cell r="A5943">
            <v>0</v>
          </cell>
          <cell r="B5943">
            <v>0</v>
          </cell>
        </row>
        <row r="5944">
          <cell r="A5944">
            <v>0</v>
          </cell>
          <cell r="B5944">
            <v>0</v>
          </cell>
        </row>
        <row r="5945">
          <cell r="A5945">
            <v>0</v>
          </cell>
          <cell r="B5945">
            <v>0</v>
          </cell>
        </row>
        <row r="5946">
          <cell r="A5946">
            <v>0</v>
          </cell>
          <cell r="B5946">
            <v>0</v>
          </cell>
        </row>
        <row r="5947">
          <cell r="A5947">
            <v>0</v>
          </cell>
          <cell r="B5947">
            <v>0</v>
          </cell>
        </row>
        <row r="5948">
          <cell r="A5948">
            <v>0</v>
          </cell>
          <cell r="B5948">
            <v>0</v>
          </cell>
        </row>
        <row r="5949">
          <cell r="A5949">
            <v>0</v>
          </cell>
          <cell r="B5949">
            <v>0</v>
          </cell>
        </row>
        <row r="5950">
          <cell r="A5950">
            <v>0</v>
          </cell>
          <cell r="B5950">
            <v>0</v>
          </cell>
        </row>
        <row r="5951">
          <cell r="A5951">
            <v>0</v>
          </cell>
          <cell r="B5951">
            <v>0</v>
          </cell>
        </row>
        <row r="5952">
          <cell r="A5952">
            <v>0</v>
          </cell>
          <cell r="B5952">
            <v>0</v>
          </cell>
        </row>
        <row r="5953">
          <cell r="A5953">
            <v>0</v>
          </cell>
          <cell r="B5953">
            <v>0</v>
          </cell>
        </row>
        <row r="5954">
          <cell r="A5954">
            <v>0</v>
          </cell>
          <cell r="B5954">
            <v>0</v>
          </cell>
        </row>
        <row r="5955">
          <cell r="A5955">
            <v>0</v>
          </cell>
          <cell r="B5955">
            <v>0</v>
          </cell>
        </row>
        <row r="5956">
          <cell r="A5956">
            <v>0</v>
          </cell>
          <cell r="B5956">
            <v>0</v>
          </cell>
        </row>
        <row r="5957">
          <cell r="A5957">
            <v>0</v>
          </cell>
          <cell r="B5957">
            <v>0</v>
          </cell>
        </row>
        <row r="5958">
          <cell r="A5958">
            <v>0</v>
          </cell>
          <cell r="B5958">
            <v>0</v>
          </cell>
        </row>
        <row r="5959">
          <cell r="A5959">
            <v>0</v>
          </cell>
          <cell r="B5959">
            <v>0</v>
          </cell>
        </row>
        <row r="5960">
          <cell r="A5960">
            <v>0</v>
          </cell>
          <cell r="B5960">
            <v>0</v>
          </cell>
        </row>
        <row r="5961">
          <cell r="A5961">
            <v>0</v>
          </cell>
          <cell r="B5961">
            <v>0</v>
          </cell>
        </row>
        <row r="5962">
          <cell r="A5962">
            <v>0</v>
          </cell>
          <cell r="B5962">
            <v>0</v>
          </cell>
        </row>
        <row r="5963">
          <cell r="A5963">
            <v>0</v>
          </cell>
          <cell r="B5963">
            <v>0</v>
          </cell>
        </row>
        <row r="5964">
          <cell r="A5964">
            <v>0</v>
          </cell>
          <cell r="B5964">
            <v>0</v>
          </cell>
        </row>
        <row r="5965">
          <cell r="A5965">
            <v>0</v>
          </cell>
          <cell r="B5965">
            <v>0</v>
          </cell>
        </row>
        <row r="5966">
          <cell r="A5966">
            <v>0</v>
          </cell>
          <cell r="B5966">
            <v>0</v>
          </cell>
        </row>
        <row r="5967">
          <cell r="A5967">
            <v>0</v>
          </cell>
          <cell r="B5967">
            <v>0</v>
          </cell>
        </row>
        <row r="5968">
          <cell r="A5968">
            <v>0</v>
          </cell>
          <cell r="B5968">
            <v>0</v>
          </cell>
        </row>
        <row r="5969">
          <cell r="A5969">
            <v>0</v>
          </cell>
          <cell r="B5969">
            <v>0</v>
          </cell>
        </row>
        <row r="5970">
          <cell r="A5970">
            <v>0</v>
          </cell>
          <cell r="B5970">
            <v>0</v>
          </cell>
        </row>
        <row r="5971">
          <cell r="A5971">
            <v>0</v>
          </cell>
          <cell r="B5971">
            <v>0</v>
          </cell>
        </row>
        <row r="5972">
          <cell r="A5972">
            <v>0</v>
          </cell>
          <cell r="B5972">
            <v>0</v>
          </cell>
        </row>
        <row r="5973">
          <cell r="A5973">
            <v>0</v>
          </cell>
          <cell r="B5973">
            <v>0</v>
          </cell>
        </row>
        <row r="5974">
          <cell r="A5974">
            <v>0</v>
          </cell>
          <cell r="B5974">
            <v>0</v>
          </cell>
        </row>
        <row r="5975">
          <cell r="A5975">
            <v>0</v>
          </cell>
          <cell r="B5975">
            <v>0</v>
          </cell>
        </row>
        <row r="5976">
          <cell r="A5976">
            <v>0</v>
          </cell>
          <cell r="B5976">
            <v>0</v>
          </cell>
        </row>
        <row r="5977">
          <cell r="A5977">
            <v>0</v>
          </cell>
          <cell r="B5977">
            <v>0</v>
          </cell>
        </row>
        <row r="5978">
          <cell r="A5978">
            <v>0</v>
          </cell>
          <cell r="B5978">
            <v>0</v>
          </cell>
        </row>
        <row r="5979">
          <cell r="A5979">
            <v>0</v>
          </cell>
          <cell r="B5979">
            <v>0</v>
          </cell>
        </row>
        <row r="5980">
          <cell r="A5980">
            <v>0</v>
          </cell>
          <cell r="B5980">
            <v>0</v>
          </cell>
        </row>
        <row r="5981">
          <cell r="A5981">
            <v>0</v>
          </cell>
          <cell r="B5981">
            <v>0</v>
          </cell>
        </row>
        <row r="5982">
          <cell r="A5982">
            <v>0</v>
          </cell>
          <cell r="B5982">
            <v>0</v>
          </cell>
        </row>
        <row r="5983">
          <cell r="A5983">
            <v>0</v>
          </cell>
          <cell r="B5983">
            <v>0</v>
          </cell>
        </row>
        <row r="5984">
          <cell r="A5984">
            <v>0</v>
          </cell>
          <cell r="B5984">
            <v>0</v>
          </cell>
        </row>
        <row r="5985">
          <cell r="A5985">
            <v>0</v>
          </cell>
          <cell r="B5985">
            <v>0</v>
          </cell>
        </row>
        <row r="5986">
          <cell r="A5986">
            <v>0</v>
          </cell>
          <cell r="B5986">
            <v>0</v>
          </cell>
        </row>
        <row r="5987">
          <cell r="A5987">
            <v>0</v>
          </cell>
          <cell r="B5987">
            <v>0</v>
          </cell>
        </row>
        <row r="5988">
          <cell r="A5988">
            <v>0</v>
          </cell>
          <cell r="B5988">
            <v>0</v>
          </cell>
        </row>
        <row r="5989">
          <cell r="A5989">
            <v>0</v>
          </cell>
          <cell r="B5989">
            <v>0</v>
          </cell>
        </row>
        <row r="5990">
          <cell r="A5990">
            <v>0</v>
          </cell>
          <cell r="B5990">
            <v>0</v>
          </cell>
        </row>
        <row r="5991">
          <cell r="A5991">
            <v>0</v>
          </cell>
          <cell r="B5991">
            <v>0</v>
          </cell>
        </row>
        <row r="5992">
          <cell r="A5992">
            <v>0</v>
          </cell>
          <cell r="B5992">
            <v>0</v>
          </cell>
        </row>
        <row r="5993">
          <cell r="A5993">
            <v>0</v>
          </cell>
          <cell r="B5993">
            <v>0</v>
          </cell>
        </row>
        <row r="5994">
          <cell r="A5994">
            <v>0</v>
          </cell>
          <cell r="B5994">
            <v>0</v>
          </cell>
        </row>
        <row r="5995">
          <cell r="A5995">
            <v>0</v>
          </cell>
          <cell r="B5995">
            <v>0</v>
          </cell>
        </row>
        <row r="5996">
          <cell r="A5996">
            <v>0</v>
          </cell>
          <cell r="B5996">
            <v>0</v>
          </cell>
        </row>
        <row r="5997">
          <cell r="A5997">
            <v>0</v>
          </cell>
          <cell r="B5997">
            <v>0</v>
          </cell>
        </row>
        <row r="5998">
          <cell r="A5998">
            <v>0</v>
          </cell>
          <cell r="B5998">
            <v>0</v>
          </cell>
        </row>
        <row r="5999">
          <cell r="A5999">
            <v>0</v>
          </cell>
          <cell r="B5999">
            <v>0</v>
          </cell>
        </row>
        <row r="6000">
          <cell r="A6000">
            <v>0</v>
          </cell>
          <cell r="B6000">
            <v>0</v>
          </cell>
        </row>
        <row r="6001">
          <cell r="A6001">
            <v>0</v>
          </cell>
          <cell r="B6001">
            <v>0</v>
          </cell>
        </row>
        <row r="6002">
          <cell r="A6002">
            <v>0</v>
          </cell>
          <cell r="B6002">
            <v>0</v>
          </cell>
        </row>
        <row r="6003">
          <cell r="A6003">
            <v>0</v>
          </cell>
          <cell r="B6003">
            <v>0</v>
          </cell>
        </row>
        <row r="6004">
          <cell r="A6004">
            <v>0</v>
          </cell>
          <cell r="B6004">
            <v>0</v>
          </cell>
        </row>
        <row r="6005">
          <cell r="A6005">
            <v>0</v>
          </cell>
          <cell r="B6005">
            <v>0</v>
          </cell>
        </row>
        <row r="6006">
          <cell r="A6006">
            <v>0</v>
          </cell>
          <cell r="B6006">
            <v>0</v>
          </cell>
        </row>
        <row r="6007">
          <cell r="A6007">
            <v>0</v>
          </cell>
          <cell r="B6007">
            <v>0</v>
          </cell>
        </row>
        <row r="6008">
          <cell r="A6008">
            <v>0</v>
          </cell>
          <cell r="B6008">
            <v>0</v>
          </cell>
        </row>
        <row r="6009">
          <cell r="A6009">
            <v>0</v>
          </cell>
          <cell r="B6009">
            <v>0</v>
          </cell>
        </row>
        <row r="6010">
          <cell r="A6010">
            <v>0</v>
          </cell>
          <cell r="B6010">
            <v>0</v>
          </cell>
        </row>
        <row r="6011">
          <cell r="A6011">
            <v>0</v>
          </cell>
          <cell r="B6011">
            <v>0</v>
          </cell>
        </row>
        <row r="6012">
          <cell r="A6012">
            <v>0</v>
          </cell>
          <cell r="B6012">
            <v>0</v>
          </cell>
        </row>
        <row r="6013">
          <cell r="A6013">
            <v>0</v>
          </cell>
          <cell r="B6013">
            <v>0</v>
          </cell>
        </row>
        <row r="6014">
          <cell r="A6014">
            <v>0</v>
          </cell>
          <cell r="B6014">
            <v>0</v>
          </cell>
        </row>
        <row r="6015">
          <cell r="A6015">
            <v>0</v>
          </cell>
          <cell r="B6015">
            <v>0</v>
          </cell>
        </row>
        <row r="6016">
          <cell r="A6016">
            <v>0</v>
          </cell>
          <cell r="B6016">
            <v>0</v>
          </cell>
        </row>
        <row r="6017">
          <cell r="A6017">
            <v>0</v>
          </cell>
          <cell r="B6017">
            <v>0</v>
          </cell>
        </row>
        <row r="6018">
          <cell r="A6018">
            <v>0</v>
          </cell>
          <cell r="B6018">
            <v>0</v>
          </cell>
        </row>
        <row r="6019">
          <cell r="A6019">
            <v>0</v>
          </cell>
          <cell r="B6019">
            <v>0</v>
          </cell>
        </row>
        <row r="6020">
          <cell r="A6020">
            <v>0</v>
          </cell>
          <cell r="B6020">
            <v>0</v>
          </cell>
        </row>
        <row r="6021">
          <cell r="A6021">
            <v>0</v>
          </cell>
          <cell r="B6021">
            <v>0</v>
          </cell>
        </row>
        <row r="6022">
          <cell r="A6022">
            <v>0</v>
          </cell>
          <cell r="B6022">
            <v>0</v>
          </cell>
        </row>
        <row r="6023">
          <cell r="A6023">
            <v>0</v>
          </cell>
          <cell r="B6023">
            <v>0</v>
          </cell>
        </row>
        <row r="6024">
          <cell r="A6024">
            <v>0</v>
          </cell>
          <cell r="B6024">
            <v>0</v>
          </cell>
        </row>
        <row r="6025">
          <cell r="A6025">
            <v>0</v>
          </cell>
          <cell r="B6025">
            <v>0</v>
          </cell>
        </row>
        <row r="6026">
          <cell r="A6026">
            <v>0</v>
          </cell>
          <cell r="B6026">
            <v>0</v>
          </cell>
        </row>
        <row r="6027">
          <cell r="A6027">
            <v>0</v>
          </cell>
          <cell r="B6027">
            <v>0</v>
          </cell>
        </row>
        <row r="6028">
          <cell r="A6028">
            <v>0</v>
          </cell>
          <cell r="B6028">
            <v>0</v>
          </cell>
        </row>
        <row r="6029">
          <cell r="A6029">
            <v>0</v>
          </cell>
          <cell r="B6029">
            <v>0</v>
          </cell>
        </row>
        <row r="6030">
          <cell r="A6030">
            <v>0</v>
          </cell>
          <cell r="B6030">
            <v>0</v>
          </cell>
        </row>
        <row r="6031">
          <cell r="A6031">
            <v>0</v>
          </cell>
          <cell r="B6031">
            <v>0</v>
          </cell>
        </row>
        <row r="6032">
          <cell r="A6032">
            <v>0</v>
          </cell>
          <cell r="B6032">
            <v>0</v>
          </cell>
        </row>
        <row r="6033">
          <cell r="A6033">
            <v>0</v>
          </cell>
          <cell r="B6033">
            <v>0</v>
          </cell>
        </row>
        <row r="6034">
          <cell r="A6034">
            <v>0</v>
          </cell>
          <cell r="B6034">
            <v>0</v>
          </cell>
        </row>
        <row r="6035">
          <cell r="A6035">
            <v>0</v>
          </cell>
          <cell r="B6035">
            <v>0</v>
          </cell>
        </row>
        <row r="6036">
          <cell r="A6036">
            <v>0</v>
          </cell>
          <cell r="B6036">
            <v>0</v>
          </cell>
        </row>
        <row r="6037">
          <cell r="A6037">
            <v>0</v>
          </cell>
          <cell r="B6037">
            <v>0</v>
          </cell>
        </row>
        <row r="6038">
          <cell r="A6038">
            <v>0</v>
          </cell>
          <cell r="B6038">
            <v>0</v>
          </cell>
        </row>
        <row r="6039">
          <cell r="A6039">
            <v>0</v>
          </cell>
          <cell r="B6039">
            <v>0</v>
          </cell>
        </row>
        <row r="6040">
          <cell r="A6040">
            <v>0</v>
          </cell>
          <cell r="B6040">
            <v>0</v>
          </cell>
        </row>
        <row r="6041">
          <cell r="A6041">
            <v>0</v>
          </cell>
          <cell r="B6041">
            <v>0</v>
          </cell>
        </row>
        <row r="6042">
          <cell r="A6042">
            <v>0</v>
          </cell>
          <cell r="B6042">
            <v>0</v>
          </cell>
        </row>
        <row r="6043">
          <cell r="A6043">
            <v>0</v>
          </cell>
          <cell r="B6043">
            <v>0</v>
          </cell>
        </row>
        <row r="6044">
          <cell r="A6044">
            <v>0</v>
          </cell>
          <cell r="B6044">
            <v>0</v>
          </cell>
        </row>
        <row r="6045">
          <cell r="A6045">
            <v>0</v>
          </cell>
          <cell r="B6045">
            <v>0</v>
          </cell>
        </row>
        <row r="6046">
          <cell r="A6046">
            <v>0</v>
          </cell>
          <cell r="B6046">
            <v>0</v>
          </cell>
        </row>
        <row r="6047">
          <cell r="A6047">
            <v>0</v>
          </cell>
          <cell r="B6047">
            <v>0</v>
          </cell>
        </row>
        <row r="6048">
          <cell r="A6048">
            <v>0</v>
          </cell>
          <cell r="B6048">
            <v>0</v>
          </cell>
        </row>
        <row r="6049">
          <cell r="A6049">
            <v>0</v>
          </cell>
          <cell r="B6049">
            <v>0</v>
          </cell>
        </row>
        <row r="6050">
          <cell r="A6050">
            <v>0</v>
          </cell>
          <cell r="B6050">
            <v>0</v>
          </cell>
        </row>
        <row r="6051">
          <cell r="A6051">
            <v>0</v>
          </cell>
          <cell r="B6051">
            <v>0</v>
          </cell>
        </row>
        <row r="6052">
          <cell r="A6052">
            <v>0</v>
          </cell>
          <cell r="B6052">
            <v>0</v>
          </cell>
        </row>
        <row r="6053">
          <cell r="A6053">
            <v>0</v>
          </cell>
          <cell r="B6053">
            <v>0</v>
          </cell>
        </row>
        <row r="6054">
          <cell r="A6054">
            <v>0</v>
          </cell>
          <cell r="B6054">
            <v>0</v>
          </cell>
        </row>
        <row r="6055">
          <cell r="A6055">
            <v>0</v>
          </cell>
          <cell r="B6055">
            <v>0</v>
          </cell>
        </row>
        <row r="6056">
          <cell r="A6056">
            <v>0</v>
          </cell>
          <cell r="B6056">
            <v>0</v>
          </cell>
        </row>
        <row r="6057">
          <cell r="A6057">
            <v>0</v>
          </cell>
          <cell r="B6057">
            <v>0</v>
          </cell>
        </row>
        <row r="6058">
          <cell r="A6058">
            <v>0</v>
          </cell>
          <cell r="B6058">
            <v>0</v>
          </cell>
        </row>
        <row r="6059">
          <cell r="A6059">
            <v>0</v>
          </cell>
          <cell r="B6059">
            <v>0</v>
          </cell>
        </row>
        <row r="6060">
          <cell r="A6060">
            <v>0</v>
          </cell>
          <cell r="B6060">
            <v>0</v>
          </cell>
        </row>
        <row r="6061">
          <cell r="A6061">
            <v>0</v>
          </cell>
          <cell r="B6061">
            <v>0</v>
          </cell>
        </row>
        <row r="6062">
          <cell r="A6062">
            <v>0</v>
          </cell>
          <cell r="B6062">
            <v>0</v>
          </cell>
        </row>
        <row r="6063">
          <cell r="A6063">
            <v>0</v>
          </cell>
          <cell r="B6063">
            <v>0</v>
          </cell>
        </row>
        <row r="6064">
          <cell r="A6064">
            <v>0</v>
          </cell>
          <cell r="B6064">
            <v>0</v>
          </cell>
        </row>
        <row r="6065">
          <cell r="A6065">
            <v>0</v>
          </cell>
          <cell r="B6065">
            <v>0</v>
          </cell>
        </row>
        <row r="6066">
          <cell r="A6066">
            <v>0</v>
          </cell>
          <cell r="B6066">
            <v>0</v>
          </cell>
        </row>
        <row r="6067">
          <cell r="A6067">
            <v>0</v>
          </cell>
          <cell r="B6067">
            <v>0</v>
          </cell>
        </row>
        <row r="6068">
          <cell r="A6068">
            <v>0</v>
          </cell>
          <cell r="B6068">
            <v>0</v>
          </cell>
        </row>
        <row r="6069">
          <cell r="A6069">
            <v>0</v>
          </cell>
          <cell r="B6069">
            <v>0</v>
          </cell>
        </row>
        <row r="6070">
          <cell r="A6070">
            <v>0</v>
          </cell>
          <cell r="B6070">
            <v>0</v>
          </cell>
        </row>
        <row r="6071">
          <cell r="A6071">
            <v>0</v>
          </cell>
          <cell r="B6071">
            <v>0</v>
          </cell>
        </row>
        <row r="6072">
          <cell r="A6072">
            <v>0</v>
          </cell>
          <cell r="B6072">
            <v>0</v>
          </cell>
        </row>
        <row r="6073">
          <cell r="A6073">
            <v>0</v>
          </cell>
          <cell r="B6073">
            <v>0</v>
          </cell>
        </row>
        <row r="6074">
          <cell r="A6074">
            <v>0</v>
          </cell>
          <cell r="B6074">
            <v>0</v>
          </cell>
        </row>
        <row r="6075">
          <cell r="A6075">
            <v>0</v>
          </cell>
          <cell r="B6075">
            <v>0</v>
          </cell>
        </row>
        <row r="6076">
          <cell r="A6076">
            <v>0</v>
          </cell>
          <cell r="B6076">
            <v>0</v>
          </cell>
        </row>
        <row r="6077">
          <cell r="A6077">
            <v>0</v>
          </cell>
          <cell r="B6077">
            <v>0</v>
          </cell>
        </row>
        <row r="6078">
          <cell r="A6078">
            <v>0</v>
          </cell>
          <cell r="B6078">
            <v>0</v>
          </cell>
        </row>
        <row r="6079">
          <cell r="A6079">
            <v>0</v>
          </cell>
          <cell r="B6079">
            <v>0</v>
          </cell>
        </row>
        <row r="6080">
          <cell r="A6080">
            <v>0</v>
          </cell>
          <cell r="B6080">
            <v>0</v>
          </cell>
        </row>
        <row r="6081">
          <cell r="A6081">
            <v>0</v>
          </cell>
          <cell r="B6081">
            <v>0</v>
          </cell>
        </row>
        <row r="6082">
          <cell r="A6082">
            <v>0</v>
          </cell>
          <cell r="B6082">
            <v>0</v>
          </cell>
        </row>
        <row r="6083">
          <cell r="A6083">
            <v>0</v>
          </cell>
          <cell r="B6083">
            <v>0</v>
          </cell>
        </row>
        <row r="6084">
          <cell r="A6084">
            <v>0</v>
          </cell>
          <cell r="B6084">
            <v>0</v>
          </cell>
        </row>
        <row r="6085">
          <cell r="A6085">
            <v>0</v>
          </cell>
          <cell r="B6085">
            <v>0</v>
          </cell>
        </row>
        <row r="6086">
          <cell r="A6086">
            <v>0</v>
          </cell>
          <cell r="B6086">
            <v>0</v>
          </cell>
        </row>
        <row r="6087">
          <cell r="A6087">
            <v>0</v>
          </cell>
          <cell r="B6087">
            <v>0</v>
          </cell>
        </row>
        <row r="6088">
          <cell r="A6088">
            <v>0</v>
          </cell>
          <cell r="B6088">
            <v>0</v>
          </cell>
        </row>
        <row r="6089">
          <cell r="A6089">
            <v>0</v>
          </cell>
          <cell r="B6089">
            <v>0</v>
          </cell>
        </row>
        <row r="6090">
          <cell r="A6090">
            <v>0</v>
          </cell>
          <cell r="B6090">
            <v>0</v>
          </cell>
        </row>
        <row r="6091">
          <cell r="A6091">
            <v>0</v>
          </cell>
          <cell r="B6091">
            <v>0</v>
          </cell>
        </row>
        <row r="6092">
          <cell r="A6092">
            <v>0</v>
          </cell>
          <cell r="B6092">
            <v>0</v>
          </cell>
        </row>
        <row r="6093">
          <cell r="A6093">
            <v>0</v>
          </cell>
          <cell r="B6093">
            <v>0</v>
          </cell>
        </row>
        <row r="6094">
          <cell r="A6094">
            <v>0</v>
          </cell>
          <cell r="B6094">
            <v>0</v>
          </cell>
        </row>
        <row r="6095">
          <cell r="A6095">
            <v>0</v>
          </cell>
          <cell r="B6095">
            <v>0</v>
          </cell>
        </row>
        <row r="6096">
          <cell r="A6096">
            <v>0</v>
          </cell>
          <cell r="B6096">
            <v>0</v>
          </cell>
        </row>
        <row r="6097">
          <cell r="A6097">
            <v>0</v>
          </cell>
          <cell r="B6097">
            <v>0</v>
          </cell>
        </row>
        <row r="6098">
          <cell r="A6098">
            <v>0</v>
          </cell>
          <cell r="B6098">
            <v>0</v>
          </cell>
        </row>
        <row r="6099">
          <cell r="A6099">
            <v>0</v>
          </cell>
          <cell r="B6099">
            <v>0</v>
          </cell>
        </row>
        <row r="6100">
          <cell r="A6100">
            <v>0</v>
          </cell>
          <cell r="B6100">
            <v>0</v>
          </cell>
        </row>
        <row r="6101">
          <cell r="A6101">
            <v>0</v>
          </cell>
          <cell r="B6101">
            <v>0</v>
          </cell>
        </row>
        <row r="6102">
          <cell r="A6102">
            <v>0</v>
          </cell>
          <cell r="B6102">
            <v>0</v>
          </cell>
        </row>
        <row r="6103">
          <cell r="A6103">
            <v>0</v>
          </cell>
          <cell r="B6103">
            <v>0</v>
          </cell>
        </row>
        <row r="6104">
          <cell r="A6104">
            <v>0</v>
          </cell>
          <cell r="B6104">
            <v>0</v>
          </cell>
        </row>
        <row r="6105">
          <cell r="A6105">
            <v>0</v>
          </cell>
          <cell r="B6105">
            <v>0</v>
          </cell>
        </row>
        <row r="6106">
          <cell r="A6106">
            <v>0</v>
          </cell>
          <cell r="B6106">
            <v>0</v>
          </cell>
        </row>
        <row r="6107">
          <cell r="A6107">
            <v>0</v>
          </cell>
          <cell r="B6107">
            <v>0</v>
          </cell>
        </row>
        <row r="6108">
          <cell r="A6108">
            <v>0</v>
          </cell>
          <cell r="B6108">
            <v>0</v>
          </cell>
        </row>
        <row r="6109">
          <cell r="A6109">
            <v>0</v>
          </cell>
          <cell r="B6109">
            <v>0</v>
          </cell>
        </row>
        <row r="6110">
          <cell r="A6110">
            <v>0</v>
          </cell>
          <cell r="B6110">
            <v>0</v>
          </cell>
        </row>
        <row r="6111">
          <cell r="A6111">
            <v>0</v>
          </cell>
          <cell r="B6111">
            <v>0</v>
          </cell>
        </row>
        <row r="6112">
          <cell r="A6112">
            <v>0</v>
          </cell>
          <cell r="B6112">
            <v>0</v>
          </cell>
        </row>
        <row r="6113">
          <cell r="A6113">
            <v>0</v>
          </cell>
          <cell r="B6113">
            <v>0</v>
          </cell>
        </row>
        <row r="6114">
          <cell r="A6114">
            <v>0</v>
          </cell>
          <cell r="B6114">
            <v>0</v>
          </cell>
        </row>
        <row r="6115">
          <cell r="A6115">
            <v>0</v>
          </cell>
          <cell r="B6115">
            <v>0</v>
          </cell>
        </row>
        <row r="6116">
          <cell r="A6116">
            <v>0</v>
          </cell>
          <cell r="B6116">
            <v>0</v>
          </cell>
        </row>
        <row r="6117">
          <cell r="A6117">
            <v>0</v>
          </cell>
          <cell r="B6117">
            <v>0</v>
          </cell>
        </row>
        <row r="6118">
          <cell r="A6118">
            <v>0</v>
          </cell>
          <cell r="B6118">
            <v>0</v>
          </cell>
        </row>
        <row r="6119">
          <cell r="A6119">
            <v>0</v>
          </cell>
          <cell r="B6119">
            <v>0</v>
          </cell>
        </row>
        <row r="6120">
          <cell r="A6120">
            <v>0</v>
          </cell>
          <cell r="B6120">
            <v>0</v>
          </cell>
        </row>
        <row r="6121">
          <cell r="A6121">
            <v>0</v>
          </cell>
          <cell r="B6121">
            <v>0</v>
          </cell>
        </row>
        <row r="6122">
          <cell r="A6122">
            <v>0</v>
          </cell>
          <cell r="B6122">
            <v>0</v>
          </cell>
        </row>
        <row r="6123">
          <cell r="A6123">
            <v>0</v>
          </cell>
          <cell r="B6123">
            <v>0</v>
          </cell>
        </row>
        <row r="6124">
          <cell r="A6124">
            <v>0</v>
          </cell>
          <cell r="B6124">
            <v>0</v>
          </cell>
        </row>
        <row r="6125">
          <cell r="A6125">
            <v>0</v>
          </cell>
          <cell r="B6125">
            <v>0</v>
          </cell>
        </row>
        <row r="6126">
          <cell r="A6126">
            <v>0</v>
          </cell>
          <cell r="B6126">
            <v>0</v>
          </cell>
        </row>
        <row r="6127">
          <cell r="A6127">
            <v>0</v>
          </cell>
          <cell r="B6127">
            <v>0</v>
          </cell>
        </row>
        <row r="6128">
          <cell r="A6128">
            <v>0</v>
          </cell>
          <cell r="B6128">
            <v>0</v>
          </cell>
        </row>
        <row r="6129">
          <cell r="A6129">
            <v>0</v>
          </cell>
          <cell r="B6129">
            <v>0</v>
          </cell>
        </row>
        <row r="6130">
          <cell r="A6130">
            <v>0</v>
          </cell>
          <cell r="B6130">
            <v>0</v>
          </cell>
        </row>
        <row r="6131">
          <cell r="A6131">
            <v>0</v>
          </cell>
          <cell r="B6131">
            <v>0</v>
          </cell>
        </row>
        <row r="6132">
          <cell r="A6132">
            <v>0</v>
          </cell>
          <cell r="B6132">
            <v>0</v>
          </cell>
        </row>
        <row r="6133">
          <cell r="A6133">
            <v>0</v>
          </cell>
          <cell r="B6133">
            <v>0</v>
          </cell>
        </row>
        <row r="6134">
          <cell r="A6134">
            <v>0</v>
          </cell>
          <cell r="B6134">
            <v>0</v>
          </cell>
        </row>
        <row r="6135">
          <cell r="A6135">
            <v>0</v>
          </cell>
          <cell r="B6135">
            <v>0</v>
          </cell>
        </row>
        <row r="6136">
          <cell r="A6136">
            <v>0</v>
          </cell>
          <cell r="B6136">
            <v>0</v>
          </cell>
        </row>
        <row r="6137">
          <cell r="A6137">
            <v>0</v>
          </cell>
          <cell r="B6137">
            <v>0</v>
          </cell>
        </row>
        <row r="6138">
          <cell r="A6138">
            <v>0</v>
          </cell>
          <cell r="B6138">
            <v>0</v>
          </cell>
        </row>
        <row r="6139">
          <cell r="A6139">
            <v>0</v>
          </cell>
          <cell r="B6139">
            <v>0</v>
          </cell>
        </row>
        <row r="6140">
          <cell r="A6140">
            <v>0</v>
          </cell>
          <cell r="B6140">
            <v>0</v>
          </cell>
        </row>
        <row r="6141">
          <cell r="A6141">
            <v>0</v>
          </cell>
          <cell r="B6141">
            <v>0</v>
          </cell>
        </row>
        <row r="6142">
          <cell r="A6142">
            <v>0</v>
          </cell>
          <cell r="B6142">
            <v>0</v>
          </cell>
        </row>
        <row r="6143">
          <cell r="A6143">
            <v>0</v>
          </cell>
          <cell r="B6143">
            <v>0</v>
          </cell>
        </row>
        <row r="6144">
          <cell r="A6144">
            <v>0</v>
          </cell>
          <cell r="B6144">
            <v>0</v>
          </cell>
        </row>
        <row r="6145">
          <cell r="A6145">
            <v>0</v>
          </cell>
          <cell r="B6145">
            <v>0</v>
          </cell>
        </row>
        <row r="6146">
          <cell r="A6146">
            <v>0</v>
          </cell>
          <cell r="B6146">
            <v>0</v>
          </cell>
        </row>
        <row r="6147">
          <cell r="A6147">
            <v>0</v>
          </cell>
          <cell r="B6147">
            <v>0</v>
          </cell>
        </row>
        <row r="6148">
          <cell r="A6148">
            <v>0</v>
          </cell>
          <cell r="B6148">
            <v>0</v>
          </cell>
        </row>
        <row r="6149">
          <cell r="A6149">
            <v>0</v>
          </cell>
          <cell r="B6149">
            <v>0</v>
          </cell>
        </row>
        <row r="6150">
          <cell r="A6150">
            <v>0</v>
          </cell>
          <cell r="B6150">
            <v>0</v>
          </cell>
        </row>
        <row r="6151">
          <cell r="A6151">
            <v>0</v>
          </cell>
          <cell r="B6151">
            <v>0</v>
          </cell>
        </row>
        <row r="6152">
          <cell r="A6152">
            <v>0</v>
          </cell>
          <cell r="B6152">
            <v>0</v>
          </cell>
        </row>
        <row r="6153">
          <cell r="A6153">
            <v>0</v>
          </cell>
          <cell r="B6153">
            <v>0</v>
          </cell>
        </row>
        <row r="6154">
          <cell r="A6154">
            <v>0</v>
          </cell>
          <cell r="B6154">
            <v>0</v>
          </cell>
        </row>
        <row r="6155">
          <cell r="A6155">
            <v>0</v>
          </cell>
          <cell r="B6155">
            <v>0</v>
          </cell>
        </row>
        <row r="6156">
          <cell r="A6156">
            <v>0</v>
          </cell>
          <cell r="B6156">
            <v>0</v>
          </cell>
        </row>
        <row r="6157">
          <cell r="A6157">
            <v>0</v>
          </cell>
          <cell r="B6157">
            <v>0</v>
          </cell>
        </row>
        <row r="6158">
          <cell r="A6158">
            <v>0</v>
          </cell>
          <cell r="B6158">
            <v>0</v>
          </cell>
        </row>
        <row r="6159">
          <cell r="A6159">
            <v>0</v>
          </cell>
          <cell r="B6159">
            <v>0</v>
          </cell>
        </row>
        <row r="6160">
          <cell r="A6160">
            <v>0</v>
          </cell>
          <cell r="B6160">
            <v>0</v>
          </cell>
        </row>
        <row r="6161">
          <cell r="A6161">
            <v>0</v>
          </cell>
          <cell r="B6161">
            <v>0</v>
          </cell>
        </row>
        <row r="6162">
          <cell r="A6162">
            <v>0</v>
          </cell>
          <cell r="B6162">
            <v>0</v>
          </cell>
        </row>
        <row r="6163">
          <cell r="A6163">
            <v>0</v>
          </cell>
          <cell r="B6163">
            <v>0</v>
          </cell>
        </row>
        <row r="6164">
          <cell r="A6164">
            <v>0</v>
          </cell>
          <cell r="B6164">
            <v>0</v>
          </cell>
        </row>
        <row r="6165">
          <cell r="A6165">
            <v>0</v>
          </cell>
          <cell r="B6165">
            <v>0</v>
          </cell>
        </row>
        <row r="6166">
          <cell r="A6166">
            <v>0</v>
          </cell>
          <cell r="B6166">
            <v>0</v>
          </cell>
        </row>
        <row r="6167">
          <cell r="A6167">
            <v>0</v>
          </cell>
          <cell r="B6167">
            <v>0</v>
          </cell>
        </row>
        <row r="6168">
          <cell r="A6168">
            <v>0</v>
          </cell>
          <cell r="B6168">
            <v>0</v>
          </cell>
        </row>
        <row r="6169">
          <cell r="A6169">
            <v>0</v>
          </cell>
          <cell r="B6169">
            <v>0</v>
          </cell>
        </row>
        <row r="6170">
          <cell r="A6170">
            <v>0</v>
          </cell>
          <cell r="B6170">
            <v>0</v>
          </cell>
        </row>
        <row r="6171">
          <cell r="A6171">
            <v>0</v>
          </cell>
          <cell r="B6171">
            <v>0</v>
          </cell>
        </row>
        <row r="6172">
          <cell r="A6172">
            <v>0</v>
          </cell>
          <cell r="B6172">
            <v>0</v>
          </cell>
        </row>
        <row r="6173">
          <cell r="A6173">
            <v>0</v>
          </cell>
          <cell r="B6173">
            <v>0</v>
          </cell>
        </row>
        <row r="6174">
          <cell r="A6174">
            <v>0</v>
          </cell>
          <cell r="B6174">
            <v>0</v>
          </cell>
        </row>
        <row r="6175">
          <cell r="A6175">
            <v>0</v>
          </cell>
          <cell r="B6175">
            <v>0</v>
          </cell>
        </row>
        <row r="6176">
          <cell r="A6176">
            <v>0</v>
          </cell>
          <cell r="B6176">
            <v>0</v>
          </cell>
        </row>
        <row r="6177">
          <cell r="A6177">
            <v>0</v>
          </cell>
          <cell r="B6177">
            <v>0</v>
          </cell>
        </row>
        <row r="6178">
          <cell r="A6178">
            <v>0</v>
          </cell>
          <cell r="B6178">
            <v>0</v>
          </cell>
        </row>
        <row r="6179">
          <cell r="A6179">
            <v>0</v>
          </cell>
          <cell r="B6179">
            <v>0</v>
          </cell>
        </row>
        <row r="6180">
          <cell r="A6180">
            <v>0</v>
          </cell>
          <cell r="B6180">
            <v>0</v>
          </cell>
        </row>
        <row r="6181">
          <cell r="A6181">
            <v>0</v>
          </cell>
          <cell r="B6181">
            <v>0</v>
          </cell>
        </row>
        <row r="6182">
          <cell r="A6182">
            <v>0</v>
          </cell>
          <cell r="B6182">
            <v>0</v>
          </cell>
        </row>
        <row r="6183">
          <cell r="A6183">
            <v>0</v>
          </cell>
          <cell r="B6183">
            <v>0</v>
          </cell>
        </row>
        <row r="6184">
          <cell r="A6184">
            <v>0</v>
          </cell>
          <cell r="B6184">
            <v>0</v>
          </cell>
        </row>
        <row r="6185">
          <cell r="A6185">
            <v>0</v>
          </cell>
          <cell r="B6185">
            <v>0</v>
          </cell>
        </row>
        <row r="6186">
          <cell r="A6186">
            <v>0</v>
          </cell>
          <cell r="B6186">
            <v>0</v>
          </cell>
        </row>
        <row r="6187">
          <cell r="A6187">
            <v>0</v>
          </cell>
          <cell r="B6187">
            <v>0</v>
          </cell>
        </row>
        <row r="6188">
          <cell r="A6188">
            <v>0</v>
          </cell>
          <cell r="B6188">
            <v>0</v>
          </cell>
        </row>
        <row r="6189">
          <cell r="A6189">
            <v>0</v>
          </cell>
          <cell r="B6189">
            <v>0</v>
          </cell>
        </row>
        <row r="6190">
          <cell r="A6190">
            <v>0</v>
          </cell>
          <cell r="B6190">
            <v>0</v>
          </cell>
        </row>
        <row r="6191">
          <cell r="A6191">
            <v>0</v>
          </cell>
          <cell r="B6191">
            <v>0</v>
          </cell>
        </row>
        <row r="6192">
          <cell r="A6192">
            <v>0</v>
          </cell>
          <cell r="B6192">
            <v>0</v>
          </cell>
        </row>
        <row r="6193">
          <cell r="A6193">
            <v>0</v>
          </cell>
          <cell r="B6193">
            <v>0</v>
          </cell>
        </row>
        <row r="6194">
          <cell r="A6194">
            <v>0</v>
          </cell>
          <cell r="B6194">
            <v>0</v>
          </cell>
        </row>
        <row r="6195">
          <cell r="A6195">
            <v>0</v>
          </cell>
          <cell r="B6195">
            <v>0</v>
          </cell>
        </row>
        <row r="6196">
          <cell r="A6196">
            <v>0</v>
          </cell>
          <cell r="B6196">
            <v>0</v>
          </cell>
        </row>
        <row r="6197">
          <cell r="A6197">
            <v>0</v>
          </cell>
          <cell r="B6197">
            <v>0</v>
          </cell>
        </row>
        <row r="6198">
          <cell r="A6198">
            <v>0</v>
          </cell>
          <cell r="B6198">
            <v>0</v>
          </cell>
        </row>
        <row r="6199">
          <cell r="A6199">
            <v>0</v>
          </cell>
          <cell r="B6199">
            <v>0</v>
          </cell>
        </row>
        <row r="6200">
          <cell r="A6200">
            <v>0</v>
          </cell>
          <cell r="B6200">
            <v>0</v>
          </cell>
        </row>
        <row r="6201">
          <cell r="A6201">
            <v>0</v>
          </cell>
          <cell r="B6201">
            <v>0</v>
          </cell>
        </row>
        <row r="6202">
          <cell r="A6202">
            <v>0</v>
          </cell>
          <cell r="B6202">
            <v>0</v>
          </cell>
        </row>
        <row r="6203">
          <cell r="A6203">
            <v>0</v>
          </cell>
          <cell r="B6203">
            <v>0</v>
          </cell>
        </row>
        <row r="6204">
          <cell r="A6204">
            <v>0</v>
          </cell>
          <cell r="B6204">
            <v>0</v>
          </cell>
        </row>
        <row r="6205">
          <cell r="A6205">
            <v>0</v>
          </cell>
          <cell r="B6205">
            <v>0</v>
          </cell>
        </row>
        <row r="6206">
          <cell r="A6206">
            <v>0</v>
          </cell>
          <cell r="B6206">
            <v>0</v>
          </cell>
        </row>
        <row r="6207">
          <cell r="A6207">
            <v>0</v>
          </cell>
          <cell r="B6207">
            <v>0</v>
          </cell>
        </row>
        <row r="6208">
          <cell r="A6208">
            <v>0</v>
          </cell>
          <cell r="B6208">
            <v>0</v>
          </cell>
        </row>
        <row r="6209">
          <cell r="A6209">
            <v>0</v>
          </cell>
          <cell r="B6209">
            <v>0</v>
          </cell>
        </row>
        <row r="6210">
          <cell r="A6210">
            <v>0</v>
          </cell>
          <cell r="B6210">
            <v>0</v>
          </cell>
        </row>
        <row r="6211">
          <cell r="A6211">
            <v>0</v>
          </cell>
          <cell r="B6211">
            <v>0</v>
          </cell>
        </row>
        <row r="6212">
          <cell r="A6212">
            <v>0</v>
          </cell>
          <cell r="B6212">
            <v>0</v>
          </cell>
        </row>
        <row r="6213">
          <cell r="A6213">
            <v>0</v>
          </cell>
          <cell r="B6213">
            <v>0</v>
          </cell>
        </row>
        <row r="6214">
          <cell r="A6214">
            <v>0</v>
          </cell>
          <cell r="B6214">
            <v>0</v>
          </cell>
        </row>
        <row r="6215">
          <cell r="A6215">
            <v>0</v>
          </cell>
          <cell r="B6215">
            <v>0</v>
          </cell>
        </row>
        <row r="6216">
          <cell r="A6216">
            <v>0</v>
          </cell>
          <cell r="B6216">
            <v>0</v>
          </cell>
        </row>
        <row r="6217">
          <cell r="A6217">
            <v>0</v>
          </cell>
          <cell r="B6217">
            <v>0</v>
          </cell>
        </row>
        <row r="6218">
          <cell r="A6218">
            <v>0</v>
          </cell>
          <cell r="B6218">
            <v>0</v>
          </cell>
        </row>
        <row r="6219">
          <cell r="A6219">
            <v>0</v>
          </cell>
          <cell r="B6219">
            <v>0</v>
          </cell>
        </row>
        <row r="6220">
          <cell r="A6220">
            <v>0</v>
          </cell>
          <cell r="B6220">
            <v>0</v>
          </cell>
        </row>
        <row r="6221">
          <cell r="A6221">
            <v>0</v>
          </cell>
          <cell r="B6221">
            <v>0</v>
          </cell>
        </row>
        <row r="6222">
          <cell r="A6222">
            <v>0</v>
          </cell>
          <cell r="B6222">
            <v>0</v>
          </cell>
        </row>
        <row r="6223">
          <cell r="A6223">
            <v>0</v>
          </cell>
          <cell r="B6223">
            <v>0</v>
          </cell>
        </row>
        <row r="6224">
          <cell r="A6224">
            <v>0</v>
          </cell>
          <cell r="B6224">
            <v>0</v>
          </cell>
        </row>
        <row r="6225">
          <cell r="A6225">
            <v>0</v>
          </cell>
          <cell r="B6225">
            <v>0</v>
          </cell>
        </row>
        <row r="6226">
          <cell r="A6226">
            <v>0</v>
          </cell>
          <cell r="B6226">
            <v>0</v>
          </cell>
        </row>
        <row r="6227">
          <cell r="A6227">
            <v>0</v>
          </cell>
          <cell r="B6227">
            <v>0</v>
          </cell>
        </row>
        <row r="6228">
          <cell r="A6228">
            <v>0</v>
          </cell>
          <cell r="B6228">
            <v>0</v>
          </cell>
        </row>
        <row r="6229">
          <cell r="A6229">
            <v>0</v>
          </cell>
          <cell r="B6229">
            <v>0</v>
          </cell>
        </row>
        <row r="6230">
          <cell r="A6230">
            <v>0</v>
          </cell>
          <cell r="B6230">
            <v>0</v>
          </cell>
        </row>
        <row r="6231">
          <cell r="A6231">
            <v>0</v>
          </cell>
          <cell r="B6231">
            <v>0</v>
          </cell>
        </row>
        <row r="6232">
          <cell r="A6232">
            <v>0</v>
          </cell>
          <cell r="B6232">
            <v>0</v>
          </cell>
        </row>
        <row r="6233">
          <cell r="A6233">
            <v>0</v>
          </cell>
          <cell r="B6233">
            <v>0</v>
          </cell>
        </row>
        <row r="6234">
          <cell r="A6234">
            <v>0</v>
          </cell>
          <cell r="B6234">
            <v>0</v>
          </cell>
        </row>
        <row r="6235">
          <cell r="A6235">
            <v>0</v>
          </cell>
          <cell r="B6235">
            <v>0</v>
          </cell>
        </row>
        <row r="6236">
          <cell r="A6236">
            <v>0</v>
          </cell>
          <cell r="B6236">
            <v>0</v>
          </cell>
        </row>
        <row r="6237">
          <cell r="A6237">
            <v>0</v>
          </cell>
          <cell r="B6237">
            <v>0</v>
          </cell>
        </row>
        <row r="6238">
          <cell r="A6238">
            <v>0</v>
          </cell>
          <cell r="B6238">
            <v>0</v>
          </cell>
        </row>
        <row r="6239">
          <cell r="A6239">
            <v>0</v>
          </cell>
          <cell r="B6239">
            <v>0</v>
          </cell>
        </row>
        <row r="6240">
          <cell r="A6240">
            <v>0</v>
          </cell>
          <cell r="B6240">
            <v>0</v>
          </cell>
        </row>
        <row r="6241">
          <cell r="A6241">
            <v>0</v>
          </cell>
          <cell r="B6241">
            <v>0</v>
          </cell>
        </row>
        <row r="6242">
          <cell r="A6242">
            <v>0</v>
          </cell>
          <cell r="B6242">
            <v>0</v>
          </cell>
        </row>
        <row r="6243">
          <cell r="A6243">
            <v>0</v>
          </cell>
          <cell r="B6243">
            <v>0</v>
          </cell>
        </row>
        <row r="6244">
          <cell r="A6244">
            <v>0</v>
          </cell>
          <cell r="B6244">
            <v>0</v>
          </cell>
        </row>
        <row r="6245">
          <cell r="A6245">
            <v>0</v>
          </cell>
          <cell r="B6245">
            <v>0</v>
          </cell>
        </row>
        <row r="6246">
          <cell r="A6246">
            <v>0</v>
          </cell>
          <cell r="B6246">
            <v>0</v>
          </cell>
        </row>
        <row r="6247">
          <cell r="A6247">
            <v>0</v>
          </cell>
          <cell r="B6247">
            <v>0</v>
          </cell>
        </row>
        <row r="6248">
          <cell r="A6248">
            <v>0</v>
          </cell>
          <cell r="B6248">
            <v>0</v>
          </cell>
        </row>
        <row r="6249">
          <cell r="A6249">
            <v>0</v>
          </cell>
          <cell r="B6249">
            <v>0</v>
          </cell>
        </row>
        <row r="6250">
          <cell r="A6250">
            <v>0</v>
          </cell>
          <cell r="B6250">
            <v>0</v>
          </cell>
        </row>
        <row r="6251">
          <cell r="A6251">
            <v>0</v>
          </cell>
          <cell r="B6251">
            <v>0</v>
          </cell>
        </row>
        <row r="6252">
          <cell r="A6252">
            <v>0</v>
          </cell>
          <cell r="B6252">
            <v>0</v>
          </cell>
        </row>
        <row r="6253">
          <cell r="A6253">
            <v>0</v>
          </cell>
          <cell r="B6253">
            <v>0</v>
          </cell>
        </row>
        <row r="6254">
          <cell r="A6254">
            <v>0</v>
          </cell>
          <cell r="B6254">
            <v>0</v>
          </cell>
        </row>
        <row r="6255">
          <cell r="A6255">
            <v>0</v>
          </cell>
          <cell r="B6255">
            <v>0</v>
          </cell>
        </row>
        <row r="6256">
          <cell r="A6256">
            <v>0</v>
          </cell>
          <cell r="B6256">
            <v>0</v>
          </cell>
        </row>
        <row r="6257">
          <cell r="A6257">
            <v>0</v>
          </cell>
          <cell r="B6257">
            <v>0</v>
          </cell>
        </row>
        <row r="6258">
          <cell r="A6258">
            <v>0</v>
          </cell>
          <cell r="B6258">
            <v>0</v>
          </cell>
        </row>
        <row r="6259">
          <cell r="A6259">
            <v>0</v>
          </cell>
          <cell r="B6259">
            <v>0</v>
          </cell>
        </row>
        <row r="6260">
          <cell r="A6260">
            <v>0</v>
          </cell>
          <cell r="B6260">
            <v>0</v>
          </cell>
        </row>
        <row r="6261">
          <cell r="A6261">
            <v>0</v>
          </cell>
          <cell r="B6261">
            <v>0</v>
          </cell>
        </row>
        <row r="6262">
          <cell r="A6262">
            <v>0</v>
          </cell>
          <cell r="B6262">
            <v>0</v>
          </cell>
        </row>
        <row r="6263">
          <cell r="A6263">
            <v>0</v>
          </cell>
          <cell r="B6263">
            <v>0</v>
          </cell>
        </row>
        <row r="6264">
          <cell r="A6264">
            <v>0</v>
          </cell>
          <cell r="B6264">
            <v>0</v>
          </cell>
        </row>
        <row r="6265">
          <cell r="A6265">
            <v>0</v>
          </cell>
          <cell r="B6265">
            <v>0</v>
          </cell>
        </row>
        <row r="6266">
          <cell r="A6266">
            <v>0</v>
          </cell>
          <cell r="B6266">
            <v>0</v>
          </cell>
        </row>
        <row r="6267">
          <cell r="A6267">
            <v>0</v>
          </cell>
          <cell r="B6267">
            <v>0</v>
          </cell>
        </row>
        <row r="6268">
          <cell r="A6268">
            <v>0</v>
          </cell>
          <cell r="B6268">
            <v>0</v>
          </cell>
        </row>
        <row r="6269">
          <cell r="A6269">
            <v>0</v>
          </cell>
          <cell r="B6269">
            <v>0</v>
          </cell>
        </row>
        <row r="6270">
          <cell r="A6270">
            <v>0</v>
          </cell>
          <cell r="B6270">
            <v>0</v>
          </cell>
        </row>
        <row r="6271">
          <cell r="A6271">
            <v>0</v>
          </cell>
          <cell r="B6271">
            <v>0</v>
          </cell>
        </row>
        <row r="6272">
          <cell r="A6272">
            <v>0</v>
          </cell>
          <cell r="B6272">
            <v>0</v>
          </cell>
        </row>
        <row r="6273">
          <cell r="A6273">
            <v>0</v>
          </cell>
          <cell r="B6273">
            <v>0</v>
          </cell>
        </row>
        <row r="6274">
          <cell r="A6274">
            <v>0</v>
          </cell>
          <cell r="B6274">
            <v>0</v>
          </cell>
        </row>
        <row r="6275">
          <cell r="A6275">
            <v>0</v>
          </cell>
          <cell r="B6275">
            <v>0</v>
          </cell>
        </row>
        <row r="6276">
          <cell r="A6276">
            <v>0</v>
          </cell>
          <cell r="B6276">
            <v>0</v>
          </cell>
        </row>
        <row r="6277">
          <cell r="A6277">
            <v>0</v>
          </cell>
          <cell r="B6277">
            <v>0</v>
          </cell>
        </row>
        <row r="6278">
          <cell r="A6278">
            <v>0</v>
          </cell>
          <cell r="B6278">
            <v>0</v>
          </cell>
        </row>
        <row r="6279">
          <cell r="A6279">
            <v>0</v>
          </cell>
          <cell r="B6279">
            <v>0</v>
          </cell>
        </row>
        <row r="6280">
          <cell r="A6280">
            <v>0</v>
          </cell>
          <cell r="B6280">
            <v>0</v>
          </cell>
        </row>
        <row r="6281">
          <cell r="A6281">
            <v>0</v>
          </cell>
          <cell r="B6281">
            <v>0</v>
          </cell>
        </row>
        <row r="6282">
          <cell r="A6282">
            <v>0</v>
          </cell>
          <cell r="B6282">
            <v>0</v>
          </cell>
        </row>
        <row r="6283">
          <cell r="A6283">
            <v>0</v>
          </cell>
          <cell r="B6283">
            <v>0</v>
          </cell>
        </row>
        <row r="6284">
          <cell r="A6284">
            <v>0</v>
          </cell>
          <cell r="B6284">
            <v>0</v>
          </cell>
        </row>
        <row r="6285">
          <cell r="A6285">
            <v>0</v>
          </cell>
          <cell r="B6285">
            <v>0</v>
          </cell>
        </row>
        <row r="6286">
          <cell r="A6286">
            <v>0</v>
          </cell>
          <cell r="B6286">
            <v>0</v>
          </cell>
        </row>
        <row r="6287">
          <cell r="A6287">
            <v>0</v>
          </cell>
          <cell r="B6287">
            <v>0</v>
          </cell>
        </row>
        <row r="6288">
          <cell r="A6288">
            <v>0</v>
          </cell>
          <cell r="B6288">
            <v>0</v>
          </cell>
        </row>
        <row r="6289">
          <cell r="A6289">
            <v>0</v>
          </cell>
          <cell r="B6289">
            <v>0</v>
          </cell>
        </row>
        <row r="6290">
          <cell r="A6290">
            <v>0</v>
          </cell>
          <cell r="B6290">
            <v>0</v>
          </cell>
        </row>
        <row r="6291">
          <cell r="A6291">
            <v>0</v>
          </cell>
          <cell r="B6291">
            <v>0</v>
          </cell>
        </row>
        <row r="6292">
          <cell r="A6292">
            <v>0</v>
          </cell>
          <cell r="B6292">
            <v>0</v>
          </cell>
        </row>
        <row r="6293">
          <cell r="A6293">
            <v>0</v>
          </cell>
          <cell r="B6293">
            <v>0</v>
          </cell>
        </row>
        <row r="6294">
          <cell r="A6294">
            <v>0</v>
          </cell>
          <cell r="B6294">
            <v>0</v>
          </cell>
        </row>
        <row r="6295">
          <cell r="A6295">
            <v>0</v>
          </cell>
          <cell r="B6295">
            <v>0</v>
          </cell>
        </row>
        <row r="6296">
          <cell r="A6296">
            <v>0</v>
          </cell>
          <cell r="B6296">
            <v>0</v>
          </cell>
        </row>
        <row r="6297">
          <cell r="A6297">
            <v>0</v>
          </cell>
          <cell r="B6297">
            <v>0</v>
          </cell>
        </row>
        <row r="6298">
          <cell r="A6298">
            <v>0</v>
          </cell>
          <cell r="B6298">
            <v>0</v>
          </cell>
        </row>
        <row r="6299">
          <cell r="A6299">
            <v>0</v>
          </cell>
          <cell r="B6299">
            <v>0</v>
          </cell>
        </row>
        <row r="6300">
          <cell r="A6300">
            <v>0</v>
          </cell>
          <cell r="B6300">
            <v>0</v>
          </cell>
        </row>
        <row r="6301">
          <cell r="A6301">
            <v>0</v>
          </cell>
          <cell r="B6301">
            <v>0</v>
          </cell>
        </row>
        <row r="6302">
          <cell r="A6302">
            <v>0</v>
          </cell>
          <cell r="B6302">
            <v>0</v>
          </cell>
        </row>
        <row r="6303">
          <cell r="A6303">
            <v>0</v>
          </cell>
          <cell r="B6303">
            <v>0</v>
          </cell>
        </row>
        <row r="6304">
          <cell r="A6304">
            <v>0</v>
          </cell>
          <cell r="B6304">
            <v>0</v>
          </cell>
        </row>
        <row r="6305">
          <cell r="A6305">
            <v>0</v>
          </cell>
          <cell r="B6305">
            <v>0</v>
          </cell>
        </row>
        <row r="6306">
          <cell r="A6306">
            <v>0</v>
          </cell>
          <cell r="B6306">
            <v>0</v>
          </cell>
        </row>
        <row r="6307">
          <cell r="A6307">
            <v>0</v>
          </cell>
          <cell r="B6307">
            <v>0</v>
          </cell>
        </row>
        <row r="6308">
          <cell r="A6308">
            <v>0</v>
          </cell>
          <cell r="B6308">
            <v>0</v>
          </cell>
        </row>
        <row r="6309">
          <cell r="A6309">
            <v>0</v>
          </cell>
          <cell r="B6309">
            <v>0</v>
          </cell>
        </row>
        <row r="6310">
          <cell r="A6310">
            <v>0</v>
          </cell>
          <cell r="B6310">
            <v>0</v>
          </cell>
        </row>
        <row r="6311">
          <cell r="A6311">
            <v>0</v>
          </cell>
          <cell r="B6311">
            <v>0</v>
          </cell>
        </row>
        <row r="6312">
          <cell r="A6312">
            <v>0</v>
          </cell>
          <cell r="B6312">
            <v>0</v>
          </cell>
        </row>
        <row r="6313">
          <cell r="A6313">
            <v>0</v>
          </cell>
          <cell r="B6313">
            <v>0</v>
          </cell>
        </row>
        <row r="6314">
          <cell r="A6314">
            <v>0</v>
          </cell>
          <cell r="B6314">
            <v>0</v>
          </cell>
        </row>
        <row r="6315">
          <cell r="A6315">
            <v>0</v>
          </cell>
          <cell r="B6315">
            <v>0</v>
          </cell>
        </row>
        <row r="6316">
          <cell r="A6316">
            <v>0</v>
          </cell>
          <cell r="B6316">
            <v>0</v>
          </cell>
        </row>
        <row r="6317">
          <cell r="A6317">
            <v>0</v>
          </cell>
          <cell r="B6317">
            <v>0</v>
          </cell>
        </row>
        <row r="6318">
          <cell r="A6318">
            <v>0</v>
          </cell>
          <cell r="B6318">
            <v>0</v>
          </cell>
        </row>
        <row r="6319">
          <cell r="A6319">
            <v>0</v>
          </cell>
          <cell r="B6319">
            <v>0</v>
          </cell>
        </row>
        <row r="6320">
          <cell r="A6320">
            <v>0</v>
          </cell>
          <cell r="B6320">
            <v>0</v>
          </cell>
        </row>
        <row r="6321">
          <cell r="A6321">
            <v>0</v>
          </cell>
          <cell r="B6321">
            <v>0</v>
          </cell>
        </row>
        <row r="6322">
          <cell r="A6322">
            <v>0</v>
          </cell>
          <cell r="B6322">
            <v>0</v>
          </cell>
        </row>
        <row r="6323">
          <cell r="A6323">
            <v>0</v>
          </cell>
          <cell r="B6323">
            <v>0</v>
          </cell>
        </row>
        <row r="6324">
          <cell r="A6324">
            <v>0</v>
          </cell>
          <cell r="B6324">
            <v>0</v>
          </cell>
        </row>
        <row r="6325">
          <cell r="A6325">
            <v>0</v>
          </cell>
          <cell r="B6325">
            <v>0</v>
          </cell>
        </row>
        <row r="6326">
          <cell r="A6326">
            <v>0</v>
          </cell>
          <cell r="B6326">
            <v>0</v>
          </cell>
        </row>
        <row r="6327">
          <cell r="A6327">
            <v>0</v>
          </cell>
          <cell r="B6327">
            <v>0</v>
          </cell>
        </row>
        <row r="6328">
          <cell r="A6328">
            <v>0</v>
          </cell>
          <cell r="B6328">
            <v>0</v>
          </cell>
        </row>
        <row r="6329">
          <cell r="A6329">
            <v>0</v>
          </cell>
          <cell r="B6329">
            <v>0</v>
          </cell>
        </row>
        <row r="6330">
          <cell r="A6330">
            <v>0</v>
          </cell>
          <cell r="B6330">
            <v>0</v>
          </cell>
        </row>
        <row r="6331">
          <cell r="A6331">
            <v>0</v>
          </cell>
          <cell r="B6331">
            <v>0</v>
          </cell>
        </row>
        <row r="6332">
          <cell r="A6332">
            <v>0</v>
          </cell>
          <cell r="B6332">
            <v>0</v>
          </cell>
        </row>
        <row r="6333">
          <cell r="A6333">
            <v>0</v>
          </cell>
          <cell r="B6333">
            <v>0</v>
          </cell>
        </row>
        <row r="6334">
          <cell r="A6334">
            <v>0</v>
          </cell>
          <cell r="B6334">
            <v>0</v>
          </cell>
        </row>
        <row r="6335">
          <cell r="A6335">
            <v>0</v>
          </cell>
          <cell r="B6335">
            <v>0</v>
          </cell>
        </row>
        <row r="6336">
          <cell r="A6336">
            <v>0</v>
          </cell>
          <cell r="B6336">
            <v>0</v>
          </cell>
        </row>
        <row r="6337">
          <cell r="A6337">
            <v>0</v>
          </cell>
          <cell r="B6337">
            <v>0</v>
          </cell>
        </row>
        <row r="6338">
          <cell r="A6338">
            <v>0</v>
          </cell>
          <cell r="B6338">
            <v>0</v>
          </cell>
        </row>
        <row r="6339">
          <cell r="A6339">
            <v>0</v>
          </cell>
          <cell r="B6339">
            <v>0</v>
          </cell>
        </row>
        <row r="6340">
          <cell r="A6340">
            <v>0</v>
          </cell>
          <cell r="B6340">
            <v>0</v>
          </cell>
        </row>
        <row r="6341">
          <cell r="A6341">
            <v>0</v>
          </cell>
          <cell r="B6341">
            <v>0</v>
          </cell>
        </row>
        <row r="6342">
          <cell r="A6342">
            <v>0</v>
          </cell>
          <cell r="B6342">
            <v>0</v>
          </cell>
        </row>
        <row r="6343">
          <cell r="A6343">
            <v>0</v>
          </cell>
          <cell r="B6343">
            <v>0</v>
          </cell>
        </row>
        <row r="6344">
          <cell r="A6344">
            <v>0</v>
          </cell>
          <cell r="B6344">
            <v>0</v>
          </cell>
        </row>
        <row r="6345">
          <cell r="A6345">
            <v>0</v>
          </cell>
          <cell r="B6345">
            <v>0</v>
          </cell>
        </row>
        <row r="6346">
          <cell r="A6346">
            <v>0</v>
          </cell>
          <cell r="B6346">
            <v>0</v>
          </cell>
        </row>
        <row r="6347">
          <cell r="A6347">
            <v>0</v>
          </cell>
          <cell r="B6347">
            <v>0</v>
          </cell>
        </row>
        <row r="6348">
          <cell r="A6348">
            <v>0</v>
          </cell>
          <cell r="B6348">
            <v>0</v>
          </cell>
        </row>
        <row r="6349">
          <cell r="A6349">
            <v>0</v>
          </cell>
          <cell r="B6349">
            <v>0</v>
          </cell>
        </row>
        <row r="6350">
          <cell r="A6350">
            <v>0</v>
          </cell>
          <cell r="B6350">
            <v>0</v>
          </cell>
        </row>
        <row r="6351">
          <cell r="A6351">
            <v>0</v>
          </cell>
          <cell r="B6351">
            <v>0</v>
          </cell>
        </row>
        <row r="6352">
          <cell r="A6352">
            <v>0</v>
          </cell>
          <cell r="B6352">
            <v>0</v>
          </cell>
        </row>
        <row r="6353">
          <cell r="A6353">
            <v>0</v>
          </cell>
          <cell r="B6353">
            <v>0</v>
          </cell>
        </row>
        <row r="6354">
          <cell r="A6354">
            <v>0</v>
          </cell>
          <cell r="B6354">
            <v>0</v>
          </cell>
        </row>
        <row r="6355">
          <cell r="A6355">
            <v>0</v>
          </cell>
          <cell r="B6355">
            <v>0</v>
          </cell>
        </row>
        <row r="6356">
          <cell r="A6356">
            <v>0</v>
          </cell>
          <cell r="B6356">
            <v>0</v>
          </cell>
        </row>
        <row r="6357">
          <cell r="A6357">
            <v>0</v>
          </cell>
          <cell r="B6357">
            <v>0</v>
          </cell>
        </row>
        <row r="6358">
          <cell r="A6358">
            <v>0</v>
          </cell>
          <cell r="B6358">
            <v>0</v>
          </cell>
        </row>
        <row r="6359">
          <cell r="A6359">
            <v>0</v>
          </cell>
          <cell r="B6359">
            <v>0</v>
          </cell>
        </row>
        <row r="6360">
          <cell r="A6360">
            <v>0</v>
          </cell>
          <cell r="B6360">
            <v>0</v>
          </cell>
        </row>
        <row r="6361">
          <cell r="A6361">
            <v>0</v>
          </cell>
          <cell r="B6361">
            <v>0</v>
          </cell>
        </row>
        <row r="6362">
          <cell r="A6362">
            <v>0</v>
          </cell>
          <cell r="B6362">
            <v>0</v>
          </cell>
        </row>
        <row r="6363">
          <cell r="A6363">
            <v>0</v>
          </cell>
          <cell r="B6363">
            <v>0</v>
          </cell>
        </row>
        <row r="6364">
          <cell r="A6364">
            <v>0</v>
          </cell>
          <cell r="B6364">
            <v>0</v>
          </cell>
        </row>
        <row r="6365">
          <cell r="A6365">
            <v>0</v>
          </cell>
          <cell r="B6365">
            <v>0</v>
          </cell>
        </row>
        <row r="6366">
          <cell r="A6366">
            <v>0</v>
          </cell>
          <cell r="B6366">
            <v>0</v>
          </cell>
        </row>
        <row r="6367">
          <cell r="A6367">
            <v>0</v>
          </cell>
          <cell r="B6367">
            <v>0</v>
          </cell>
        </row>
        <row r="6368">
          <cell r="A6368">
            <v>0</v>
          </cell>
          <cell r="B6368">
            <v>0</v>
          </cell>
        </row>
        <row r="6369">
          <cell r="A6369">
            <v>0</v>
          </cell>
          <cell r="B6369">
            <v>0</v>
          </cell>
        </row>
        <row r="6370">
          <cell r="A6370">
            <v>0</v>
          </cell>
          <cell r="B6370">
            <v>0</v>
          </cell>
        </row>
        <row r="6371">
          <cell r="A6371">
            <v>0</v>
          </cell>
          <cell r="B6371">
            <v>0</v>
          </cell>
        </row>
        <row r="6372">
          <cell r="A6372">
            <v>0</v>
          </cell>
          <cell r="B6372">
            <v>0</v>
          </cell>
        </row>
        <row r="6373">
          <cell r="A6373">
            <v>0</v>
          </cell>
          <cell r="B6373">
            <v>0</v>
          </cell>
        </row>
        <row r="6374">
          <cell r="A6374">
            <v>0</v>
          </cell>
          <cell r="B6374">
            <v>0</v>
          </cell>
        </row>
        <row r="6375">
          <cell r="A6375">
            <v>0</v>
          </cell>
          <cell r="B6375">
            <v>0</v>
          </cell>
        </row>
        <row r="6376">
          <cell r="A6376">
            <v>0</v>
          </cell>
          <cell r="B6376">
            <v>0</v>
          </cell>
        </row>
        <row r="6377">
          <cell r="A6377">
            <v>0</v>
          </cell>
          <cell r="B6377">
            <v>0</v>
          </cell>
        </row>
        <row r="6378">
          <cell r="A6378">
            <v>0</v>
          </cell>
          <cell r="B6378">
            <v>0</v>
          </cell>
        </row>
        <row r="6379">
          <cell r="A6379">
            <v>0</v>
          </cell>
          <cell r="B6379">
            <v>0</v>
          </cell>
        </row>
        <row r="6380">
          <cell r="A6380">
            <v>0</v>
          </cell>
          <cell r="B6380">
            <v>0</v>
          </cell>
        </row>
        <row r="6381">
          <cell r="A6381">
            <v>0</v>
          </cell>
          <cell r="B6381">
            <v>0</v>
          </cell>
        </row>
        <row r="6382">
          <cell r="A6382">
            <v>0</v>
          </cell>
          <cell r="B6382">
            <v>0</v>
          </cell>
        </row>
        <row r="6383">
          <cell r="A6383">
            <v>0</v>
          </cell>
          <cell r="B6383">
            <v>0</v>
          </cell>
        </row>
        <row r="6384">
          <cell r="A6384">
            <v>0</v>
          </cell>
          <cell r="B6384">
            <v>0</v>
          </cell>
        </row>
        <row r="6385">
          <cell r="A6385">
            <v>0</v>
          </cell>
          <cell r="B6385">
            <v>0</v>
          </cell>
        </row>
        <row r="6386">
          <cell r="A6386">
            <v>0</v>
          </cell>
          <cell r="B6386">
            <v>0</v>
          </cell>
        </row>
        <row r="6387">
          <cell r="A6387">
            <v>0</v>
          </cell>
          <cell r="B6387">
            <v>0</v>
          </cell>
        </row>
        <row r="6388">
          <cell r="A6388">
            <v>0</v>
          </cell>
          <cell r="B6388">
            <v>0</v>
          </cell>
        </row>
        <row r="6389">
          <cell r="A6389">
            <v>0</v>
          </cell>
          <cell r="B6389">
            <v>0</v>
          </cell>
        </row>
        <row r="6390">
          <cell r="A6390">
            <v>0</v>
          </cell>
          <cell r="B6390">
            <v>0</v>
          </cell>
        </row>
        <row r="6391">
          <cell r="A6391">
            <v>0</v>
          </cell>
          <cell r="B6391">
            <v>0</v>
          </cell>
        </row>
        <row r="6392">
          <cell r="A6392">
            <v>0</v>
          </cell>
          <cell r="B6392">
            <v>0</v>
          </cell>
        </row>
        <row r="6393">
          <cell r="A6393">
            <v>0</v>
          </cell>
          <cell r="B6393">
            <v>0</v>
          </cell>
        </row>
        <row r="6394">
          <cell r="A6394">
            <v>0</v>
          </cell>
          <cell r="B6394">
            <v>0</v>
          </cell>
        </row>
        <row r="6395">
          <cell r="A6395">
            <v>0</v>
          </cell>
          <cell r="B6395">
            <v>0</v>
          </cell>
        </row>
        <row r="6396">
          <cell r="A6396">
            <v>0</v>
          </cell>
          <cell r="B6396">
            <v>0</v>
          </cell>
        </row>
        <row r="6397">
          <cell r="A6397">
            <v>0</v>
          </cell>
          <cell r="B6397">
            <v>0</v>
          </cell>
        </row>
        <row r="6398">
          <cell r="A6398">
            <v>0</v>
          </cell>
          <cell r="B6398">
            <v>0</v>
          </cell>
        </row>
        <row r="6399">
          <cell r="A6399">
            <v>0</v>
          </cell>
          <cell r="B6399">
            <v>0</v>
          </cell>
        </row>
        <row r="6400">
          <cell r="A6400">
            <v>0</v>
          </cell>
          <cell r="B6400">
            <v>0</v>
          </cell>
        </row>
        <row r="6401">
          <cell r="A6401">
            <v>0</v>
          </cell>
          <cell r="B6401">
            <v>0</v>
          </cell>
        </row>
        <row r="6402">
          <cell r="A6402">
            <v>0</v>
          </cell>
          <cell r="B6402">
            <v>0</v>
          </cell>
        </row>
        <row r="6403">
          <cell r="A6403">
            <v>0</v>
          </cell>
          <cell r="B6403">
            <v>0</v>
          </cell>
        </row>
        <row r="6404">
          <cell r="A6404">
            <v>0</v>
          </cell>
          <cell r="B6404">
            <v>0</v>
          </cell>
        </row>
        <row r="6405">
          <cell r="A6405">
            <v>0</v>
          </cell>
          <cell r="B6405">
            <v>0</v>
          </cell>
        </row>
        <row r="6406">
          <cell r="A6406">
            <v>0</v>
          </cell>
          <cell r="B6406">
            <v>0</v>
          </cell>
        </row>
        <row r="6407">
          <cell r="A6407">
            <v>0</v>
          </cell>
          <cell r="B6407">
            <v>0</v>
          </cell>
        </row>
        <row r="6408">
          <cell r="A6408">
            <v>0</v>
          </cell>
          <cell r="B6408">
            <v>0</v>
          </cell>
        </row>
        <row r="6409">
          <cell r="A6409">
            <v>0</v>
          </cell>
          <cell r="B6409">
            <v>0</v>
          </cell>
        </row>
        <row r="6410">
          <cell r="A6410">
            <v>0</v>
          </cell>
          <cell r="B6410">
            <v>0</v>
          </cell>
        </row>
        <row r="6411">
          <cell r="A6411">
            <v>0</v>
          </cell>
          <cell r="B6411">
            <v>0</v>
          </cell>
        </row>
        <row r="6412">
          <cell r="A6412">
            <v>0</v>
          </cell>
          <cell r="B6412">
            <v>0</v>
          </cell>
        </row>
        <row r="6413">
          <cell r="A6413">
            <v>0</v>
          </cell>
          <cell r="B6413">
            <v>0</v>
          </cell>
        </row>
        <row r="6414">
          <cell r="A6414">
            <v>0</v>
          </cell>
          <cell r="B6414">
            <v>0</v>
          </cell>
        </row>
        <row r="6415">
          <cell r="A6415">
            <v>0</v>
          </cell>
          <cell r="B6415">
            <v>0</v>
          </cell>
        </row>
        <row r="6416">
          <cell r="A6416">
            <v>0</v>
          </cell>
          <cell r="B6416">
            <v>0</v>
          </cell>
        </row>
        <row r="6417">
          <cell r="A6417">
            <v>0</v>
          </cell>
          <cell r="B6417">
            <v>0</v>
          </cell>
        </row>
        <row r="6418">
          <cell r="A6418">
            <v>0</v>
          </cell>
          <cell r="B6418">
            <v>0</v>
          </cell>
        </row>
        <row r="6419">
          <cell r="A6419">
            <v>0</v>
          </cell>
          <cell r="B6419">
            <v>0</v>
          </cell>
        </row>
        <row r="6420">
          <cell r="A6420">
            <v>0</v>
          </cell>
          <cell r="B6420">
            <v>0</v>
          </cell>
        </row>
        <row r="6421">
          <cell r="A6421">
            <v>0</v>
          </cell>
          <cell r="B6421">
            <v>0</v>
          </cell>
        </row>
        <row r="6422">
          <cell r="A6422">
            <v>0</v>
          </cell>
          <cell r="B6422">
            <v>0</v>
          </cell>
        </row>
        <row r="6423">
          <cell r="A6423">
            <v>0</v>
          </cell>
          <cell r="B6423">
            <v>0</v>
          </cell>
        </row>
        <row r="6424">
          <cell r="A6424">
            <v>0</v>
          </cell>
          <cell r="B6424">
            <v>0</v>
          </cell>
        </row>
        <row r="6425">
          <cell r="A6425">
            <v>0</v>
          </cell>
          <cell r="B6425">
            <v>0</v>
          </cell>
        </row>
        <row r="6426">
          <cell r="A6426">
            <v>0</v>
          </cell>
          <cell r="B6426">
            <v>0</v>
          </cell>
        </row>
        <row r="6427">
          <cell r="A6427">
            <v>0</v>
          </cell>
          <cell r="B6427">
            <v>0</v>
          </cell>
        </row>
        <row r="6428">
          <cell r="A6428">
            <v>0</v>
          </cell>
          <cell r="B6428">
            <v>0</v>
          </cell>
        </row>
        <row r="6429">
          <cell r="A6429">
            <v>0</v>
          </cell>
          <cell r="B6429">
            <v>0</v>
          </cell>
        </row>
        <row r="6430">
          <cell r="A6430">
            <v>0</v>
          </cell>
          <cell r="B6430">
            <v>0</v>
          </cell>
        </row>
        <row r="6431">
          <cell r="A6431">
            <v>0</v>
          </cell>
          <cell r="B6431">
            <v>0</v>
          </cell>
        </row>
        <row r="6432">
          <cell r="A6432">
            <v>0</v>
          </cell>
          <cell r="B6432">
            <v>0</v>
          </cell>
        </row>
        <row r="6433">
          <cell r="A6433">
            <v>0</v>
          </cell>
          <cell r="B6433">
            <v>0</v>
          </cell>
        </row>
        <row r="6434">
          <cell r="A6434">
            <v>0</v>
          </cell>
          <cell r="B6434">
            <v>0</v>
          </cell>
        </row>
        <row r="6435">
          <cell r="A6435">
            <v>0</v>
          </cell>
          <cell r="B6435">
            <v>0</v>
          </cell>
        </row>
        <row r="6436">
          <cell r="A6436">
            <v>0</v>
          </cell>
          <cell r="B6436">
            <v>0</v>
          </cell>
        </row>
        <row r="6437">
          <cell r="A6437">
            <v>0</v>
          </cell>
          <cell r="B6437">
            <v>0</v>
          </cell>
        </row>
        <row r="6438">
          <cell r="A6438">
            <v>0</v>
          </cell>
          <cell r="B6438">
            <v>0</v>
          </cell>
        </row>
        <row r="6439">
          <cell r="A6439">
            <v>0</v>
          </cell>
          <cell r="B6439">
            <v>0</v>
          </cell>
        </row>
        <row r="6440">
          <cell r="A6440">
            <v>0</v>
          </cell>
          <cell r="B6440">
            <v>0</v>
          </cell>
        </row>
        <row r="6441">
          <cell r="A6441">
            <v>0</v>
          </cell>
          <cell r="B6441">
            <v>0</v>
          </cell>
        </row>
        <row r="6442">
          <cell r="A6442">
            <v>0</v>
          </cell>
          <cell r="B6442">
            <v>0</v>
          </cell>
        </row>
        <row r="6443">
          <cell r="A6443">
            <v>0</v>
          </cell>
          <cell r="B6443">
            <v>0</v>
          </cell>
        </row>
        <row r="6444">
          <cell r="A6444">
            <v>0</v>
          </cell>
          <cell r="B6444">
            <v>0</v>
          </cell>
        </row>
        <row r="6445">
          <cell r="A6445">
            <v>0</v>
          </cell>
          <cell r="B6445">
            <v>0</v>
          </cell>
        </row>
        <row r="6446">
          <cell r="A6446">
            <v>0</v>
          </cell>
          <cell r="B6446">
            <v>0</v>
          </cell>
        </row>
        <row r="6447">
          <cell r="A6447">
            <v>0</v>
          </cell>
          <cell r="B6447">
            <v>0</v>
          </cell>
        </row>
        <row r="6448">
          <cell r="A6448">
            <v>0</v>
          </cell>
          <cell r="B6448">
            <v>0</v>
          </cell>
        </row>
        <row r="6449">
          <cell r="A6449">
            <v>0</v>
          </cell>
          <cell r="B6449">
            <v>0</v>
          </cell>
        </row>
        <row r="6450">
          <cell r="A6450">
            <v>0</v>
          </cell>
          <cell r="B6450">
            <v>0</v>
          </cell>
        </row>
        <row r="6451">
          <cell r="A6451">
            <v>0</v>
          </cell>
          <cell r="B6451">
            <v>0</v>
          </cell>
        </row>
        <row r="6452">
          <cell r="A6452">
            <v>0</v>
          </cell>
          <cell r="B6452">
            <v>0</v>
          </cell>
        </row>
        <row r="6453">
          <cell r="A6453">
            <v>0</v>
          </cell>
          <cell r="B6453">
            <v>0</v>
          </cell>
        </row>
        <row r="6454">
          <cell r="A6454">
            <v>0</v>
          </cell>
          <cell r="B6454">
            <v>0</v>
          </cell>
        </row>
        <row r="6455">
          <cell r="A6455">
            <v>0</v>
          </cell>
          <cell r="B6455">
            <v>0</v>
          </cell>
        </row>
        <row r="6456">
          <cell r="A6456">
            <v>0</v>
          </cell>
          <cell r="B6456">
            <v>0</v>
          </cell>
        </row>
        <row r="6457">
          <cell r="A6457">
            <v>0</v>
          </cell>
          <cell r="B6457">
            <v>0</v>
          </cell>
        </row>
        <row r="6458">
          <cell r="A6458">
            <v>0</v>
          </cell>
          <cell r="B6458">
            <v>0</v>
          </cell>
        </row>
        <row r="6459">
          <cell r="A6459">
            <v>0</v>
          </cell>
          <cell r="B6459">
            <v>0</v>
          </cell>
        </row>
        <row r="6460">
          <cell r="A6460">
            <v>0</v>
          </cell>
          <cell r="B6460">
            <v>0</v>
          </cell>
        </row>
        <row r="6461">
          <cell r="A6461">
            <v>0</v>
          </cell>
          <cell r="B6461">
            <v>0</v>
          </cell>
        </row>
        <row r="6462">
          <cell r="A6462">
            <v>0</v>
          </cell>
          <cell r="B6462">
            <v>0</v>
          </cell>
        </row>
        <row r="6463">
          <cell r="A6463">
            <v>0</v>
          </cell>
          <cell r="B6463">
            <v>0</v>
          </cell>
        </row>
        <row r="6464">
          <cell r="A6464">
            <v>0</v>
          </cell>
          <cell r="B6464">
            <v>0</v>
          </cell>
        </row>
        <row r="6465">
          <cell r="A6465">
            <v>0</v>
          </cell>
          <cell r="B6465">
            <v>0</v>
          </cell>
        </row>
        <row r="6466">
          <cell r="A6466">
            <v>0</v>
          </cell>
          <cell r="B6466">
            <v>0</v>
          </cell>
        </row>
        <row r="6467">
          <cell r="A6467">
            <v>0</v>
          </cell>
          <cell r="B6467">
            <v>0</v>
          </cell>
        </row>
        <row r="6468">
          <cell r="A6468">
            <v>0</v>
          </cell>
          <cell r="B6468">
            <v>0</v>
          </cell>
        </row>
        <row r="6469">
          <cell r="A6469">
            <v>0</v>
          </cell>
          <cell r="B6469">
            <v>0</v>
          </cell>
        </row>
        <row r="6470">
          <cell r="A6470">
            <v>0</v>
          </cell>
          <cell r="B6470">
            <v>0</v>
          </cell>
        </row>
        <row r="6471">
          <cell r="A6471">
            <v>0</v>
          </cell>
          <cell r="B6471">
            <v>0</v>
          </cell>
        </row>
        <row r="6472">
          <cell r="A6472">
            <v>0</v>
          </cell>
          <cell r="B6472">
            <v>0</v>
          </cell>
        </row>
        <row r="6473">
          <cell r="A6473">
            <v>0</v>
          </cell>
          <cell r="B6473">
            <v>0</v>
          </cell>
        </row>
        <row r="6474">
          <cell r="A6474">
            <v>0</v>
          </cell>
          <cell r="B6474">
            <v>0</v>
          </cell>
        </row>
        <row r="6475">
          <cell r="A6475">
            <v>0</v>
          </cell>
          <cell r="B6475">
            <v>0</v>
          </cell>
        </row>
        <row r="6476">
          <cell r="A6476">
            <v>0</v>
          </cell>
          <cell r="B6476">
            <v>0</v>
          </cell>
        </row>
        <row r="6477">
          <cell r="A6477">
            <v>0</v>
          </cell>
          <cell r="B6477">
            <v>0</v>
          </cell>
        </row>
        <row r="6478">
          <cell r="A6478">
            <v>0</v>
          </cell>
          <cell r="B6478">
            <v>0</v>
          </cell>
        </row>
        <row r="6479">
          <cell r="A6479">
            <v>0</v>
          </cell>
          <cell r="B6479">
            <v>0</v>
          </cell>
        </row>
        <row r="6480">
          <cell r="A6480">
            <v>0</v>
          </cell>
          <cell r="B6480">
            <v>0</v>
          </cell>
        </row>
        <row r="6481">
          <cell r="A6481">
            <v>0</v>
          </cell>
          <cell r="B6481">
            <v>0</v>
          </cell>
        </row>
        <row r="6482">
          <cell r="A6482">
            <v>0</v>
          </cell>
          <cell r="B6482">
            <v>0</v>
          </cell>
        </row>
        <row r="6483">
          <cell r="A6483">
            <v>0</v>
          </cell>
          <cell r="B6483">
            <v>0</v>
          </cell>
        </row>
        <row r="6484">
          <cell r="A6484">
            <v>0</v>
          </cell>
          <cell r="B6484">
            <v>0</v>
          </cell>
        </row>
        <row r="6485">
          <cell r="A6485">
            <v>0</v>
          </cell>
          <cell r="B6485">
            <v>0</v>
          </cell>
        </row>
        <row r="6486">
          <cell r="A6486">
            <v>0</v>
          </cell>
          <cell r="B6486">
            <v>0</v>
          </cell>
        </row>
        <row r="6487">
          <cell r="A6487">
            <v>0</v>
          </cell>
          <cell r="B6487">
            <v>0</v>
          </cell>
        </row>
        <row r="6488">
          <cell r="A6488">
            <v>0</v>
          </cell>
          <cell r="B6488">
            <v>0</v>
          </cell>
        </row>
        <row r="6489">
          <cell r="A6489">
            <v>0</v>
          </cell>
          <cell r="B6489">
            <v>0</v>
          </cell>
        </row>
        <row r="6490">
          <cell r="A6490">
            <v>0</v>
          </cell>
          <cell r="B6490">
            <v>0</v>
          </cell>
        </row>
        <row r="6491">
          <cell r="A6491">
            <v>0</v>
          </cell>
          <cell r="B6491">
            <v>0</v>
          </cell>
        </row>
        <row r="6492">
          <cell r="A6492">
            <v>0</v>
          </cell>
          <cell r="B6492">
            <v>0</v>
          </cell>
        </row>
        <row r="6493">
          <cell r="A6493">
            <v>0</v>
          </cell>
          <cell r="B6493">
            <v>0</v>
          </cell>
        </row>
        <row r="6494">
          <cell r="A6494">
            <v>0</v>
          </cell>
          <cell r="B6494">
            <v>0</v>
          </cell>
        </row>
        <row r="6495">
          <cell r="A6495">
            <v>0</v>
          </cell>
          <cell r="B6495">
            <v>0</v>
          </cell>
        </row>
        <row r="6496">
          <cell r="A6496">
            <v>0</v>
          </cell>
          <cell r="B6496">
            <v>0</v>
          </cell>
        </row>
        <row r="6497">
          <cell r="A6497">
            <v>0</v>
          </cell>
          <cell r="B6497">
            <v>0</v>
          </cell>
        </row>
        <row r="6498">
          <cell r="A6498">
            <v>0</v>
          </cell>
          <cell r="B6498">
            <v>0</v>
          </cell>
        </row>
        <row r="6499">
          <cell r="A6499">
            <v>0</v>
          </cell>
          <cell r="B6499">
            <v>0</v>
          </cell>
        </row>
        <row r="6500">
          <cell r="A6500">
            <v>0</v>
          </cell>
          <cell r="B6500">
            <v>0</v>
          </cell>
        </row>
        <row r="6501">
          <cell r="A6501">
            <v>0</v>
          </cell>
          <cell r="B6501">
            <v>0</v>
          </cell>
        </row>
        <row r="6502">
          <cell r="A6502">
            <v>0</v>
          </cell>
          <cell r="B6502">
            <v>0</v>
          </cell>
        </row>
        <row r="6503">
          <cell r="A6503">
            <v>0</v>
          </cell>
          <cell r="B6503">
            <v>0</v>
          </cell>
        </row>
        <row r="6504">
          <cell r="A6504">
            <v>0</v>
          </cell>
          <cell r="B6504">
            <v>0</v>
          </cell>
        </row>
        <row r="6505">
          <cell r="A6505">
            <v>0</v>
          </cell>
          <cell r="B6505">
            <v>0</v>
          </cell>
        </row>
        <row r="6506">
          <cell r="A6506">
            <v>0</v>
          </cell>
          <cell r="B6506">
            <v>0</v>
          </cell>
        </row>
        <row r="6507">
          <cell r="A6507">
            <v>0</v>
          </cell>
          <cell r="B6507">
            <v>0</v>
          </cell>
        </row>
        <row r="6508">
          <cell r="A6508">
            <v>0</v>
          </cell>
          <cell r="B6508">
            <v>0</v>
          </cell>
        </row>
        <row r="6509">
          <cell r="A6509">
            <v>0</v>
          </cell>
          <cell r="B6509">
            <v>0</v>
          </cell>
        </row>
        <row r="6510">
          <cell r="A6510">
            <v>0</v>
          </cell>
          <cell r="B6510">
            <v>0</v>
          </cell>
        </row>
        <row r="6511">
          <cell r="A6511">
            <v>0</v>
          </cell>
          <cell r="B6511">
            <v>0</v>
          </cell>
        </row>
        <row r="6512">
          <cell r="A6512">
            <v>0</v>
          </cell>
          <cell r="B6512">
            <v>0</v>
          </cell>
        </row>
        <row r="6513">
          <cell r="A6513">
            <v>0</v>
          </cell>
          <cell r="B6513">
            <v>0</v>
          </cell>
        </row>
        <row r="6514">
          <cell r="A6514">
            <v>0</v>
          </cell>
          <cell r="B6514">
            <v>0</v>
          </cell>
        </row>
        <row r="6515">
          <cell r="A6515">
            <v>0</v>
          </cell>
          <cell r="B6515">
            <v>0</v>
          </cell>
        </row>
        <row r="6516">
          <cell r="A6516">
            <v>0</v>
          </cell>
          <cell r="B6516">
            <v>0</v>
          </cell>
        </row>
        <row r="6517">
          <cell r="A6517">
            <v>0</v>
          </cell>
          <cell r="B6517">
            <v>0</v>
          </cell>
        </row>
        <row r="6518">
          <cell r="A6518">
            <v>0</v>
          </cell>
          <cell r="B6518">
            <v>0</v>
          </cell>
        </row>
        <row r="6519">
          <cell r="A6519">
            <v>0</v>
          </cell>
          <cell r="B6519">
            <v>0</v>
          </cell>
        </row>
        <row r="6520">
          <cell r="A6520">
            <v>0</v>
          </cell>
          <cell r="B6520">
            <v>0</v>
          </cell>
        </row>
        <row r="6521">
          <cell r="A6521">
            <v>0</v>
          </cell>
          <cell r="B6521">
            <v>0</v>
          </cell>
        </row>
        <row r="6522">
          <cell r="A6522">
            <v>0</v>
          </cell>
          <cell r="B6522">
            <v>0</v>
          </cell>
        </row>
        <row r="6523">
          <cell r="A6523">
            <v>0</v>
          </cell>
          <cell r="B6523">
            <v>0</v>
          </cell>
        </row>
        <row r="6524">
          <cell r="A6524">
            <v>0</v>
          </cell>
          <cell r="B6524">
            <v>0</v>
          </cell>
        </row>
        <row r="6525">
          <cell r="A6525">
            <v>0</v>
          </cell>
          <cell r="B6525">
            <v>0</v>
          </cell>
        </row>
        <row r="6526">
          <cell r="A6526">
            <v>0</v>
          </cell>
          <cell r="B6526">
            <v>0</v>
          </cell>
        </row>
        <row r="6527">
          <cell r="A6527">
            <v>0</v>
          </cell>
          <cell r="B6527">
            <v>0</v>
          </cell>
        </row>
        <row r="6528">
          <cell r="A6528">
            <v>0</v>
          </cell>
          <cell r="B6528">
            <v>0</v>
          </cell>
        </row>
        <row r="6529">
          <cell r="A6529">
            <v>0</v>
          </cell>
          <cell r="B6529">
            <v>0</v>
          </cell>
        </row>
        <row r="6530">
          <cell r="A6530">
            <v>0</v>
          </cell>
          <cell r="B6530">
            <v>0</v>
          </cell>
        </row>
        <row r="6531">
          <cell r="A6531">
            <v>0</v>
          </cell>
          <cell r="B6531">
            <v>0</v>
          </cell>
        </row>
        <row r="6532">
          <cell r="A6532">
            <v>0</v>
          </cell>
          <cell r="B6532">
            <v>0</v>
          </cell>
        </row>
        <row r="6533">
          <cell r="A6533">
            <v>0</v>
          </cell>
          <cell r="B6533">
            <v>0</v>
          </cell>
        </row>
        <row r="6534">
          <cell r="A6534">
            <v>0</v>
          </cell>
          <cell r="B6534">
            <v>0</v>
          </cell>
        </row>
        <row r="6535">
          <cell r="A6535">
            <v>0</v>
          </cell>
          <cell r="B6535">
            <v>0</v>
          </cell>
        </row>
        <row r="6536">
          <cell r="A6536">
            <v>0</v>
          </cell>
          <cell r="B6536">
            <v>0</v>
          </cell>
        </row>
        <row r="6537">
          <cell r="A6537">
            <v>0</v>
          </cell>
          <cell r="B6537">
            <v>0</v>
          </cell>
        </row>
        <row r="6538">
          <cell r="A6538">
            <v>0</v>
          </cell>
          <cell r="B6538">
            <v>0</v>
          </cell>
        </row>
        <row r="6539">
          <cell r="A6539">
            <v>0</v>
          </cell>
          <cell r="B6539">
            <v>0</v>
          </cell>
        </row>
        <row r="6540">
          <cell r="A6540">
            <v>0</v>
          </cell>
          <cell r="B6540">
            <v>0</v>
          </cell>
        </row>
        <row r="6541">
          <cell r="A6541">
            <v>0</v>
          </cell>
          <cell r="B6541">
            <v>0</v>
          </cell>
        </row>
        <row r="6542">
          <cell r="A6542">
            <v>0</v>
          </cell>
          <cell r="B6542">
            <v>0</v>
          </cell>
        </row>
        <row r="6543">
          <cell r="A6543">
            <v>0</v>
          </cell>
          <cell r="B6543">
            <v>0</v>
          </cell>
        </row>
        <row r="6544">
          <cell r="A6544">
            <v>0</v>
          </cell>
          <cell r="B6544">
            <v>0</v>
          </cell>
        </row>
        <row r="6545">
          <cell r="A6545">
            <v>0</v>
          </cell>
          <cell r="B6545">
            <v>0</v>
          </cell>
        </row>
        <row r="6546">
          <cell r="A6546">
            <v>0</v>
          </cell>
          <cell r="B6546">
            <v>0</v>
          </cell>
        </row>
        <row r="6547">
          <cell r="A6547">
            <v>0</v>
          </cell>
          <cell r="B6547">
            <v>0</v>
          </cell>
        </row>
        <row r="6548">
          <cell r="A6548">
            <v>0</v>
          </cell>
          <cell r="B6548">
            <v>0</v>
          </cell>
        </row>
        <row r="6549">
          <cell r="A6549">
            <v>0</v>
          </cell>
          <cell r="B6549">
            <v>0</v>
          </cell>
        </row>
        <row r="6550">
          <cell r="A6550">
            <v>0</v>
          </cell>
          <cell r="B6550">
            <v>0</v>
          </cell>
        </row>
        <row r="6551">
          <cell r="A6551">
            <v>0</v>
          </cell>
          <cell r="B6551">
            <v>0</v>
          </cell>
        </row>
        <row r="6552">
          <cell r="A6552">
            <v>0</v>
          </cell>
          <cell r="B6552">
            <v>0</v>
          </cell>
        </row>
        <row r="6553">
          <cell r="A6553">
            <v>0</v>
          </cell>
          <cell r="B6553">
            <v>0</v>
          </cell>
        </row>
        <row r="6554">
          <cell r="A6554">
            <v>0</v>
          </cell>
          <cell r="B6554">
            <v>0</v>
          </cell>
        </row>
        <row r="6555">
          <cell r="A6555">
            <v>0</v>
          </cell>
          <cell r="B6555">
            <v>0</v>
          </cell>
        </row>
        <row r="6556">
          <cell r="A6556">
            <v>0</v>
          </cell>
          <cell r="B6556">
            <v>0</v>
          </cell>
        </row>
        <row r="6557">
          <cell r="A6557">
            <v>0</v>
          </cell>
          <cell r="B6557">
            <v>0</v>
          </cell>
        </row>
        <row r="6558">
          <cell r="A6558">
            <v>0</v>
          </cell>
          <cell r="B6558">
            <v>0</v>
          </cell>
        </row>
        <row r="6559">
          <cell r="A6559">
            <v>0</v>
          </cell>
          <cell r="B6559">
            <v>0</v>
          </cell>
        </row>
        <row r="6560">
          <cell r="A6560">
            <v>0</v>
          </cell>
          <cell r="B6560">
            <v>0</v>
          </cell>
        </row>
        <row r="6561">
          <cell r="A6561">
            <v>0</v>
          </cell>
          <cell r="B6561">
            <v>0</v>
          </cell>
        </row>
        <row r="6562">
          <cell r="A6562">
            <v>0</v>
          </cell>
          <cell r="B6562">
            <v>0</v>
          </cell>
        </row>
        <row r="6563">
          <cell r="A6563">
            <v>0</v>
          </cell>
          <cell r="B6563">
            <v>0</v>
          </cell>
        </row>
        <row r="6564">
          <cell r="A6564">
            <v>0</v>
          </cell>
          <cell r="B6564">
            <v>0</v>
          </cell>
        </row>
        <row r="6565">
          <cell r="A6565">
            <v>0</v>
          </cell>
          <cell r="B6565">
            <v>0</v>
          </cell>
        </row>
        <row r="6566">
          <cell r="A6566">
            <v>0</v>
          </cell>
          <cell r="B6566">
            <v>0</v>
          </cell>
        </row>
        <row r="6567">
          <cell r="A6567">
            <v>0</v>
          </cell>
          <cell r="B6567">
            <v>0</v>
          </cell>
        </row>
        <row r="6568">
          <cell r="A6568">
            <v>0</v>
          </cell>
          <cell r="B6568">
            <v>0</v>
          </cell>
        </row>
        <row r="6569">
          <cell r="A6569">
            <v>0</v>
          </cell>
          <cell r="B6569">
            <v>0</v>
          </cell>
        </row>
        <row r="6570">
          <cell r="A6570">
            <v>0</v>
          </cell>
          <cell r="B6570">
            <v>0</v>
          </cell>
        </row>
        <row r="6571">
          <cell r="A6571">
            <v>0</v>
          </cell>
          <cell r="B6571">
            <v>0</v>
          </cell>
        </row>
        <row r="6572">
          <cell r="A6572">
            <v>0</v>
          </cell>
          <cell r="B6572">
            <v>0</v>
          </cell>
        </row>
        <row r="6573">
          <cell r="A6573">
            <v>0</v>
          </cell>
          <cell r="B6573">
            <v>0</v>
          </cell>
        </row>
        <row r="6574">
          <cell r="A6574">
            <v>0</v>
          </cell>
          <cell r="B6574">
            <v>0</v>
          </cell>
        </row>
        <row r="6575">
          <cell r="A6575">
            <v>0</v>
          </cell>
          <cell r="B6575">
            <v>0</v>
          </cell>
        </row>
        <row r="6576">
          <cell r="A6576">
            <v>0</v>
          </cell>
          <cell r="B6576">
            <v>0</v>
          </cell>
        </row>
        <row r="6577">
          <cell r="A6577">
            <v>0</v>
          </cell>
          <cell r="B6577">
            <v>0</v>
          </cell>
        </row>
        <row r="6578">
          <cell r="A6578">
            <v>0</v>
          </cell>
          <cell r="B6578">
            <v>0</v>
          </cell>
        </row>
        <row r="6579">
          <cell r="A6579">
            <v>0</v>
          </cell>
          <cell r="B6579">
            <v>0</v>
          </cell>
        </row>
        <row r="6580">
          <cell r="A6580">
            <v>0</v>
          </cell>
          <cell r="B6580">
            <v>0</v>
          </cell>
        </row>
        <row r="6581">
          <cell r="A6581">
            <v>0</v>
          </cell>
          <cell r="B6581">
            <v>0</v>
          </cell>
        </row>
        <row r="6582">
          <cell r="A6582">
            <v>0</v>
          </cell>
          <cell r="B6582">
            <v>0</v>
          </cell>
        </row>
        <row r="6583">
          <cell r="A6583">
            <v>0</v>
          </cell>
          <cell r="B6583">
            <v>0</v>
          </cell>
        </row>
        <row r="6584">
          <cell r="A6584">
            <v>0</v>
          </cell>
          <cell r="B6584">
            <v>0</v>
          </cell>
        </row>
        <row r="6585">
          <cell r="A6585">
            <v>0</v>
          </cell>
          <cell r="B6585">
            <v>0</v>
          </cell>
        </row>
        <row r="6586">
          <cell r="A6586">
            <v>0</v>
          </cell>
          <cell r="B6586">
            <v>0</v>
          </cell>
        </row>
        <row r="6587">
          <cell r="A6587">
            <v>0</v>
          </cell>
          <cell r="B6587">
            <v>0</v>
          </cell>
        </row>
        <row r="6588">
          <cell r="A6588">
            <v>0</v>
          </cell>
          <cell r="B6588">
            <v>0</v>
          </cell>
        </row>
        <row r="6589">
          <cell r="A6589">
            <v>0</v>
          </cell>
          <cell r="B6589">
            <v>0</v>
          </cell>
        </row>
        <row r="6590">
          <cell r="A6590">
            <v>0</v>
          </cell>
          <cell r="B6590">
            <v>0</v>
          </cell>
        </row>
        <row r="6591">
          <cell r="A6591">
            <v>0</v>
          </cell>
          <cell r="B6591">
            <v>0</v>
          </cell>
        </row>
        <row r="6592">
          <cell r="A6592">
            <v>0</v>
          </cell>
          <cell r="B6592">
            <v>0</v>
          </cell>
        </row>
        <row r="6593">
          <cell r="A6593">
            <v>0</v>
          </cell>
          <cell r="B6593">
            <v>0</v>
          </cell>
        </row>
        <row r="6594">
          <cell r="A6594">
            <v>0</v>
          </cell>
          <cell r="B6594">
            <v>0</v>
          </cell>
        </row>
        <row r="6595">
          <cell r="A6595">
            <v>0</v>
          </cell>
          <cell r="B6595">
            <v>0</v>
          </cell>
        </row>
        <row r="6596">
          <cell r="A6596">
            <v>0</v>
          </cell>
          <cell r="B6596">
            <v>0</v>
          </cell>
        </row>
        <row r="6597">
          <cell r="A6597">
            <v>0</v>
          </cell>
          <cell r="B6597">
            <v>0</v>
          </cell>
        </row>
        <row r="6598">
          <cell r="A6598">
            <v>0</v>
          </cell>
          <cell r="B6598">
            <v>0</v>
          </cell>
        </row>
        <row r="6599">
          <cell r="A6599">
            <v>0</v>
          </cell>
          <cell r="B6599">
            <v>0</v>
          </cell>
        </row>
        <row r="6600">
          <cell r="A6600">
            <v>0</v>
          </cell>
          <cell r="B6600">
            <v>0</v>
          </cell>
        </row>
        <row r="6601">
          <cell r="A6601">
            <v>0</v>
          </cell>
          <cell r="B6601">
            <v>0</v>
          </cell>
        </row>
        <row r="6602">
          <cell r="A6602">
            <v>0</v>
          </cell>
          <cell r="B6602">
            <v>0</v>
          </cell>
        </row>
        <row r="6603">
          <cell r="A6603">
            <v>0</v>
          </cell>
          <cell r="B6603">
            <v>0</v>
          </cell>
        </row>
        <row r="6604">
          <cell r="A6604">
            <v>0</v>
          </cell>
          <cell r="B6604">
            <v>0</v>
          </cell>
        </row>
        <row r="6605">
          <cell r="A6605">
            <v>0</v>
          </cell>
          <cell r="B6605">
            <v>0</v>
          </cell>
        </row>
        <row r="6606">
          <cell r="A6606">
            <v>0</v>
          </cell>
          <cell r="B6606">
            <v>0</v>
          </cell>
        </row>
        <row r="6607">
          <cell r="A6607">
            <v>0</v>
          </cell>
          <cell r="B6607">
            <v>0</v>
          </cell>
        </row>
        <row r="6608">
          <cell r="A6608">
            <v>0</v>
          </cell>
          <cell r="B6608">
            <v>0</v>
          </cell>
        </row>
        <row r="6609">
          <cell r="A6609">
            <v>0</v>
          </cell>
          <cell r="B6609">
            <v>0</v>
          </cell>
        </row>
        <row r="6610">
          <cell r="A6610">
            <v>0</v>
          </cell>
          <cell r="B6610">
            <v>0</v>
          </cell>
        </row>
        <row r="6611">
          <cell r="A6611">
            <v>0</v>
          </cell>
          <cell r="B6611">
            <v>0</v>
          </cell>
        </row>
        <row r="6612">
          <cell r="A6612">
            <v>0</v>
          </cell>
          <cell r="B6612">
            <v>0</v>
          </cell>
        </row>
        <row r="6613">
          <cell r="A6613">
            <v>0</v>
          </cell>
          <cell r="B6613">
            <v>0</v>
          </cell>
        </row>
        <row r="6614">
          <cell r="A6614">
            <v>0</v>
          </cell>
          <cell r="B6614">
            <v>0</v>
          </cell>
        </row>
        <row r="6615">
          <cell r="A6615">
            <v>0</v>
          </cell>
          <cell r="B6615">
            <v>0</v>
          </cell>
        </row>
        <row r="6616">
          <cell r="A6616">
            <v>0</v>
          </cell>
          <cell r="B6616">
            <v>0</v>
          </cell>
        </row>
        <row r="6617">
          <cell r="A6617">
            <v>0</v>
          </cell>
          <cell r="B6617">
            <v>0</v>
          </cell>
        </row>
        <row r="6618">
          <cell r="A6618">
            <v>0</v>
          </cell>
          <cell r="B6618">
            <v>0</v>
          </cell>
        </row>
        <row r="6619">
          <cell r="A6619">
            <v>0</v>
          </cell>
          <cell r="B6619">
            <v>0</v>
          </cell>
        </row>
        <row r="6620">
          <cell r="A6620">
            <v>0</v>
          </cell>
          <cell r="B6620">
            <v>0</v>
          </cell>
        </row>
        <row r="6621">
          <cell r="A6621">
            <v>0</v>
          </cell>
          <cell r="B6621">
            <v>0</v>
          </cell>
        </row>
        <row r="6622">
          <cell r="A6622">
            <v>0</v>
          </cell>
          <cell r="B6622">
            <v>0</v>
          </cell>
        </row>
        <row r="6623">
          <cell r="A6623">
            <v>0</v>
          </cell>
          <cell r="B6623">
            <v>0</v>
          </cell>
        </row>
        <row r="6624">
          <cell r="A6624">
            <v>0</v>
          </cell>
          <cell r="B6624">
            <v>0</v>
          </cell>
        </row>
        <row r="6625">
          <cell r="A6625">
            <v>0</v>
          </cell>
          <cell r="B6625">
            <v>0</v>
          </cell>
        </row>
        <row r="6626">
          <cell r="A6626">
            <v>0</v>
          </cell>
          <cell r="B6626">
            <v>0</v>
          </cell>
        </row>
        <row r="6627">
          <cell r="A6627">
            <v>0</v>
          </cell>
          <cell r="B6627">
            <v>0</v>
          </cell>
        </row>
        <row r="6628">
          <cell r="A6628">
            <v>0</v>
          </cell>
          <cell r="B6628">
            <v>0</v>
          </cell>
        </row>
        <row r="6629">
          <cell r="A6629">
            <v>0</v>
          </cell>
          <cell r="B6629">
            <v>0</v>
          </cell>
        </row>
        <row r="6630">
          <cell r="A6630">
            <v>0</v>
          </cell>
          <cell r="B6630">
            <v>0</v>
          </cell>
        </row>
        <row r="6631">
          <cell r="A6631">
            <v>0</v>
          </cell>
          <cell r="B6631">
            <v>0</v>
          </cell>
        </row>
        <row r="6632">
          <cell r="A6632">
            <v>0</v>
          </cell>
          <cell r="B6632">
            <v>0</v>
          </cell>
        </row>
        <row r="6633">
          <cell r="A6633">
            <v>0</v>
          </cell>
          <cell r="B6633">
            <v>0</v>
          </cell>
        </row>
        <row r="6634">
          <cell r="A6634">
            <v>0</v>
          </cell>
          <cell r="B6634">
            <v>0</v>
          </cell>
        </row>
        <row r="6635">
          <cell r="A6635">
            <v>0</v>
          </cell>
          <cell r="B6635">
            <v>0</v>
          </cell>
        </row>
        <row r="6636">
          <cell r="A6636">
            <v>0</v>
          </cell>
          <cell r="B6636">
            <v>0</v>
          </cell>
        </row>
        <row r="6637">
          <cell r="A6637">
            <v>0</v>
          </cell>
          <cell r="B6637">
            <v>0</v>
          </cell>
        </row>
        <row r="6638">
          <cell r="A6638">
            <v>0</v>
          </cell>
          <cell r="B6638">
            <v>0</v>
          </cell>
        </row>
        <row r="6639">
          <cell r="A6639">
            <v>0</v>
          </cell>
          <cell r="B6639">
            <v>0</v>
          </cell>
        </row>
        <row r="6640">
          <cell r="A6640">
            <v>0</v>
          </cell>
          <cell r="B6640">
            <v>0</v>
          </cell>
        </row>
        <row r="6641">
          <cell r="A6641">
            <v>0</v>
          </cell>
          <cell r="B6641">
            <v>0</v>
          </cell>
        </row>
        <row r="6642">
          <cell r="A6642">
            <v>0</v>
          </cell>
          <cell r="B6642">
            <v>0</v>
          </cell>
        </row>
        <row r="6643">
          <cell r="A6643">
            <v>0</v>
          </cell>
          <cell r="B6643">
            <v>0</v>
          </cell>
        </row>
        <row r="6644">
          <cell r="A6644">
            <v>0</v>
          </cell>
          <cell r="B6644">
            <v>0</v>
          </cell>
        </row>
        <row r="6645">
          <cell r="A6645">
            <v>0</v>
          </cell>
          <cell r="B6645">
            <v>0</v>
          </cell>
        </row>
        <row r="6646">
          <cell r="A6646">
            <v>0</v>
          </cell>
          <cell r="B6646">
            <v>0</v>
          </cell>
        </row>
        <row r="6647">
          <cell r="A6647">
            <v>0</v>
          </cell>
          <cell r="B6647">
            <v>0</v>
          </cell>
        </row>
        <row r="6648">
          <cell r="A6648">
            <v>0</v>
          </cell>
          <cell r="B6648">
            <v>0</v>
          </cell>
        </row>
        <row r="6649">
          <cell r="A6649">
            <v>0</v>
          </cell>
          <cell r="B6649">
            <v>0</v>
          </cell>
        </row>
        <row r="6650">
          <cell r="A6650">
            <v>0</v>
          </cell>
          <cell r="B6650">
            <v>0</v>
          </cell>
        </row>
        <row r="6651">
          <cell r="A6651">
            <v>0</v>
          </cell>
          <cell r="B6651">
            <v>0</v>
          </cell>
        </row>
        <row r="6652">
          <cell r="A6652">
            <v>0</v>
          </cell>
          <cell r="B6652">
            <v>0</v>
          </cell>
        </row>
        <row r="6653">
          <cell r="A6653">
            <v>0</v>
          </cell>
          <cell r="B6653">
            <v>0</v>
          </cell>
        </row>
        <row r="6654">
          <cell r="A6654">
            <v>0</v>
          </cell>
          <cell r="B6654">
            <v>0</v>
          </cell>
        </row>
        <row r="6655">
          <cell r="A6655">
            <v>0</v>
          </cell>
          <cell r="B6655">
            <v>0</v>
          </cell>
        </row>
        <row r="6656">
          <cell r="A6656">
            <v>0</v>
          </cell>
          <cell r="B6656">
            <v>0</v>
          </cell>
        </row>
        <row r="6657">
          <cell r="A6657">
            <v>0</v>
          </cell>
          <cell r="B6657">
            <v>0</v>
          </cell>
        </row>
        <row r="6658">
          <cell r="A6658">
            <v>0</v>
          </cell>
          <cell r="B6658">
            <v>0</v>
          </cell>
        </row>
        <row r="6659">
          <cell r="A6659">
            <v>0</v>
          </cell>
          <cell r="B6659">
            <v>0</v>
          </cell>
        </row>
        <row r="6660">
          <cell r="A6660">
            <v>0</v>
          </cell>
          <cell r="B6660">
            <v>0</v>
          </cell>
        </row>
        <row r="6661">
          <cell r="A6661">
            <v>0</v>
          </cell>
          <cell r="B6661">
            <v>0</v>
          </cell>
        </row>
        <row r="6662">
          <cell r="A6662">
            <v>0</v>
          </cell>
          <cell r="B6662">
            <v>0</v>
          </cell>
        </row>
        <row r="6663">
          <cell r="A6663">
            <v>0</v>
          </cell>
          <cell r="B6663">
            <v>0</v>
          </cell>
        </row>
        <row r="6664">
          <cell r="A6664">
            <v>0</v>
          </cell>
          <cell r="B6664">
            <v>0</v>
          </cell>
        </row>
        <row r="6665">
          <cell r="A6665">
            <v>0</v>
          </cell>
          <cell r="B6665">
            <v>0</v>
          </cell>
        </row>
        <row r="6666">
          <cell r="A6666">
            <v>0</v>
          </cell>
          <cell r="B6666">
            <v>0</v>
          </cell>
        </row>
        <row r="6667">
          <cell r="A6667">
            <v>0</v>
          </cell>
          <cell r="B6667">
            <v>0</v>
          </cell>
        </row>
        <row r="6668">
          <cell r="A6668">
            <v>0</v>
          </cell>
          <cell r="B6668">
            <v>0</v>
          </cell>
        </row>
        <row r="6669">
          <cell r="A6669">
            <v>0</v>
          </cell>
          <cell r="B6669">
            <v>0</v>
          </cell>
        </row>
        <row r="6670">
          <cell r="A6670">
            <v>0</v>
          </cell>
          <cell r="B6670">
            <v>0</v>
          </cell>
        </row>
        <row r="6671">
          <cell r="A6671">
            <v>0</v>
          </cell>
          <cell r="B6671">
            <v>0</v>
          </cell>
        </row>
        <row r="6672">
          <cell r="A6672">
            <v>0</v>
          </cell>
          <cell r="B6672">
            <v>0</v>
          </cell>
        </row>
        <row r="6673">
          <cell r="A6673">
            <v>0</v>
          </cell>
          <cell r="B6673">
            <v>0</v>
          </cell>
        </row>
        <row r="6674">
          <cell r="A6674">
            <v>0</v>
          </cell>
          <cell r="B6674">
            <v>0</v>
          </cell>
        </row>
        <row r="6675">
          <cell r="A6675">
            <v>0</v>
          </cell>
          <cell r="B6675">
            <v>0</v>
          </cell>
        </row>
        <row r="6676">
          <cell r="A6676">
            <v>0</v>
          </cell>
          <cell r="B6676">
            <v>0</v>
          </cell>
        </row>
        <row r="6677">
          <cell r="A6677">
            <v>0</v>
          </cell>
          <cell r="B6677">
            <v>0</v>
          </cell>
        </row>
        <row r="6678">
          <cell r="A6678">
            <v>0</v>
          </cell>
          <cell r="B6678">
            <v>0</v>
          </cell>
        </row>
        <row r="6679">
          <cell r="A6679">
            <v>0</v>
          </cell>
          <cell r="B6679">
            <v>0</v>
          </cell>
        </row>
        <row r="6680">
          <cell r="A6680">
            <v>0</v>
          </cell>
          <cell r="B6680">
            <v>0</v>
          </cell>
        </row>
        <row r="6681">
          <cell r="A6681">
            <v>0</v>
          </cell>
          <cell r="B6681">
            <v>0</v>
          </cell>
        </row>
        <row r="6682">
          <cell r="A6682">
            <v>0</v>
          </cell>
          <cell r="B6682">
            <v>0</v>
          </cell>
        </row>
        <row r="6683">
          <cell r="A6683">
            <v>0</v>
          </cell>
          <cell r="B6683">
            <v>0</v>
          </cell>
        </row>
        <row r="6684">
          <cell r="A6684">
            <v>0</v>
          </cell>
          <cell r="B6684">
            <v>0</v>
          </cell>
        </row>
        <row r="6685">
          <cell r="A6685">
            <v>0</v>
          </cell>
          <cell r="B6685">
            <v>0</v>
          </cell>
        </row>
        <row r="6686">
          <cell r="A6686">
            <v>0</v>
          </cell>
          <cell r="B6686">
            <v>0</v>
          </cell>
        </row>
        <row r="6687">
          <cell r="A6687">
            <v>0</v>
          </cell>
          <cell r="B6687">
            <v>0</v>
          </cell>
        </row>
        <row r="6688">
          <cell r="A6688">
            <v>0</v>
          </cell>
          <cell r="B6688">
            <v>0</v>
          </cell>
        </row>
        <row r="6689">
          <cell r="A6689">
            <v>0</v>
          </cell>
          <cell r="B6689">
            <v>0</v>
          </cell>
        </row>
        <row r="6690">
          <cell r="A6690">
            <v>0</v>
          </cell>
          <cell r="B6690">
            <v>0</v>
          </cell>
        </row>
        <row r="6691">
          <cell r="A6691">
            <v>0</v>
          </cell>
          <cell r="B6691">
            <v>0</v>
          </cell>
        </row>
        <row r="6692">
          <cell r="A6692">
            <v>0</v>
          </cell>
          <cell r="B6692">
            <v>0</v>
          </cell>
        </row>
        <row r="6693">
          <cell r="A6693">
            <v>0</v>
          </cell>
          <cell r="B6693">
            <v>0</v>
          </cell>
        </row>
        <row r="6694">
          <cell r="A6694">
            <v>0</v>
          </cell>
          <cell r="B6694">
            <v>0</v>
          </cell>
        </row>
        <row r="6695">
          <cell r="A6695">
            <v>0</v>
          </cell>
          <cell r="B6695">
            <v>0</v>
          </cell>
        </row>
        <row r="6696">
          <cell r="A6696">
            <v>0</v>
          </cell>
          <cell r="B6696">
            <v>0</v>
          </cell>
        </row>
        <row r="6697">
          <cell r="A6697">
            <v>0</v>
          </cell>
          <cell r="B6697">
            <v>0</v>
          </cell>
        </row>
        <row r="6698">
          <cell r="A6698">
            <v>0</v>
          </cell>
          <cell r="B6698">
            <v>0</v>
          </cell>
        </row>
        <row r="6699">
          <cell r="A6699">
            <v>0</v>
          </cell>
          <cell r="B6699">
            <v>0</v>
          </cell>
        </row>
        <row r="6700">
          <cell r="A6700">
            <v>0</v>
          </cell>
          <cell r="B6700">
            <v>0</v>
          </cell>
        </row>
        <row r="6701">
          <cell r="A6701">
            <v>0</v>
          </cell>
          <cell r="B6701">
            <v>0</v>
          </cell>
        </row>
        <row r="6702">
          <cell r="A6702">
            <v>0</v>
          </cell>
          <cell r="B6702">
            <v>0</v>
          </cell>
        </row>
        <row r="6703">
          <cell r="A6703">
            <v>0</v>
          </cell>
          <cell r="B6703">
            <v>0</v>
          </cell>
        </row>
        <row r="6704">
          <cell r="A6704">
            <v>0</v>
          </cell>
          <cell r="B6704">
            <v>0</v>
          </cell>
        </row>
        <row r="6705">
          <cell r="A6705">
            <v>0</v>
          </cell>
          <cell r="B6705">
            <v>0</v>
          </cell>
        </row>
        <row r="6706">
          <cell r="A6706">
            <v>0</v>
          </cell>
          <cell r="B6706">
            <v>0</v>
          </cell>
        </row>
        <row r="6707">
          <cell r="A6707">
            <v>0</v>
          </cell>
          <cell r="B6707">
            <v>0</v>
          </cell>
        </row>
        <row r="6708">
          <cell r="A6708">
            <v>0</v>
          </cell>
          <cell r="B6708">
            <v>0</v>
          </cell>
        </row>
        <row r="6709">
          <cell r="A6709">
            <v>0</v>
          </cell>
          <cell r="B6709">
            <v>0</v>
          </cell>
        </row>
        <row r="6710">
          <cell r="A6710">
            <v>0</v>
          </cell>
          <cell r="B6710">
            <v>0</v>
          </cell>
        </row>
        <row r="6711">
          <cell r="A6711">
            <v>0</v>
          </cell>
          <cell r="B6711">
            <v>0</v>
          </cell>
        </row>
        <row r="6712">
          <cell r="A6712">
            <v>0</v>
          </cell>
          <cell r="B6712">
            <v>0</v>
          </cell>
        </row>
        <row r="6713">
          <cell r="A6713">
            <v>0</v>
          </cell>
          <cell r="B6713">
            <v>0</v>
          </cell>
        </row>
        <row r="6714">
          <cell r="A6714">
            <v>0</v>
          </cell>
          <cell r="B6714">
            <v>0</v>
          </cell>
        </row>
        <row r="6715">
          <cell r="A6715">
            <v>0</v>
          </cell>
          <cell r="B6715">
            <v>0</v>
          </cell>
        </row>
        <row r="6716">
          <cell r="A6716">
            <v>0</v>
          </cell>
          <cell r="B6716">
            <v>0</v>
          </cell>
        </row>
        <row r="6717">
          <cell r="A6717">
            <v>0</v>
          </cell>
          <cell r="B6717">
            <v>0</v>
          </cell>
        </row>
        <row r="6718">
          <cell r="A6718">
            <v>0</v>
          </cell>
          <cell r="B6718">
            <v>0</v>
          </cell>
        </row>
        <row r="6719">
          <cell r="A6719">
            <v>0</v>
          </cell>
          <cell r="B6719">
            <v>0</v>
          </cell>
        </row>
        <row r="6720">
          <cell r="A6720">
            <v>0</v>
          </cell>
          <cell r="B6720">
            <v>0</v>
          </cell>
        </row>
        <row r="6721">
          <cell r="A6721">
            <v>0</v>
          </cell>
          <cell r="B6721">
            <v>0</v>
          </cell>
        </row>
        <row r="6722">
          <cell r="A6722">
            <v>0</v>
          </cell>
          <cell r="B6722">
            <v>0</v>
          </cell>
        </row>
        <row r="6723">
          <cell r="A6723">
            <v>0</v>
          </cell>
          <cell r="B6723">
            <v>0</v>
          </cell>
        </row>
        <row r="6724">
          <cell r="A6724">
            <v>0</v>
          </cell>
          <cell r="B6724">
            <v>0</v>
          </cell>
        </row>
        <row r="6725">
          <cell r="A6725">
            <v>0</v>
          </cell>
          <cell r="B6725">
            <v>0</v>
          </cell>
        </row>
        <row r="6726">
          <cell r="A6726">
            <v>0</v>
          </cell>
          <cell r="B6726">
            <v>0</v>
          </cell>
        </row>
        <row r="6727">
          <cell r="A6727">
            <v>0</v>
          </cell>
          <cell r="B6727">
            <v>0</v>
          </cell>
        </row>
        <row r="6728">
          <cell r="A6728">
            <v>0</v>
          </cell>
          <cell r="B6728">
            <v>0</v>
          </cell>
        </row>
        <row r="6729">
          <cell r="A6729">
            <v>0</v>
          </cell>
          <cell r="B6729">
            <v>0</v>
          </cell>
        </row>
        <row r="6730">
          <cell r="A6730">
            <v>0</v>
          </cell>
          <cell r="B6730">
            <v>0</v>
          </cell>
        </row>
        <row r="6731">
          <cell r="A6731">
            <v>0</v>
          </cell>
          <cell r="B6731">
            <v>0</v>
          </cell>
        </row>
        <row r="6732">
          <cell r="A6732">
            <v>0</v>
          </cell>
          <cell r="B6732">
            <v>0</v>
          </cell>
        </row>
        <row r="6733">
          <cell r="A6733">
            <v>0</v>
          </cell>
          <cell r="B6733">
            <v>0</v>
          </cell>
        </row>
        <row r="6734">
          <cell r="A6734">
            <v>0</v>
          </cell>
          <cell r="B6734">
            <v>0</v>
          </cell>
        </row>
        <row r="6735">
          <cell r="A6735">
            <v>0</v>
          </cell>
          <cell r="B6735">
            <v>0</v>
          </cell>
        </row>
        <row r="6736">
          <cell r="A6736">
            <v>0</v>
          </cell>
          <cell r="B6736">
            <v>0</v>
          </cell>
        </row>
        <row r="6737">
          <cell r="A6737">
            <v>0</v>
          </cell>
          <cell r="B6737">
            <v>0</v>
          </cell>
        </row>
        <row r="6738">
          <cell r="A6738">
            <v>0</v>
          </cell>
          <cell r="B6738">
            <v>0</v>
          </cell>
        </row>
        <row r="6739">
          <cell r="A6739">
            <v>0</v>
          </cell>
          <cell r="B6739">
            <v>0</v>
          </cell>
        </row>
        <row r="6740">
          <cell r="A6740">
            <v>0</v>
          </cell>
          <cell r="B6740">
            <v>0</v>
          </cell>
        </row>
        <row r="6741">
          <cell r="A6741">
            <v>0</v>
          </cell>
          <cell r="B6741">
            <v>0</v>
          </cell>
        </row>
        <row r="6742">
          <cell r="A6742">
            <v>0</v>
          </cell>
          <cell r="B6742">
            <v>0</v>
          </cell>
        </row>
        <row r="6743">
          <cell r="A6743">
            <v>0</v>
          </cell>
          <cell r="B6743">
            <v>0</v>
          </cell>
        </row>
        <row r="6744">
          <cell r="A6744">
            <v>0</v>
          </cell>
          <cell r="B6744">
            <v>0</v>
          </cell>
        </row>
        <row r="6745">
          <cell r="A6745">
            <v>0</v>
          </cell>
          <cell r="B6745">
            <v>0</v>
          </cell>
        </row>
        <row r="6746">
          <cell r="A6746">
            <v>0</v>
          </cell>
          <cell r="B6746">
            <v>0</v>
          </cell>
        </row>
        <row r="6747">
          <cell r="A6747">
            <v>0</v>
          </cell>
          <cell r="B6747">
            <v>0</v>
          </cell>
        </row>
        <row r="6748">
          <cell r="A6748">
            <v>0</v>
          </cell>
          <cell r="B6748">
            <v>0</v>
          </cell>
        </row>
        <row r="6749">
          <cell r="A6749">
            <v>0</v>
          </cell>
          <cell r="B6749">
            <v>0</v>
          </cell>
        </row>
        <row r="6750">
          <cell r="A6750">
            <v>0</v>
          </cell>
          <cell r="B6750">
            <v>0</v>
          </cell>
        </row>
        <row r="6751">
          <cell r="A6751">
            <v>0</v>
          </cell>
          <cell r="B6751">
            <v>0</v>
          </cell>
        </row>
        <row r="6752">
          <cell r="A6752">
            <v>0</v>
          </cell>
          <cell r="B6752">
            <v>0</v>
          </cell>
        </row>
        <row r="6753">
          <cell r="A6753">
            <v>0</v>
          </cell>
          <cell r="B6753">
            <v>0</v>
          </cell>
        </row>
        <row r="6754">
          <cell r="A6754">
            <v>0</v>
          </cell>
          <cell r="B6754">
            <v>0</v>
          </cell>
        </row>
        <row r="6755">
          <cell r="A6755">
            <v>0</v>
          </cell>
          <cell r="B6755">
            <v>0</v>
          </cell>
        </row>
        <row r="6756">
          <cell r="A6756">
            <v>0</v>
          </cell>
          <cell r="B6756">
            <v>0</v>
          </cell>
        </row>
        <row r="6757">
          <cell r="A6757">
            <v>0</v>
          </cell>
          <cell r="B6757">
            <v>0</v>
          </cell>
        </row>
        <row r="6758">
          <cell r="A6758">
            <v>0</v>
          </cell>
          <cell r="B6758">
            <v>0</v>
          </cell>
        </row>
        <row r="6759">
          <cell r="A6759">
            <v>0</v>
          </cell>
          <cell r="B6759">
            <v>0</v>
          </cell>
        </row>
        <row r="6760">
          <cell r="A6760">
            <v>0</v>
          </cell>
          <cell r="B6760">
            <v>0</v>
          </cell>
        </row>
        <row r="6761">
          <cell r="A6761">
            <v>0</v>
          </cell>
          <cell r="B6761">
            <v>0</v>
          </cell>
        </row>
        <row r="6762">
          <cell r="A6762">
            <v>0</v>
          </cell>
          <cell r="B6762">
            <v>0</v>
          </cell>
        </row>
        <row r="6763">
          <cell r="A6763">
            <v>0</v>
          </cell>
          <cell r="B6763">
            <v>0</v>
          </cell>
        </row>
        <row r="6764">
          <cell r="A6764">
            <v>0</v>
          </cell>
          <cell r="B6764">
            <v>0</v>
          </cell>
        </row>
        <row r="6765">
          <cell r="A6765">
            <v>0</v>
          </cell>
          <cell r="B6765">
            <v>0</v>
          </cell>
        </row>
        <row r="6766">
          <cell r="A6766">
            <v>0</v>
          </cell>
          <cell r="B6766">
            <v>0</v>
          </cell>
        </row>
        <row r="6767">
          <cell r="A6767">
            <v>0</v>
          </cell>
          <cell r="B6767">
            <v>0</v>
          </cell>
        </row>
        <row r="6768">
          <cell r="A6768">
            <v>0</v>
          </cell>
          <cell r="B6768">
            <v>0</v>
          </cell>
        </row>
        <row r="6769">
          <cell r="A6769">
            <v>0</v>
          </cell>
          <cell r="B6769">
            <v>0</v>
          </cell>
        </row>
        <row r="6770">
          <cell r="A6770">
            <v>0</v>
          </cell>
          <cell r="B6770">
            <v>0</v>
          </cell>
        </row>
        <row r="6771">
          <cell r="A6771">
            <v>0</v>
          </cell>
          <cell r="B6771">
            <v>0</v>
          </cell>
        </row>
        <row r="6772">
          <cell r="A6772">
            <v>0</v>
          </cell>
          <cell r="B6772">
            <v>0</v>
          </cell>
        </row>
        <row r="6773">
          <cell r="A6773">
            <v>0</v>
          </cell>
          <cell r="B6773">
            <v>0</v>
          </cell>
        </row>
        <row r="6774">
          <cell r="A6774">
            <v>0</v>
          </cell>
          <cell r="B6774">
            <v>0</v>
          </cell>
        </row>
        <row r="6775">
          <cell r="A6775">
            <v>0</v>
          </cell>
          <cell r="B6775">
            <v>0</v>
          </cell>
        </row>
        <row r="6776">
          <cell r="A6776">
            <v>0</v>
          </cell>
          <cell r="B6776">
            <v>0</v>
          </cell>
        </row>
        <row r="6777">
          <cell r="A6777">
            <v>0</v>
          </cell>
          <cell r="B6777">
            <v>0</v>
          </cell>
        </row>
        <row r="6778">
          <cell r="A6778">
            <v>0</v>
          </cell>
          <cell r="B6778">
            <v>0</v>
          </cell>
        </row>
        <row r="6779">
          <cell r="A6779">
            <v>0</v>
          </cell>
          <cell r="B6779">
            <v>0</v>
          </cell>
        </row>
        <row r="6780">
          <cell r="A6780">
            <v>0</v>
          </cell>
          <cell r="B6780">
            <v>0</v>
          </cell>
        </row>
        <row r="6781">
          <cell r="A6781">
            <v>0</v>
          </cell>
          <cell r="B6781">
            <v>0</v>
          </cell>
        </row>
        <row r="6782">
          <cell r="A6782">
            <v>0</v>
          </cell>
          <cell r="B6782">
            <v>0</v>
          </cell>
        </row>
        <row r="6783">
          <cell r="A6783">
            <v>0</v>
          </cell>
          <cell r="B6783">
            <v>0</v>
          </cell>
        </row>
        <row r="6784">
          <cell r="A6784">
            <v>0</v>
          </cell>
          <cell r="B6784">
            <v>0</v>
          </cell>
        </row>
        <row r="6785">
          <cell r="A6785">
            <v>0</v>
          </cell>
          <cell r="B6785">
            <v>0</v>
          </cell>
        </row>
        <row r="6786">
          <cell r="A6786">
            <v>0</v>
          </cell>
          <cell r="B6786">
            <v>0</v>
          </cell>
        </row>
        <row r="6787">
          <cell r="A6787">
            <v>0</v>
          </cell>
          <cell r="B6787">
            <v>0</v>
          </cell>
        </row>
        <row r="6788">
          <cell r="A6788">
            <v>0</v>
          </cell>
          <cell r="B6788">
            <v>0</v>
          </cell>
        </row>
        <row r="6789">
          <cell r="A6789">
            <v>0</v>
          </cell>
          <cell r="B6789">
            <v>0</v>
          </cell>
        </row>
        <row r="6790">
          <cell r="A6790">
            <v>0</v>
          </cell>
          <cell r="B6790">
            <v>0</v>
          </cell>
        </row>
        <row r="6791">
          <cell r="A6791">
            <v>0</v>
          </cell>
          <cell r="B6791">
            <v>0</v>
          </cell>
        </row>
        <row r="6792">
          <cell r="A6792">
            <v>0</v>
          </cell>
          <cell r="B6792">
            <v>0</v>
          </cell>
        </row>
        <row r="6793">
          <cell r="A6793">
            <v>0</v>
          </cell>
          <cell r="B6793">
            <v>0</v>
          </cell>
        </row>
        <row r="6794">
          <cell r="A6794">
            <v>0</v>
          </cell>
          <cell r="B6794">
            <v>0</v>
          </cell>
        </row>
        <row r="6795">
          <cell r="A6795">
            <v>0</v>
          </cell>
          <cell r="B6795">
            <v>0</v>
          </cell>
        </row>
        <row r="6796">
          <cell r="A6796">
            <v>0</v>
          </cell>
          <cell r="B6796">
            <v>0</v>
          </cell>
        </row>
        <row r="6797">
          <cell r="A6797">
            <v>0</v>
          </cell>
          <cell r="B6797">
            <v>0</v>
          </cell>
        </row>
        <row r="6798">
          <cell r="A6798">
            <v>0</v>
          </cell>
          <cell r="B6798">
            <v>0</v>
          </cell>
        </row>
        <row r="6799">
          <cell r="A6799">
            <v>0</v>
          </cell>
          <cell r="B6799">
            <v>0</v>
          </cell>
        </row>
        <row r="6800">
          <cell r="A6800">
            <v>0</v>
          </cell>
          <cell r="B6800">
            <v>0</v>
          </cell>
        </row>
        <row r="6801">
          <cell r="A6801">
            <v>0</v>
          </cell>
          <cell r="B6801">
            <v>0</v>
          </cell>
        </row>
        <row r="6802">
          <cell r="A6802">
            <v>0</v>
          </cell>
          <cell r="B6802">
            <v>0</v>
          </cell>
        </row>
        <row r="6803">
          <cell r="A6803">
            <v>0</v>
          </cell>
          <cell r="B6803">
            <v>0</v>
          </cell>
        </row>
        <row r="6804">
          <cell r="A6804">
            <v>0</v>
          </cell>
          <cell r="B6804">
            <v>0</v>
          </cell>
        </row>
        <row r="6805">
          <cell r="A6805">
            <v>0</v>
          </cell>
          <cell r="B6805">
            <v>0</v>
          </cell>
        </row>
        <row r="6806">
          <cell r="A6806">
            <v>0</v>
          </cell>
          <cell r="B6806">
            <v>0</v>
          </cell>
        </row>
        <row r="6807">
          <cell r="A6807">
            <v>0</v>
          </cell>
          <cell r="B6807">
            <v>0</v>
          </cell>
        </row>
        <row r="6808">
          <cell r="A6808">
            <v>0</v>
          </cell>
          <cell r="B6808">
            <v>0</v>
          </cell>
        </row>
        <row r="6809">
          <cell r="A6809">
            <v>0</v>
          </cell>
          <cell r="B6809">
            <v>0</v>
          </cell>
        </row>
        <row r="6810">
          <cell r="A6810">
            <v>0</v>
          </cell>
          <cell r="B6810">
            <v>0</v>
          </cell>
        </row>
        <row r="6811">
          <cell r="A6811">
            <v>0</v>
          </cell>
          <cell r="B6811">
            <v>0</v>
          </cell>
        </row>
        <row r="6812">
          <cell r="A6812">
            <v>0</v>
          </cell>
          <cell r="B6812">
            <v>0</v>
          </cell>
        </row>
        <row r="6813">
          <cell r="A6813">
            <v>0</v>
          </cell>
          <cell r="B6813">
            <v>0</v>
          </cell>
        </row>
        <row r="6814">
          <cell r="A6814">
            <v>0</v>
          </cell>
          <cell r="B6814">
            <v>0</v>
          </cell>
        </row>
        <row r="6815">
          <cell r="A6815">
            <v>0</v>
          </cell>
          <cell r="B6815">
            <v>0</v>
          </cell>
        </row>
        <row r="6816">
          <cell r="A6816">
            <v>0</v>
          </cell>
          <cell r="B6816">
            <v>0</v>
          </cell>
        </row>
        <row r="6817">
          <cell r="A6817">
            <v>0</v>
          </cell>
          <cell r="B6817">
            <v>0</v>
          </cell>
        </row>
        <row r="6818">
          <cell r="A6818">
            <v>0</v>
          </cell>
          <cell r="B6818">
            <v>0</v>
          </cell>
        </row>
        <row r="6819">
          <cell r="A6819">
            <v>0</v>
          </cell>
          <cell r="B6819">
            <v>0</v>
          </cell>
        </row>
        <row r="6820">
          <cell r="A6820">
            <v>0</v>
          </cell>
          <cell r="B6820">
            <v>0</v>
          </cell>
        </row>
        <row r="6821">
          <cell r="A6821">
            <v>0</v>
          </cell>
          <cell r="B6821">
            <v>0</v>
          </cell>
        </row>
        <row r="6822">
          <cell r="A6822">
            <v>0</v>
          </cell>
          <cell r="B6822">
            <v>0</v>
          </cell>
        </row>
        <row r="6823">
          <cell r="A6823">
            <v>0</v>
          </cell>
          <cell r="B6823">
            <v>0</v>
          </cell>
        </row>
        <row r="6824">
          <cell r="A6824">
            <v>0</v>
          </cell>
          <cell r="B6824">
            <v>0</v>
          </cell>
        </row>
        <row r="6825">
          <cell r="A6825">
            <v>0</v>
          </cell>
          <cell r="B6825">
            <v>0</v>
          </cell>
        </row>
        <row r="6826">
          <cell r="A6826">
            <v>0</v>
          </cell>
          <cell r="B6826">
            <v>0</v>
          </cell>
        </row>
        <row r="6827">
          <cell r="A6827">
            <v>0</v>
          </cell>
          <cell r="B6827">
            <v>0</v>
          </cell>
        </row>
        <row r="6828">
          <cell r="A6828">
            <v>0</v>
          </cell>
          <cell r="B6828">
            <v>0</v>
          </cell>
        </row>
        <row r="6829">
          <cell r="A6829">
            <v>0</v>
          </cell>
          <cell r="B6829">
            <v>0</v>
          </cell>
        </row>
        <row r="6830">
          <cell r="A6830">
            <v>0</v>
          </cell>
          <cell r="B6830">
            <v>0</v>
          </cell>
        </row>
        <row r="6831">
          <cell r="A6831">
            <v>0</v>
          </cell>
          <cell r="B6831">
            <v>0</v>
          </cell>
        </row>
        <row r="6832">
          <cell r="A6832">
            <v>0</v>
          </cell>
          <cell r="B6832">
            <v>0</v>
          </cell>
        </row>
        <row r="6833">
          <cell r="A6833">
            <v>0</v>
          </cell>
          <cell r="B6833">
            <v>0</v>
          </cell>
        </row>
        <row r="6834">
          <cell r="A6834">
            <v>0</v>
          </cell>
          <cell r="B6834">
            <v>0</v>
          </cell>
        </row>
        <row r="6835">
          <cell r="A6835">
            <v>0</v>
          </cell>
          <cell r="B6835">
            <v>0</v>
          </cell>
        </row>
        <row r="6836">
          <cell r="A6836">
            <v>0</v>
          </cell>
          <cell r="B6836">
            <v>0</v>
          </cell>
        </row>
        <row r="6837">
          <cell r="A6837">
            <v>0</v>
          </cell>
          <cell r="B6837">
            <v>0</v>
          </cell>
        </row>
        <row r="6838">
          <cell r="A6838">
            <v>0</v>
          </cell>
          <cell r="B6838">
            <v>0</v>
          </cell>
        </row>
        <row r="6839">
          <cell r="A6839">
            <v>0</v>
          </cell>
          <cell r="B6839">
            <v>0</v>
          </cell>
        </row>
        <row r="6840">
          <cell r="A6840">
            <v>0</v>
          </cell>
          <cell r="B6840">
            <v>0</v>
          </cell>
        </row>
        <row r="6841">
          <cell r="A6841">
            <v>0</v>
          </cell>
          <cell r="B6841">
            <v>0</v>
          </cell>
        </row>
        <row r="6842">
          <cell r="A6842">
            <v>0</v>
          </cell>
          <cell r="B6842">
            <v>0</v>
          </cell>
        </row>
        <row r="6843">
          <cell r="A6843">
            <v>0</v>
          </cell>
          <cell r="B6843">
            <v>0</v>
          </cell>
        </row>
        <row r="6844">
          <cell r="A6844">
            <v>0</v>
          </cell>
          <cell r="B6844">
            <v>0</v>
          </cell>
        </row>
        <row r="6845">
          <cell r="A6845">
            <v>0</v>
          </cell>
          <cell r="B6845">
            <v>0</v>
          </cell>
        </row>
        <row r="6846">
          <cell r="A6846">
            <v>0</v>
          </cell>
          <cell r="B6846">
            <v>0</v>
          </cell>
        </row>
        <row r="6847">
          <cell r="A6847">
            <v>0</v>
          </cell>
          <cell r="B6847">
            <v>0</v>
          </cell>
        </row>
        <row r="6848">
          <cell r="A6848">
            <v>0</v>
          </cell>
          <cell r="B6848">
            <v>0</v>
          </cell>
        </row>
        <row r="6849">
          <cell r="A6849">
            <v>0</v>
          </cell>
          <cell r="B6849">
            <v>0</v>
          </cell>
        </row>
        <row r="6850">
          <cell r="A6850">
            <v>0</v>
          </cell>
          <cell r="B6850">
            <v>0</v>
          </cell>
        </row>
        <row r="6851">
          <cell r="A6851">
            <v>0</v>
          </cell>
          <cell r="B6851">
            <v>0</v>
          </cell>
        </row>
        <row r="6852">
          <cell r="A6852">
            <v>0</v>
          </cell>
          <cell r="B6852">
            <v>0</v>
          </cell>
        </row>
        <row r="6853">
          <cell r="A6853">
            <v>0</v>
          </cell>
          <cell r="B6853">
            <v>0</v>
          </cell>
        </row>
        <row r="6854">
          <cell r="A6854">
            <v>0</v>
          </cell>
          <cell r="B6854">
            <v>0</v>
          </cell>
        </row>
        <row r="6855">
          <cell r="A6855">
            <v>0</v>
          </cell>
          <cell r="B6855">
            <v>0</v>
          </cell>
        </row>
        <row r="6856">
          <cell r="A6856">
            <v>0</v>
          </cell>
          <cell r="B6856">
            <v>0</v>
          </cell>
        </row>
        <row r="6857">
          <cell r="A6857">
            <v>0</v>
          </cell>
          <cell r="B6857">
            <v>0</v>
          </cell>
        </row>
        <row r="6858">
          <cell r="A6858">
            <v>0</v>
          </cell>
          <cell r="B6858">
            <v>0</v>
          </cell>
        </row>
        <row r="6859">
          <cell r="A6859">
            <v>0</v>
          </cell>
          <cell r="B6859">
            <v>0</v>
          </cell>
        </row>
        <row r="6860">
          <cell r="A6860">
            <v>0</v>
          </cell>
          <cell r="B6860">
            <v>0</v>
          </cell>
        </row>
        <row r="6861">
          <cell r="A6861">
            <v>0</v>
          </cell>
          <cell r="B6861">
            <v>0</v>
          </cell>
        </row>
        <row r="6862">
          <cell r="A6862">
            <v>0</v>
          </cell>
          <cell r="B6862">
            <v>0</v>
          </cell>
        </row>
        <row r="6863">
          <cell r="A6863">
            <v>0</v>
          </cell>
          <cell r="B6863">
            <v>0</v>
          </cell>
        </row>
        <row r="6864">
          <cell r="A6864">
            <v>0</v>
          </cell>
          <cell r="B6864">
            <v>0</v>
          </cell>
        </row>
        <row r="6865">
          <cell r="A6865">
            <v>0</v>
          </cell>
          <cell r="B6865">
            <v>0</v>
          </cell>
        </row>
        <row r="6866">
          <cell r="A6866">
            <v>0</v>
          </cell>
          <cell r="B6866">
            <v>0</v>
          </cell>
        </row>
        <row r="6867">
          <cell r="A6867">
            <v>0</v>
          </cell>
          <cell r="B6867">
            <v>0</v>
          </cell>
        </row>
        <row r="6868">
          <cell r="A6868">
            <v>0</v>
          </cell>
          <cell r="B6868">
            <v>0</v>
          </cell>
        </row>
        <row r="6869">
          <cell r="A6869">
            <v>0</v>
          </cell>
          <cell r="B6869">
            <v>0</v>
          </cell>
        </row>
        <row r="6870">
          <cell r="A6870">
            <v>0</v>
          </cell>
          <cell r="B6870">
            <v>0</v>
          </cell>
        </row>
        <row r="6871">
          <cell r="A6871">
            <v>0</v>
          </cell>
          <cell r="B6871">
            <v>0</v>
          </cell>
        </row>
        <row r="6872">
          <cell r="A6872">
            <v>0</v>
          </cell>
          <cell r="B6872">
            <v>0</v>
          </cell>
        </row>
        <row r="6873">
          <cell r="A6873">
            <v>0</v>
          </cell>
          <cell r="B6873">
            <v>0</v>
          </cell>
        </row>
        <row r="6874">
          <cell r="A6874">
            <v>0</v>
          </cell>
          <cell r="B6874">
            <v>0</v>
          </cell>
        </row>
        <row r="6875">
          <cell r="A6875">
            <v>0</v>
          </cell>
          <cell r="B6875">
            <v>0</v>
          </cell>
        </row>
        <row r="6876">
          <cell r="A6876">
            <v>0</v>
          </cell>
          <cell r="B6876">
            <v>0</v>
          </cell>
        </row>
        <row r="6877">
          <cell r="A6877">
            <v>0</v>
          </cell>
          <cell r="B6877">
            <v>0</v>
          </cell>
        </row>
        <row r="6878">
          <cell r="A6878">
            <v>0</v>
          </cell>
          <cell r="B6878">
            <v>0</v>
          </cell>
        </row>
        <row r="6879">
          <cell r="A6879">
            <v>0</v>
          </cell>
          <cell r="B6879">
            <v>0</v>
          </cell>
        </row>
        <row r="6880">
          <cell r="A6880">
            <v>0</v>
          </cell>
          <cell r="B6880">
            <v>0</v>
          </cell>
        </row>
        <row r="6881">
          <cell r="A6881">
            <v>0</v>
          </cell>
          <cell r="B6881">
            <v>0</v>
          </cell>
        </row>
        <row r="6882">
          <cell r="A6882">
            <v>0</v>
          </cell>
          <cell r="B6882">
            <v>0</v>
          </cell>
        </row>
        <row r="6883">
          <cell r="A6883">
            <v>0</v>
          </cell>
          <cell r="B6883">
            <v>0</v>
          </cell>
        </row>
        <row r="6884">
          <cell r="A6884">
            <v>0</v>
          </cell>
          <cell r="B6884">
            <v>0</v>
          </cell>
        </row>
        <row r="6885">
          <cell r="A6885">
            <v>0</v>
          </cell>
          <cell r="B6885">
            <v>0</v>
          </cell>
        </row>
        <row r="6886">
          <cell r="A6886">
            <v>0</v>
          </cell>
          <cell r="B6886">
            <v>0</v>
          </cell>
        </row>
        <row r="6887">
          <cell r="A6887">
            <v>0</v>
          </cell>
          <cell r="B6887">
            <v>0</v>
          </cell>
        </row>
        <row r="6888">
          <cell r="A6888">
            <v>0</v>
          </cell>
          <cell r="B6888">
            <v>0</v>
          </cell>
        </row>
        <row r="6889">
          <cell r="A6889">
            <v>0</v>
          </cell>
          <cell r="B6889">
            <v>0</v>
          </cell>
        </row>
        <row r="6890">
          <cell r="A6890">
            <v>0</v>
          </cell>
          <cell r="B6890">
            <v>0</v>
          </cell>
        </row>
        <row r="6891">
          <cell r="A6891">
            <v>0</v>
          </cell>
          <cell r="B6891">
            <v>0</v>
          </cell>
        </row>
        <row r="6892">
          <cell r="A6892">
            <v>0</v>
          </cell>
          <cell r="B6892">
            <v>0</v>
          </cell>
        </row>
        <row r="6893">
          <cell r="A6893">
            <v>0</v>
          </cell>
          <cell r="B6893">
            <v>0</v>
          </cell>
        </row>
        <row r="6894">
          <cell r="A6894">
            <v>0</v>
          </cell>
          <cell r="B6894">
            <v>0</v>
          </cell>
        </row>
        <row r="6895">
          <cell r="A6895">
            <v>0</v>
          </cell>
          <cell r="B6895">
            <v>0</v>
          </cell>
        </row>
        <row r="6896">
          <cell r="A6896">
            <v>0</v>
          </cell>
          <cell r="B6896">
            <v>0</v>
          </cell>
        </row>
        <row r="6897">
          <cell r="A6897">
            <v>0</v>
          </cell>
          <cell r="B6897">
            <v>0</v>
          </cell>
        </row>
        <row r="6898">
          <cell r="A6898">
            <v>0</v>
          </cell>
          <cell r="B6898">
            <v>0</v>
          </cell>
        </row>
        <row r="6899">
          <cell r="A6899">
            <v>0</v>
          </cell>
          <cell r="B6899">
            <v>0</v>
          </cell>
        </row>
        <row r="6900">
          <cell r="A6900">
            <v>0</v>
          </cell>
          <cell r="B6900">
            <v>0</v>
          </cell>
        </row>
        <row r="6901">
          <cell r="A6901">
            <v>0</v>
          </cell>
          <cell r="B6901">
            <v>0</v>
          </cell>
        </row>
        <row r="6902">
          <cell r="A6902">
            <v>0</v>
          </cell>
          <cell r="B6902">
            <v>0</v>
          </cell>
        </row>
        <row r="6903">
          <cell r="A6903">
            <v>0</v>
          </cell>
          <cell r="B6903">
            <v>0</v>
          </cell>
        </row>
        <row r="6904">
          <cell r="A6904">
            <v>0</v>
          </cell>
          <cell r="B6904">
            <v>0</v>
          </cell>
        </row>
        <row r="6905">
          <cell r="A6905">
            <v>0</v>
          </cell>
          <cell r="B6905">
            <v>0</v>
          </cell>
        </row>
        <row r="6906">
          <cell r="A6906">
            <v>0</v>
          </cell>
          <cell r="B6906">
            <v>0</v>
          </cell>
        </row>
        <row r="6907">
          <cell r="A6907">
            <v>0</v>
          </cell>
          <cell r="B6907">
            <v>0</v>
          </cell>
        </row>
        <row r="6908">
          <cell r="A6908">
            <v>0</v>
          </cell>
          <cell r="B6908">
            <v>0</v>
          </cell>
        </row>
        <row r="6909">
          <cell r="A6909">
            <v>0</v>
          </cell>
          <cell r="B6909">
            <v>0</v>
          </cell>
        </row>
        <row r="6910">
          <cell r="A6910">
            <v>0</v>
          </cell>
          <cell r="B6910">
            <v>0</v>
          </cell>
        </row>
        <row r="6911">
          <cell r="A6911">
            <v>0</v>
          </cell>
          <cell r="B6911">
            <v>0</v>
          </cell>
        </row>
        <row r="6912">
          <cell r="A6912">
            <v>0</v>
          </cell>
          <cell r="B6912">
            <v>0</v>
          </cell>
        </row>
        <row r="6913">
          <cell r="A6913">
            <v>0</v>
          </cell>
          <cell r="B6913">
            <v>0</v>
          </cell>
        </row>
        <row r="6914">
          <cell r="A6914">
            <v>0</v>
          </cell>
          <cell r="B6914">
            <v>0</v>
          </cell>
        </row>
        <row r="6915">
          <cell r="A6915">
            <v>0</v>
          </cell>
          <cell r="B6915">
            <v>0</v>
          </cell>
        </row>
        <row r="6916">
          <cell r="A6916">
            <v>0</v>
          </cell>
          <cell r="B6916">
            <v>0</v>
          </cell>
        </row>
        <row r="6917">
          <cell r="A6917">
            <v>0</v>
          </cell>
          <cell r="B6917">
            <v>0</v>
          </cell>
        </row>
        <row r="6918">
          <cell r="A6918">
            <v>0</v>
          </cell>
          <cell r="B6918">
            <v>0</v>
          </cell>
        </row>
        <row r="6919">
          <cell r="A6919">
            <v>0</v>
          </cell>
          <cell r="B6919">
            <v>0</v>
          </cell>
        </row>
        <row r="6920">
          <cell r="A6920">
            <v>0</v>
          </cell>
          <cell r="B6920">
            <v>0</v>
          </cell>
        </row>
        <row r="6921">
          <cell r="A6921">
            <v>0</v>
          </cell>
          <cell r="B6921">
            <v>0</v>
          </cell>
        </row>
        <row r="6922">
          <cell r="A6922">
            <v>0</v>
          </cell>
          <cell r="B6922">
            <v>0</v>
          </cell>
        </row>
        <row r="6923">
          <cell r="A6923">
            <v>0</v>
          </cell>
          <cell r="B6923">
            <v>0</v>
          </cell>
        </row>
        <row r="6924">
          <cell r="A6924">
            <v>0</v>
          </cell>
          <cell r="B6924">
            <v>0</v>
          </cell>
        </row>
        <row r="6925">
          <cell r="A6925">
            <v>0</v>
          </cell>
          <cell r="B6925">
            <v>0</v>
          </cell>
        </row>
        <row r="6926">
          <cell r="A6926">
            <v>0</v>
          </cell>
          <cell r="B6926">
            <v>0</v>
          </cell>
        </row>
        <row r="6927">
          <cell r="A6927">
            <v>0</v>
          </cell>
          <cell r="B6927">
            <v>0</v>
          </cell>
        </row>
        <row r="6928">
          <cell r="A6928">
            <v>0</v>
          </cell>
          <cell r="B6928">
            <v>0</v>
          </cell>
        </row>
        <row r="6929">
          <cell r="A6929">
            <v>0</v>
          </cell>
          <cell r="B6929">
            <v>0</v>
          </cell>
        </row>
        <row r="6930">
          <cell r="A6930">
            <v>0</v>
          </cell>
          <cell r="B6930">
            <v>0</v>
          </cell>
        </row>
        <row r="6931">
          <cell r="A6931">
            <v>0</v>
          </cell>
          <cell r="B6931">
            <v>0</v>
          </cell>
        </row>
        <row r="6932">
          <cell r="A6932">
            <v>0</v>
          </cell>
          <cell r="B6932">
            <v>0</v>
          </cell>
        </row>
        <row r="6933">
          <cell r="A6933">
            <v>0</v>
          </cell>
          <cell r="B6933">
            <v>0</v>
          </cell>
        </row>
        <row r="6934">
          <cell r="A6934">
            <v>0</v>
          </cell>
          <cell r="B6934">
            <v>0</v>
          </cell>
        </row>
        <row r="6935">
          <cell r="A6935">
            <v>0</v>
          </cell>
          <cell r="B6935">
            <v>0</v>
          </cell>
        </row>
        <row r="6936">
          <cell r="A6936">
            <v>0</v>
          </cell>
          <cell r="B6936">
            <v>0</v>
          </cell>
        </row>
        <row r="6937">
          <cell r="A6937">
            <v>0</v>
          </cell>
          <cell r="B6937">
            <v>0</v>
          </cell>
        </row>
        <row r="6938">
          <cell r="A6938">
            <v>0</v>
          </cell>
          <cell r="B6938">
            <v>0</v>
          </cell>
        </row>
        <row r="6939">
          <cell r="A6939">
            <v>0</v>
          </cell>
          <cell r="B6939">
            <v>0</v>
          </cell>
        </row>
        <row r="6940">
          <cell r="A6940">
            <v>0</v>
          </cell>
          <cell r="B6940">
            <v>0</v>
          </cell>
        </row>
        <row r="6941">
          <cell r="A6941">
            <v>0</v>
          </cell>
          <cell r="B6941">
            <v>0</v>
          </cell>
        </row>
        <row r="6942">
          <cell r="A6942">
            <v>0</v>
          </cell>
          <cell r="B6942">
            <v>0</v>
          </cell>
        </row>
        <row r="6943">
          <cell r="A6943">
            <v>0</v>
          </cell>
          <cell r="B6943">
            <v>0</v>
          </cell>
        </row>
        <row r="6944">
          <cell r="A6944">
            <v>0</v>
          </cell>
          <cell r="B6944">
            <v>0</v>
          </cell>
        </row>
        <row r="6945">
          <cell r="A6945">
            <v>0</v>
          </cell>
          <cell r="B6945">
            <v>0</v>
          </cell>
        </row>
        <row r="6946">
          <cell r="A6946">
            <v>0</v>
          </cell>
          <cell r="B6946">
            <v>0</v>
          </cell>
        </row>
        <row r="6947">
          <cell r="A6947">
            <v>0</v>
          </cell>
          <cell r="B6947">
            <v>0</v>
          </cell>
        </row>
        <row r="6948">
          <cell r="A6948">
            <v>0</v>
          </cell>
          <cell r="B6948">
            <v>0</v>
          </cell>
        </row>
        <row r="6949">
          <cell r="A6949">
            <v>0</v>
          </cell>
          <cell r="B6949">
            <v>0</v>
          </cell>
        </row>
        <row r="6950">
          <cell r="A6950">
            <v>0</v>
          </cell>
          <cell r="B6950">
            <v>0</v>
          </cell>
        </row>
        <row r="6951">
          <cell r="A6951">
            <v>0</v>
          </cell>
          <cell r="B6951">
            <v>0</v>
          </cell>
        </row>
        <row r="6952">
          <cell r="A6952">
            <v>0</v>
          </cell>
          <cell r="B6952">
            <v>0</v>
          </cell>
        </row>
        <row r="6953">
          <cell r="A6953">
            <v>0</v>
          </cell>
          <cell r="B6953">
            <v>0</v>
          </cell>
        </row>
        <row r="6954">
          <cell r="A6954">
            <v>0</v>
          </cell>
          <cell r="B6954">
            <v>0</v>
          </cell>
        </row>
        <row r="6955">
          <cell r="A6955">
            <v>0</v>
          </cell>
          <cell r="B6955">
            <v>0</v>
          </cell>
        </row>
        <row r="6956">
          <cell r="A6956">
            <v>0</v>
          </cell>
          <cell r="B6956">
            <v>0</v>
          </cell>
        </row>
        <row r="6957">
          <cell r="A6957">
            <v>0</v>
          </cell>
          <cell r="B6957">
            <v>0</v>
          </cell>
        </row>
        <row r="6958">
          <cell r="A6958">
            <v>0</v>
          </cell>
          <cell r="B6958">
            <v>0</v>
          </cell>
        </row>
        <row r="6959">
          <cell r="A6959">
            <v>0</v>
          </cell>
          <cell r="B6959">
            <v>0</v>
          </cell>
        </row>
        <row r="6960">
          <cell r="A6960">
            <v>0</v>
          </cell>
          <cell r="B6960">
            <v>0</v>
          </cell>
        </row>
        <row r="6961">
          <cell r="A6961">
            <v>0</v>
          </cell>
          <cell r="B6961">
            <v>0</v>
          </cell>
        </row>
        <row r="6962">
          <cell r="A6962">
            <v>0</v>
          </cell>
          <cell r="B6962">
            <v>0</v>
          </cell>
        </row>
        <row r="6963">
          <cell r="A6963">
            <v>0</v>
          </cell>
          <cell r="B6963">
            <v>0</v>
          </cell>
        </row>
        <row r="6964">
          <cell r="A6964">
            <v>0</v>
          </cell>
          <cell r="B6964">
            <v>0</v>
          </cell>
        </row>
        <row r="6965">
          <cell r="A6965">
            <v>0</v>
          </cell>
          <cell r="B6965">
            <v>0</v>
          </cell>
        </row>
        <row r="6966">
          <cell r="A6966">
            <v>0</v>
          </cell>
          <cell r="B6966">
            <v>0</v>
          </cell>
        </row>
        <row r="6967">
          <cell r="A6967">
            <v>0</v>
          </cell>
          <cell r="B6967">
            <v>0</v>
          </cell>
        </row>
        <row r="6968">
          <cell r="A6968">
            <v>0</v>
          </cell>
          <cell r="B6968">
            <v>0</v>
          </cell>
        </row>
        <row r="6969">
          <cell r="A6969">
            <v>0</v>
          </cell>
          <cell r="B6969">
            <v>0</v>
          </cell>
        </row>
        <row r="6970">
          <cell r="A6970">
            <v>0</v>
          </cell>
          <cell r="B6970">
            <v>0</v>
          </cell>
        </row>
        <row r="6971">
          <cell r="A6971">
            <v>0</v>
          </cell>
          <cell r="B6971">
            <v>0</v>
          </cell>
        </row>
        <row r="6972">
          <cell r="A6972">
            <v>0</v>
          </cell>
          <cell r="B6972">
            <v>0</v>
          </cell>
        </row>
        <row r="6973">
          <cell r="A6973">
            <v>0</v>
          </cell>
          <cell r="B6973">
            <v>0</v>
          </cell>
        </row>
        <row r="6974">
          <cell r="A6974">
            <v>0</v>
          </cell>
          <cell r="B6974">
            <v>0</v>
          </cell>
        </row>
        <row r="6975">
          <cell r="A6975">
            <v>0</v>
          </cell>
          <cell r="B6975">
            <v>0</v>
          </cell>
        </row>
        <row r="6976">
          <cell r="A6976">
            <v>0</v>
          </cell>
          <cell r="B6976">
            <v>0</v>
          </cell>
        </row>
        <row r="6977">
          <cell r="A6977">
            <v>0</v>
          </cell>
          <cell r="B6977">
            <v>0</v>
          </cell>
        </row>
        <row r="6978">
          <cell r="A6978">
            <v>0</v>
          </cell>
          <cell r="B6978">
            <v>0</v>
          </cell>
        </row>
        <row r="6979">
          <cell r="A6979">
            <v>0</v>
          </cell>
          <cell r="B6979">
            <v>0</v>
          </cell>
        </row>
        <row r="6980">
          <cell r="A6980">
            <v>0</v>
          </cell>
          <cell r="B6980">
            <v>0</v>
          </cell>
        </row>
        <row r="6981">
          <cell r="A6981">
            <v>0</v>
          </cell>
          <cell r="B6981">
            <v>0</v>
          </cell>
        </row>
        <row r="6982">
          <cell r="A6982">
            <v>0</v>
          </cell>
          <cell r="B6982">
            <v>0</v>
          </cell>
        </row>
        <row r="6983">
          <cell r="A6983">
            <v>0</v>
          </cell>
          <cell r="B6983">
            <v>0</v>
          </cell>
        </row>
        <row r="6984">
          <cell r="A6984">
            <v>0</v>
          </cell>
          <cell r="B6984">
            <v>0</v>
          </cell>
        </row>
        <row r="6985">
          <cell r="A6985">
            <v>0</v>
          </cell>
          <cell r="B6985">
            <v>0</v>
          </cell>
        </row>
        <row r="6986">
          <cell r="A6986">
            <v>0</v>
          </cell>
          <cell r="B6986">
            <v>0</v>
          </cell>
        </row>
        <row r="6987">
          <cell r="A6987">
            <v>0</v>
          </cell>
          <cell r="B6987">
            <v>0</v>
          </cell>
        </row>
        <row r="6988">
          <cell r="A6988">
            <v>0</v>
          </cell>
          <cell r="B6988">
            <v>0</v>
          </cell>
        </row>
        <row r="6989">
          <cell r="A6989">
            <v>0</v>
          </cell>
          <cell r="B6989">
            <v>0</v>
          </cell>
        </row>
        <row r="6990">
          <cell r="A6990">
            <v>0</v>
          </cell>
          <cell r="B6990">
            <v>0</v>
          </cell>
        </row>
        <row r="6991">
          <cell r="A6991">
            <v>0</v>
          </cell>
          <cell r="B6991">
            <v>0</v>
          </cell>
        </row>
        <row r="6992">
          <cell r="A6992">
            <v>0</v>
          </cell>
          <cell r="B6992">
            <v>0</v>
          </cell>
        </row>
        <row r="6993">
          <cell r="A6993">
            <v>0</v>
          </cell>
          <cell r="B6993">
            <v>0</v>
          </cell>
        </row>
        <row r="6994">
          <cell r="A6994">
            <v>0</v>
          </cell>
          <cell r="B6994">
            <v>0</v>
          </cell>
        </row>
        <row r="6995">
          <cell r="A6995">
            <v>0</v>
          </cell>
          <cell r="B6995">
            <v>0</v>
          </cell>
        </row>
        <row r="6996">
          <cell r="A6996">
            <v>0</v>
          </cell>
          <cell r="B6996">
            <v>0</v>
          </cell>
        </row>
        <row r="6997">
          <cell r="A6997">
            <v>0</v>
          </cell>
          <cell r="B6997">
            <v>0</v>
          </cell>
        </row>
        <row r="6998">
          <cell r="A6998">
            <v>0</v>
          </cell>
          <cell r="B6998">
            <v>0</v>
          </cell>
        </row>
        <row r="6999">
          <cell r="A6999">
            <v>0</v>
          </cell>
          <cell r="B6999">
            <v>0</v>
          </cell>
        </row>
        <row r="7000">
          <cell r="A7000">
            <v>0</v>
          </cell>
          <cell r="B7000">
            <v>0</v>
          </cell>
        </row>
        <row r="7001">
          <cell r="A7001">
            <v>0</v>
          </cell>
          <cell r="B7001">
            <v>0</v>
          </cell>
        </row>
        <row r="7002">
          <cell r="A7002">
            <v>0</v>
          </cell>
          <cell r="B7002">
            <v>0</v>
          </cell>
        </row>
        <row r="7003">
          <cell r="A7003">
            <v>0</v>
          </cell>
          <cell r="B7003">
            <v>0</v>
          </cell>
        </row>
        <row r="7004">
          <cell r="A7004">
            <v>0</v>
          </cell>
          <cell r="B7004">
            <v>0</v>
          </cell>
        </row>
        <row r="7005">
          <cell r="A7005">
            <v>0</v>
          </cell>
          <cell r="B7005">
            <v>0</v>
          </cell>
        </row>
        <row r="7006">
          <cell r="A7006">
            <v>0</v>
          </cell>
          <cell r="B7006">
            <v>0</v>
          </cell>
        </row>
        <row r="7007">
          <cell r="A7007">
            <v>0</v>
          </cell>
          <cell r="B7007">
            <v>0</v>
          </cell>
        </row>
        <row r="7008">
          <cell r="A7008">
            <v>0</v>
          </cell>
          <cell r="B7008">
            <v>0</v>
          </cell>
        </row>
        <row r="7009">
          <cell r="A7009">
            <v>0</v>
          </cell>
          <cell r="B7009">
            <v>0</v>
          </cell>
        </row>
        <row r="7010">
          <cell r="A7010">
            <v>0</v>
          </cell>
          <cell r="B7010">
            <v>0</v>
          </cell>
        </row>
        <row r="7011">
          <cell r="A7011">
            <v>0</v>
          </cell>
          <cell r="B7011">
            <v>0</v>
          </cell>
        </row>
        <row r="7012">
          <cell r="A7012">
            <v>0</v>
          </cell>
          <cell r="B7012">
            <v>0</v>
          </cell>
        </row>
        <row r="7013">
          <cell r="A7013">
            <v>0</v>
          </cell>
          <cell r="B7013">
            <v>0</v>
          </cell>
        </row>
        <row r="7014">
          <cell r="A7014">
            <v>0</v>
          </cell>
          <cell r="B7014">
            <v>0</v>
          </cell>
        </row>
        <row r="7015">
          <cell r="A7015">
            <v>0</v>
          </cell>
          <cell r="B7015">
            <v>0</v>
          </cell>
        </row>
        <row r="7016">
          <cell r="A7016">
            <v>0</v>
          </cell>
          <cell r="B7016">
            <v>0</v>
          </cell>
        </row>
        <row r="7017">
          <cell r="A7017">
            <v>0</v>
          </cell>
          <cell r="B7017">
            <v>0</v>
          </cell>
        </row>
        <row r="7018">
          <cell r="A7018">
            <v>0</v>
          </cell>
          <cell r="B7018">
            <v>0</v>
          </cell>
        </row>
        <row r="7019">
          <cell r="A7019">
            <v>0</v>
          </cell>
          <cell r="B7019">
            <v>0</v>
          </cell>
        </row>
        <row r="7020">
          <cell r="A7020">
            <v>0</v>
          </cell>
          <cell r="B7020">
            <v>0</v>
          </cell>
        </row>
        <row r="7021">
          <cell r="A7021">
            <v>0</v>
          </cell>
          <cell r="B7021">
            <v>0</v>
          </cell>
        </row>
        <row r="7022">
          <cell r="A7022">
            <v>0</v>
          </cell>
          <cell r="B7022">
            <v>0</v>
          </cell>
        </row>
        <row r="7023">
          <cell r="A7023">
            <v>0</v>
          </cell>
          <cell r="B7023">
            <v>0</v>
          </cell>
        </row>
        <row r="7024">
          <cell r="A7024">
            <v>0</v>
          </cell>
          <cell r="B7024">
            <v>0</v>
          </cell>
        </row>
        <row r="7025">
          <cell r="A7025">
            <v>0</v>
          </cell>
          <cell r="B7025">
            <v>0</v>
          </cell>
        </row>
        <row r="7026">
          <cell r="A7026">
            <v>0</v>
          </cell>
          <cell r="B7026">
            <v>0</v>
          </cell>
        </row>
        <row r="7027">
          <cell r="A7027">
            <v>0</v>
          </cell>
          <cell r="B7027">
            <v>0</v>
          </cell>
        </row>
        <row r="7028">
          <cell r="A7028">
            <v>0</v>
          </cell>
          <cell r="B7028">
            <v>0</v>
          </cell>
        </row>
        <row r="7029">
          <cell r="A7029">
            <v>0</v>
          </cell>
          <cell r="B7029">
            <v>0</v>
          </cell>
        </row>
        <row r="7030">
          <cell r="A7030">
            <v>0</v>
          </cell>
          <cell r="B7030">
            <v>0</v>
          </cell>
        </row>
        <row r="7031">
          <cell r="A7031">
            <v>0</v>
          </cell>
          <cell r="B7031">
            <v>0</v>
          </cell>
        </row>
        <row r="7032">
          <cell r="A7032">
            <v>0</v>
          </cell>
          <cell r="B7032">
            <v>0</v>
          </cell>
        </row>
        <row r="7033">
          <cell r="A7033">
            <v>0</v>
          </cell>
          <cell r="B7033">
            <v>0</v>
          </cell>
        </row>
        <row r="7034">
          <cell r="A7034">
            <v>0</v>
          </cell>
          <cell r="B7034">
            <v>0</v>
          </cell>
        </row>
        <row r="7035">
          <cell r="A7035">
            <v>0</v>
          </cell>
          <cell r="B7035">
            <v>0</v>
          </cell>
        </row>
        <row r="7036">
          <cell r="A7036">
            <v>0</v>
          </cell>
          <cell r="B7036">
            <v>0</v>
          </cell>
        </row>
        <row r="7037">
          <cell r="A7037">
            <v>0</v>
          </cell>
          <cell r="B7037">
            <v>0</v>
          </cell>
        </row>
        <row r="7038">
          <cell r="A7038">
            <v>0</v>
          </cell>
          <cell r="B7038">
            <v>0</v>
          </cell>
        </row>
        <row r="7039">
          <cell r="A7039">
            <v>0</v>
          </cell>
          <cell r="B7039">
            <v>0</v>
          </cell>
        </row>
        <row r="7040">
          <cell r="A7040">
            <v>0</v>
          </cell>
          <cell r="B7040">
            <v>0</v>
          </cell>
        </row>
        <row r="7041">
          <cell r="A7041">
            <v>0</v>
          </cell>
          <cell r="B7041">
            <v>0</v>
          </cell>
        </row>
        <row r="7042">
          <cell r="A7042">
            <v>0</v>
          </cell>
          <cell r="B7042">
            <v>0</v>
          </cell>
        </row>
        <row r="7043">
          <cell r="A7043">
            <v>0</v>
          </cell>
          <cell r="B7043">
            <v>0</v>
          </cell>
        </row>
        <row r="7044">
          <cell r="A7044">
            <v>0</v>
          </cell>
          <cell r="B7044">
            <v>0</v>
          </cell>
        </row>
        <row r="7045">
          <cell r="A7045">
            <v>0</v>
          </cell>
          <cell r="B7045">
            <v>0</v>
          </cell>
        </row>
        <row r="7046">
          <cell r="A7046">
            <v>0</v>
          </cell>
          <cell r="B7046">
            <v>0</v>
          </cell>
        </row>
        <row r="7047">
          <cell r="A7047">
            <v>0</v>
          </cell>
          <cell r="B7047">
            <v>0</v>
          </cell>
        </row>
        <row r="7048">
          <cell r="A7048">
            <v>0</v>
          </cell>
          <cell r="B7048">
            <v>0</v>
          </cell>
        </row>
        <row r="7049">
          <cell r="A7049">
            <v>0</v>
          </cell>
          <cell r="B7049">
            <v>0</v>
          </cell>
        </row>
        <row r="7050">
          <cell r="A7050">
            <v>0</v>
          </cell>
          <cell r="B7050">
            <v>0</v>
          </cell>
        </row>
        <row r="7051">
          <cell r="A7051">
            <v>0</v>
          </cell>
          <cell r="B7051">
            <v>0</v>
          </cell>
        </row>
        <row r="7052">
          <cell r="A7052">
            <v>0</v>
          </cell>
          <cell r="B7052">
            <v>0</v>
          </cell>
        </row>
        <row r="7053">
          <cell r="A7053">
            <v>0</v>
          </cell>
          <cell r="B7053">
            <v>0</v>
          </cell>
        </row>
        <row r="7054">
          <cell r="A7054">
            <v>0</v>
          </cell>
          <cell r="B7054">
            <v>0</v>
          </cell>
        </row>
        <row r="7055">
          <cell r="A7055">
            <v>0</v>
          </cell>
          <cell r="B7055">
            <v>0</v>
          </cell>
        </row>
        <row r="7056">
          <cell r="A7056">
            <v>0</v>
          </cell>
          <cell r="B7056">
            <v>0</v>
          </cell>
        </row>
        <row r="7057">
          <cell r="A7057">
            <v>0</v>
          </cell>
          <cell r="B7057">
            <v>0</v>
          </cell>
        </row>
        <row r="7058">
          <cell r="A7058">
            <v>0</v>
          </cell>
          <cell r="B7058">
            <v>0</v>
          </cell>
        </row>
        <row r="7059">
          <cell r="A7059">
            <v>0</v>
          </cell>
          <cell r="B7059">
            <v>0</v>
          </cell>
        </row>
        <row r="7060">
          <cell r="A7060">
            <v>0</v>
          </cell>
          <cell r="B7060">
            <v>0</v>
          </cell>
        </row>
        <row r="7061">
          <cell r="A7061">
            <v>0</v>
          </cell>
          <cell r="B7061">
            <v>0</v>
          </cell>
        </row>
        <row r="7062">
          <cell r="A7062">
            <v>0</v>
          </cell>
          <cell r="B7062">
            <v>0</v>
          </cell>
        </row>
        <row r="7063">
          <cell r="A7063">
            <v>0</v>
          </cell>
          <cell r="B7063">
            <v>0</v>
          </cell>
        </row>
        <row r="7064">
          <cell r="A7064">
            <v>0</v>
          </cell>
          <cell r="B7064">
            <v>0</v>
          </cell>
        </row>
        <row r="7065">
          <cell r="A7065">
            <v>0</v>
          </cell>
          <cell r="B7065">
            <v>0</v>
          </cell>
        </row>
        <row r="7066">
          <cell r="A7066">
            <v>0</v>
          </cell>
          <cell r="B7066">
            <v>0</v>
          </cell>
        </row>
        <row r="7067">
          <cell r="A7067">
            <v>0</v>
          </cell>
          <cell r="B7067">
            <v>0</v>
          </cell>
        </row>
        <row r="7068">
          <cell r="A7068">
            <v>0</v>
          </cell>
          <cell r="B7068">
            <v>0</v>
          </cell>
        </row>
        <row r="7069">
          <cell r="A7069">
            <v>0</v>
          </cell>
          <cell r="B7069">
            <v>0</v>
          </cell>
        </row>
        <row r="7070">
          <cell r="A7070">
            <v>0</v>
          </cell>
          <cell r="B7070">
            <v>0</v>
          </cell>
        </row>
        <row r="7071">
          <cell r="A7071">
            <v>0</v>
          </cell>
          <cell r="B7071">
            <v>0</v>
          </cell>
        </row>
        <row r="7072">
          <cell r="A7072">
            <v>0</v>
          </cell>
          <cell r="B7072">
            <v>0</v>
          </cell>
        </row>
        <row r="7073">
          <cell r="A7073">
            <v>0</v>
          </cell>
          <cell r="B7073">
            <v>0</v>
          </cell>
        </row>
        <row r="7074">
          <cell r="A7074">
            <v>0</v>
          </cell>
          <cell r="B7074">
            <v>0</v>
          </cell>
        </row>
        <row r="7075">
          <cell r="A7075">
            <v>0</v>
          </cell>
          <cell r="B7075">
            <v>0</v>
          </cell>
        </row>
        <row r="7076">
          <cell r="A7076">
            <v>0</v>
          </cell>
          <cell r="B7076">
            <v>0</v>
          </cell>
        </row>
        <row r="7077">
          <cell r="A7077">
            <v>0</v>
          </cell>
          <cell r="B7077">
            <v>0</v>
          </cell>
        </row>
        <row r="7078">
          <cell r="A7078">
            <v>0</v>
          </cell>
          <cell r="B7078">
            <v>0</v>
          </cell>
        </row>
        <row r="7079">
          <cell r="A7079">
            <v>0</v>
          </cell>
          <cell r="B7079">
            <v>0</v>
          </cell>
        </row>
        <row r="7080">
          <cell r="A7080">
            <v>0</v>
          </cell>
          <cell r="B7080">
            <v>0</v>
          </cell>
        </row>
        <row r="7081">
          <cell r="A7081">
            <v>0</v>
          </cell>
          <cell r="B7081">
            <v>0</v>
          </cell>
        </row>
        <row r="7082">
          <cell r="A7082">
            <v>0</v>
          </cell>
          <cell r="B7082">
            <v>0</v>
          </cell>
        </row>
        <row r="7083">
          <cell r="A7083">
            <v>0</v>
          </cell>
          <cell r="B7083">
            <v>0</v>
          </cell>
        </row>
        <row r="7084">
          <cell r="A7084">
            <v>0</v>
          </cell>
          <cell r="B7084">
            <v>0</v>
          </cell>
        </row>
        <row r="7085">
          <cell r="A7085">
            <v>0</v>
          </cell>
          <cell r="B7085">
            <v>0</v>
          </cell>
        </row>
        <row r="7086">
          <cell r="A7086">
            <v>0</v>
          </cell>
          <cell r="B7086">
            <v>0</v>
          </cell>
        </row>
        <row r="7087">
          <cell r="A7087">
            <v>0</v>
          </cell>
          <cell r="B7087">
            <v>0</v>
          </cell>
        </row>
        <row r="7088">
          <cell r="A7088">
            <v>0</v>
          </cell>
          <cell r="B7088">
            <v>0</v>
          </cell>
        </row>
        <row r="7089">
          <cell r="A7089">
            <v>0</v>
          </cell>
          <cell r="B7089">
            <v>0</v>
          </cell>
        </row>
        <row r="7090">
          <cell r="A7090">
            <v>0</v>
          </cell>
          <cell r="B7090">
            <v>0</v>
          </cell>
        </row>
        <row r="7091">
          <cell r="A7091">
            <v>0</v>
          </cell>
          <cell r="B7091">
            <v>0</v>
          </cell>
        </row>
        <row r="7092">
          <cell r="A7092">
            <v>0</v>
          </cell>
          <cell r="B7092">
            <v>0</v>
          </cell>
        </row>
        <row r="7093">
          <cell r="A7093">
            <v>0</v>
          </cell>
          <cell r="B7093">
            <v>0</v>
          </cell>
        </row>
        <row r="7094">
          <cell r="A7094">
            <v>0</v>
          </cell>
          <cell r="B7094">
            <v>0</v>
          </cell>
        </row>
        <row r="7095">
          <cell r="A7095">
            <v>0</v>
          </cell>
          <cell r="B7095">
            <v>0</v>
          </cell>
        </row>
        <row r="7096">
          <cell r="A7096">
            <v>0</v>
          </cell>
          <cell r="B7096">
            <v>0</v>
          </cell>
        </row>
        <row r="7097">
          <cell r="A7097">
            <v>0</v>
          </cell>
          <cell r="B7097">
            <v>0</v>
          </cell>
        </row>
        <row r="7098">
          <cell r="A7098">
            <v>0</v>
          </cell>
          <cell r="B7098">
            <v>0</v>
          </cell>
        </row>
        <row r="7099">
          <cell r="A7099">
            <v>0</v>
          </cell>
          <cell r="B7099">
            <v>0</v>
          </cell>
        </row>
        <row r="7100">
          <cell r="A7100">
            <v>0</v>
          </cell>
          <cell r="B7100">
            <v>0</v>
          </cell>
        </row>
        <row r="7101">
          <cell r="A7101">
            <v>0</v>
          </cell>
          <cell r="B7101">
            <v>0</v>
          </cell>
        </row>
        <row r="7102">
          <cell r="A7102">
            <v>0</v>
          </cell>
          <cell r="B7102">
            <v>0</v>
          </cell>
        </row>
        <row r="7103">
          <cell r="A7103">
            <v>0</v>
          </cell>
          <cell r="B7103">
            <v>0</v>
          </cell>
        </row>
        <row r="7104">
          <cell r="A7104">
            <v>0</v>
          </cell>
          <cell r="B7104">
            <v>0</v>
          </cell>
        </row>
        <row r="7105">
          <cell r="A7105">
            <v>0</v>
          </cell>
          <cell r="B7105">
            <v>0</v>
          </cell>
        </row>
        <row r="7106">
          <cell r="A7106">
            <v>0</v>
          </cell>
          <cell r="B7106">
            <v>0</v>
          </cell>
        </row>
        <row r="7107">
          <cell r="A7107">
            <v>0</v>
          </cell>
          <cell r="B7107">
            <v>0</v>
          </cell>
        </row>
        <row r="7108">
          <cell r="A7108">
            <v>0</v>
          </cell>
          <cell r="B7108">
            <v>0</v>
          </cell>
        </row>
        <row r="7109">
          <cell r="A7109">
            <v>0</v>
          </cell>
          <cell r="B7109">
            <v>0</v>
          </cell>
        </row>
        <row r="7110">
          <cell r="A7110">
            <v>0</v>
          </cell>
          <cell r="B7110">
            <v>0</v>
          </cell>
        </row>
        <row r="7111">
          <cell r="A7111">
            <v>0</v>
          </cell>
          <cell r="B7111">
            <v>0</v>
          </cell>
        </row>
        <row r="7112">
          <cell r="A7112">
            <v>0</v>
          </cell>
          <cell r="B7112">
            <v>0</v>
          </cell>
        </row>
        <row r="7113">
          <cell r="A7113">
            <v>0</v>
          </cell>
          <cell r="B7113">
            <v>0</v>
          </cell>
        </row>
        <row r="7114">
          <cell r="A7114">
            <v>0</v>
          </cell>
          <cell r="B7114">
            <v>0</v>
          </cell>
        </row>
        <row r="7115">
          <cell r="A7115">
            <v>0</v>
          </cell>
          <cell r="B7115">
            <v>0</v>
          </cell>
        </row>
        <row r="7116">
          <cell r="A7116">
            <v>0</v>
          </cell>
          <cell r="B7116">
            <v>0</v>
          </cell>
        </row>
        <row r="7117">
          <cell r="A7117">
            <v>0</v>
          </cell>
          <cell r="B7117">
            <v>0</v>
          </cell>
        </row>
        <row r="7118">
          <cell r="A7118">
            <v>0</v>
          </cell>
          <cell r="B7118">
            <v>0</v>
          </cell>
        </row>
        <row r="7119">
          <cell r="A7119">
            <v>0</v>
          </cell>
          <cell r="B7119">
            <v>0</v>
          </cell>
        </row>
        <row r="7120">
          <cell r="A7120">
            <v>0</v>
          </cell>
          <cell r="B7120">
            <v>0</v>
          </cell>
        </row>
        <row r="7121">
          <cell r="A7121">
            <v>0</v>
          </cell>
          <cell r="B7121">
            <v>0</v>
          </cell>
        </row>
        <row r="7122">
          <cell r="A7122">
            <v>0</v>
          </cell>
          <cell r="B7122">
            <v>0</v>
          </cell>
        </row>
        <row r="7123">
          <cell r="A7123">
            <v>0</v>
          </cell>
          <cell r="B7123">
            <v>0</v>
          </cell>
        </row>
        <row r="7124">
          <cell r="A7124">
            <v>0</v>
          </cell>
          <cell r="B7124">
            <v>0</v>
          </cell>
        </row>
        <row r="7125">
          <cell r="A7125">
            <v>0</v>
          </cell>
          <cell r="B7125">
            <v>0</v>
          </cell>
        </row>
        <row r="7126">
          <cell r="A7126">
            <v>0</v>
          </cell>
          <cell r="B7126">
            <v>0</v>
          </cell>
        </row>
        <row r="7127">
          <cell r="A7127">
            <v>0</v>
          </cell>
          <cell r="B7127">
            <v>0</v>
          </cell>
        </row>
        <row r="7128">
          <cell r="A7128">
            <v>0</v>
          </cell>
          <cell r="B7128">
            <v>0</v>
          </cell>
        </row>
        <row r="7129">
          <cell r="A7129">
            <v>0</v>
          </cell>
          <cell r="B7129">
            <v>0</v>
          </cell>
        </row>
        <row r="7130">
          <cell r="A7130">
            <v>0</v>
          </cell>
          <cell r="B7130">
            <v>0</v>
          </cell>
        </row>
        <row r="7131">
          <cell r="A7131">
            <v>0</v>
          </cell>
          <cell r="B7131">
            <v>0</v>
          </cell>
        </row>
        <row r="7132">
          <cell r="A7132">
            <v>0</v>
          </cell>
          <cell r="B7132">
            <v>0</v>
          </cell>
        </row>
        <row r="7133">
          <cell r="A7133">
            <v>0</v>
          </cell>
          <cell r="B7133">
            <v>0</v>
          </cell>
        </row>
        <row r="7134">
          <cell r="A7134">
            <v>0</v>
          </cell>
          <cell r="B7134">
            <v>0</v>
          </cell>
        </row>
        <row r="7135">
          <cell r="A7135">
            <v>0</v>
          </cell>
          <cell r="B7135">
            <v>0</v>
          </cell>
        </row>
        <row r="7136">
          <cell r="A7136">
            <v>0</v>
          </cell>
          <cell r="B7136">
            <v>0</v>
          </cell>
        </row>
        <row r="7137">
          <cell r="A7137">
            <v>0</v>
          </cell>
          <cell r="B7137">
            <v>0</v>
          </cell>
        </row>
        <row r="7138">
          <cell r="A7138">
            <v>0</v>
          </cell>
          <cell r="B7138">
            <v>0</v>
          </cell>
        </row>
        <row r="7139">
          <cell r="A7139">
            <v>0</v>
          </cell>
          <cell r="B7139">
            <v>0</v>
          </cell>
        </row>
        <row r="7140">
          <cell r="A7140">
            <v>0</v>
          </cell>
          <cell r="B7140">
            <v>0</v>
          </cell>
        </row>
        <row r="7141">
          <cell r="A7141">
            <v>0</v>
          </cell>
          <cell r="B7141">
            <v>0</v>
          </cell>
        </row>
        <row r="7142">
          <cell r="A7142">
            <v>0</v>
          </cell>
          <cell r="B7142">
            <v>0</v>
          </cell>
        </row>
        <row r="7143">
          <cell r="A7143">
            <v>0</v>
          </cell>
          <cell r="B7143">
            <v>0</v>
          </cell>
        </row>
        <row r="7144">
          <cell r="A7144">
            <v>0</v>
          </cell>
          <cell r="B7144">
            <v>0</v>
          </cell>
        </row>
        <row r="7145">
          <cell r="A7145">
            <v>0</v>
          </cell>
          <cell r="B7145">
            <v>0</v>
          </cell>
        </row>
        <row r="7146">
          <cell r="A7146">
            <v>0</v>
          </cell>
          <cell r="B7146">
            <v>0</v>
          </cell>
        </row>
        <row r="7147">
          <cell r="A7147">
            <v>0</v>
          </cell>
          <cell r="B7147">
            <v>0</v>
          </cell>
        </row>
        <row r="7148">
          <cell r="A7148">
            <v>0</v>
          </cell>
          <cell r="B7148">
            <v>0</v>
          </cell>
        </row>
        <row r="7149">
          <cell r="A7149">
            <v>0</v>
          </cell>
          <cell r="B7149">
            <v>0</v>
          </cell>
        </row>
        <row r="7150">
          <cell r="A7150">
            <v>0</v>
          </cell>
          <cell r="B7150">
            <v>0</v>
          </cell>
        </row>
        <row r="7151">
          <cell r="A7151">
            <v>0</v>
          </cell>
          <cell r="B7151">
            <v>0</v>
          </cell>
        </row>
        <row r="7152">
          <cell r="A7152">
            <v>0</v>
          </cell>
          <cell r="B7152">
            <v>0</v>
          </cell>
        </row>
        <row r="7153">
          <cell r="A7153">
            <v>0</v>
          </cell>
          <cell r="B7153">
            <v>0</v>
          </cell>
        </row>
        <row r="7154">
          <cell r="A7154">
            <v>0</v>
          </cell>
          <cell r="B7154">
            <v>0</v>
          </cell>
        </row>
        <row r="7155">
          <cell r="A7155">
            <v>0</v>
          </cell>
          <cell r="B7155">
            <v>0</v>
          </cell>
        </row>
        <row r="7156">
          <cell r="A7156">
            <v>0</v>
          </cell>
          <cell r="B7156">
            <v>0</v>
          </cell>
        </row>
        <row r="7157">
          <cell r="A7157">
            <v>0</v>
          </cell>
          <cell r="B7157">
            <v>0</v>
          </cell>
        </row>
        <row r="7158">
          <cell r="A7158">
            <v>0</v>
          </cell>
          <cell r="B7158">
            <v>0</v>
          </cell>
        </row>
        <row r="7159">
          <cell r="A7159">
            <v>0</v>
          </cell>
          <cell r="B7159">
            <v>0</v>
          </cell>
        </row>
        <row r="7160">
          <cell r="A7160">
            <v>0</v>
          </cell>
          <cell r="B7160">
            <v>0</v>
          </cell>
        </row>
        <row r="7161">
          <cell r="A7161">
            <v>0</v>
          </cell>
          <cell r="B7161">
            <v>0</v>
          </cell>
        </row>
        <row r="7162">
          <cell r="A7162">
            <v>0</v>
          </cell>
          <cell r="B7162">
            <v>0</v>
          </cell>
        </row>
        <row r="7163">
          <cell r="A7163">
            <v>0</v>
          </cell>
          <cell r="B7163">
            <v>0</v>
          </cell>
        </row>
        <row r="7164">
          <cell r="A7164">
            <v>0</v>
          </cell>
          <cell r="B7164">
            <v>0</v>
          </cell>
        </row>
        <row r="7165">
          <cell r="A7165">
            <v>0</v>
          </cell>
          <cell r="B7165">
            <v>0</v>
          </cell>
        </row>
        <row r="7166">
          <cell r="A7166">
            <v>0</v>
          </cell>
          <cell r="B7166">
            <v>0</v>
          </cell>
        </row>
        <row r="7167">
          <cell r="A7167">
            <v>0</v>
          </cell>
          <cell r="B7167">
            <v>0</v>
          </cell>
        </row>
        <row r="7168">
          <cell r="A7168">
            <v>0</v>
          </cell>
          <cell r="B7168">
            <v>0</v>
          </cell>
        </row>
        <row r="7169">
          <cell r="A7169">
            <v>0</v>
          </cell>
          <cell r="B7169">
            <v>0</v>
          </cell>
        </row>
        <row r="7170">
          <cell r="A7170">
            <v>0</v>
          </cell>
          <cell r="B7170">
            <v>0</v>
          </cell>
        </row>
        <row r="7171">
          <cell r="A7171">
            <v>0</v>
          </cell>
          <cell r="B7171">
            <v>0</v>
          </cell>
        </row>
        <row r="7172">
          <cell r="A7172">
            <v>0</v>
          </cell>
          <cell r="B7172">
            <v>0</v>
          </cell>
        </row>
        <row r="7173">
          <cell r="A7173">
            <v>0</v>
          </cell>
          <cell r="B7173">
            <v>0</v>
          </cell>
        </row>
        <row r="7174">
          <cell r="A7174">
            <v>0</v>
          </cell>
          <cell r="B7174">
            <v>0</v>
          </cell>
        </row>
        <row r="7175">
          <cell r="A7175">
            <v>0</v>
          </cell>
          <cell r="B7175">
            <v>0</v>
          </cell>
        </row>
        <row r="7176">
          <cell r="A7176">
            <v>0</v>
          </cell>
          <cell r="B7176">
            <v>0</v>
          </cell>
        </row>
        <row r="7177">
          <cell r="A7177">
            <v>0</v>
          </cell>
          <cell r="B7177">
            <v>0</v>
          </cell>
        </row>
        <row r="7178">
          <cell r="A7178">
            <v>0</v>
          </cell>
          <cell r="B7178">
            <v>0</v>
          </cell>
        </row>
        <row r="7179">
          <cell r="A7179">
            <v>0</v>
          </cell>
          <cell r="B7179">
            <v>0</v>
          </cell>
        </row>
        <row r="7180">
          <cell r="A7180">
            <v>0</v>
          </cell>
          <cell r="B7180">
            <v>0</v>
          </cell>
        </row>
        <row r="7181">
          <cell r="A7181">
            <v>0</v>
          </cell>
          <cell r="B7181">
            <v>0</v>
          </cell>
        </row>
        <row r="7182">
          <cell r="A7182">
            <v>0</v>
          </cell>
          <cell r="B7182">
            <v>0</v>
          </cell>
        </row>
        <row r="7183">
          <cell r="A7183">
            <v>0</v>
          </cell>
          <cell r="B7183">
            <v>0</v>
          </cell>
        </row>
        <row r="7184">
          <cell r="A7184">
            <v>0</v>
          </cell>
          <cell r="B7184">
            <v>0</v>
          </cell>
        </row>
        <row r="7185">
          <cell r="A7185">
            <v>0</v>
          </cell>
          <cell r="B7185">
            <v>0</v>
          </cell>
        </row>
        <row r="7186">
          <cell r="A7186">
            <v>0</v>
          </cell>
          <cell r="B7186">
            <v>0</v>
          </cell>
        </row>
        <row r="7187">
          <cell r="A7187">
            <v>0</v>
          </cell>
          <cell r="B7187">
            <v>0</v>
          </cell>
        </row>
        <row r="7188">
          <cell r="A7188">
            <v>0</v>
          </cell>
          <cell r="B7188">
            <v>0</v>
          </cell>
        </row>
        <row r="7189">
          <cell r="A7189">
            <v>0</v>
          </cell>
          <cell r="B7189">
            <v>0</v>
          </cell>
        </row>
        <row r="7190">
          <cell r="A7190">
            <v>0</v>
          </cell>
          <cell r="B7190">
            <v>0</v>
          </cell>
        </row>
        <row r="7191">
          <cell r="A7191">
            <v>0</v>
          </cell>
          <cell r="B7191">
            <v>0</v>
          </cell>
        </row>
        <row r="7192">
          <cell r="A7192">
            <v>0</v>
          </cell>
          <cell r="B7192">
            <v>0</v>
          </cell>
        </row>
        <row r="7193">
          <cell r="A7193">
            <v>0</v>
          </cell>
          <cell r="B7193">
            <v>0</v>
          </cell>
        </row>
        <row r="7194">
          <cell r="A7194">
            <v>0</v>
          </cell>
          <cell r="B7194">
            <v>0</v>
          </cell>
        </row>
        <row r="7195">
          <cell r="A7195">
            <v>0</v>
          </cell>
          <cell r="B7195">
            <v>0</v>
          </cell>
        </row>
        <row r="7196">
          <cell r="A7196">
            <v>0</v>
          </cell>
          <cell r="B7196">
            <v>0</v>
          </cell>
        </row>
        <row r="7197">
          <cell r="A7197">
            <v>0</v>
          </cell>
          <cell r="B7197">
            <v>0</v>
          </cell>
        </row>
        <row r="7198">
          <cell r="A7198">
            <v>0</v>
          </cell>
          <cell r="B7198">
            <v>0</v>
          </cell>
        </row>
        <row r="7199">
          <cell r="A7199">
            <v>0</v>
          </cell>
          <cell r="B7199">
            <v>0</v>
          </cell>
        </row>
        <row r="7200">
          <cell r="A7200">
            <v>0</v>
          </cell>
          <cell r="B7200">
            <v>0</v>
          </cell>
        </row>
        <row r="7201">
          <cell r="A7201">
            <v>0</v>
          </cell>
          <cell r="B7201">
            <v>0</v>
          </cell>
        </row>
        <row r="7202">
          <cell r="A7202">
            <v>0</v>
          </cell>
          <cell r="B7202">
            <v>0</v>
          </cell>
        </row>
        <row r="7203">
          <cell r="A7203">
            <v>0</v>
          </cell>
          <cell r="B7203">
            <v>0</v>
          </cell>
        </row>
        <row r="7204">
          <cell r="A7204">
            <v>0</v>
          </cell>
          <cell r="B7204">
            <v>0</v>
          </cell>
        </row>
        <row r="7205">
          <cell r="A7205">
            <v>0</v>
          </cell>
          <cell r="B7205">
            <v>0</v>
          </cell>
        </row>
        <row r="7206">
          <cell r="A7206">
            <v>0</v>
          </cell>
          <cell r="B7206">
            <v>0</v>
          </cell>
        </row>
        <row r="7207">
          <cell r="A7207">
            <v>0</v>
          </cell>
          <cell r="B7207">
            <v>0</v>
          </cell>
        </row>
        <row r="7208">
          <cell r="A7208">
            <v>0</v>
          </cell>
          <cell r="B7208">
            <v>0</v>
          </cell>
        </row>
        <row r="7209">
          <cell r="A7209">
            <v>0</v>
          </cell>
          <cell r="B7209">
            <v>0</v>
          </cell>
        </row>
        <row r="7210">
          <cell r="A7210">
            <v>0</v>
          </cell>
          <cell r="B7210">
            <v>0</v>
          </cell>
        </row>
        <row r="7211">
          <cell r="A7211">
            <v>0</v>
          </cell>
          <cell r="B7211">
            <v>0</v>
          </cell>
        </row>
        <row r="7212">
          <cell r="A7212">
            <v>0</v>
          </cell>
          <cell r="B7212">
            <v>0</v>
          </cell>
        </row>
        <row r="7213">
          <cell r="A7213">
            <v>0</v>
          </cell>
          <cell r="B7213">
            <v>0</v>
          </cell>
        </row>
        <row r="7214">
          <cell r="A7214">
            <v>0</v>
          </cell>
          <cell r="B7214">
            <v>0</v>
          </cell>
        </row>
        <row r="7215">
          <cell r="A7215">
            <v>0</v>
          </cell>
          <cell r="B7215">
            <v>0</v>
          </cell>
        </row>
        <row r="7216">
          <cell r="A7216">
            <v>0</v>
          </cell>
          <cell r="B7216">
            <v>0</v>
          </cell>
        </row>
        <row r="7217">
          <cell r="A7217">
            <v>0</v>
          </cell>
          <cell r="B7217">
            <v>0</v>
          </cell>
        </row>
        <row r="7218">
          <cell r="A7218">
            <v>0</v>
          </cell>
          <cell r="B7218">
            <v>0</v>
          </cell>
        </row>
        <row r="7219">
          <cell r="A7219">
            <v>0</v>
          </cell>
          <cell r="B7219">
            <v>0</v>
          </cell>
        </row>
        <row r="7220">
          <cell r="A7220">
            <v>0</v>
          </cell>
          <cell r="B7220">
            <v>0</v>
          </cell>
        </row>
        <row r="7221">
          <cell r="A7221">
            <v>0</v>
          </cell>
          <cell r="B7221">
            <v>0</v>
          </cell>
        </row>
        <row r="7222">
          <cell r="A7222">
            <v>0</v>
          </cell>
          <cell r="B7222">
            <v>0</v>
          </cell>
        </row>
        <row r="7223">
          <cell r="A7223">
            <v>0</v>
          </cell>
          <cell r="B7223">
            <v>0</v>
          </cell>
        </row>
        <row r="7224">
          <cell r="A7224">
            <v>0</v>
          </cell>
          <cell r="B7224">
            <v>0</v>
          </cell>
        </row>
        <row r="7225">
          <cell r="A7225">
            <v>0</v>
          </cell>
          <cell r="B7225">
            <v>0</v>
          </cell>
        </row>
        <row r="7226">
          <cell r="A7226">
            <v>0</v>
          </cell>
          <cell r="B7226">
            <v>0</v>
          </cell>
        </row>
        <row r="7227">
          <cell r="A7227">
            <v>0</v>
          </cell>
          <cell r="B7227">
            <v>0</v>
          </cell>
        </row>
        <row r="7228">
          <cell r="A7228">
            <v>0</v>
          </cell>
          <cell r="B7228">
            <v>0</v>
          </cell>
        </row>
        <row r="7229">
          <cell r="A7229">
            <v>0</v>
          </cell>
          <cell r="B7229">
            <v>0</v>
          </cell>
        </row>
        <row r="7230">
          <cell r="A7230">
            <v>0</v>
          </cell>
          <cell r="B7230">
            <v>0</v>
          </cell>
        </row>
        <row r="7231">
          <cell r="A7231">
            <v>0</v>
          </cell>
          <cell r="B7231">
            <v>0</v>
          </cell>
        </row>
        <row r="7232">
          <cell r="A7232">
            <v>0</v>
          </cell>
          <cell r="B7232">
            <v>0</v>
          </cell>
        </row>
        <row r="7233">
          <cell r="A7233">
            <v>0</v>
          </cell>
          <cell r="B7233">
            <v>0</v>
          </cell>
        </row>
        <row r="7234">
          <cell r="A7234">
            <v>0</v>
          </cell>
          <cell r="B7234">
            <v>0</v>
          </cell>
        </row>
        <row r="7235">
          <cell r="A7235">
            <v>0</v>
          </cell>
          <cell r="B7235">
            <v>0</v>
          </cell>
        </row>
        <row r="7236">
          <cell r="A7236">
            <v>0</v>
          </cell>
          <cell r="B7236">
            <v>0</v>
          </cell>
        </row>
        <row r="7237">
          <cell r="A7237">
            <v>0</v>
          </cell>
          <cell r="B7237">
            <v>0</v>
          </cell>
        </row>
        <row r="7238">
          <cell r="A7238">
            <v>0</v>
          </cell>
          <cell r="B7238">
            <v>0</v>
          </cell>
        </row>
        <row r="7239">
          <cell r="A7239">
            <v>0</v>
          </cell>
          <cell r="B7239">
            <v>0</v>
          </cell>
        </row>
        <row r="7240">
          <cell r="A7240">
            <v>0</v>
          </cell>
          <cell r="B7240">
            <v>0</v>
          </cell>
        </row>
        <row r="7241">
          <cell r="A7241">
            <v>0</v>
          </cell>
          <cell r="B7241">
            <v>0</v>
          </cell>
        </row>
        <row r="7242">
          <cell r="A7242">
            <v>0</v>
          </cell>
          <cell r="B7242">
            <v>0</v>
          </cell>
        </row>
        <row r="7243">
          <cell r="A7243">
            <v>0</v>
          </cell>
          <cell r="B7243">
            <v>0</v>
          </cell>
        </row>
        <row r="7244">
          <cell r="A7244">
            <v>0</v>
          </cell>
          <cell r="B7244">
            <v>0</v>
          </cell>
        </row>
        <row r="7245">
          <cell r="A7245">
            <v>0</v>
          </cell>
          <cell r="B7245">
            <v>0</v>
          </cell>
        </row>
        <row r="7246">
          <cell r="A7246">
            <v>0</v>
          </cell>
          <cell r="B7246">
            <v>0</v>
          </cell>
        </row>
        <row r="7247">
          <cell r="A7247">
            <v>0</v>
          </cell>
          <cell r="B7247">
            <v>0</v>
          </cell>
        </row>
        <row r="7248">
          <cell r="A7248">
            <v>0</v>
          </cell>
          <cell r="B7248">
            <v>0</v>
          </cell>
        </row>
        <row r="7249">
          <cell r="A7249">
            <v>0</v>
          </cell>
          <cell r="B7249">
            <v>0</v>
          </cell>
        </row>
        <row r="7250">
          <cell r="A7250">
            <v>0</v>
          </cell>
          <cell r="B7250">
            <v>0</v>
          </cell>
        </row>
        <row r="7251">
          <cell r="A7251">
            <v>0</v>
          </cell>
          <cell r="B7251">
            <v>0</v>
          </cell>
        </row>
        <row r="7252">
          <cell r="A7252">
            <v>0</v>
          </cell>
          <cell r="B7252">
            <v>0</v>
          </cell>
        </row>
        <row r="7253">
          <cell r="A7253">
            <v>0</v>
          </cell>
          <cell r="B7253">
            <v>0</v>
          </cell>
        </row>
        <row r="7254">
          <cell r="A7254">
            <v>0</v>
          </cell>
          <cell r="B7254">
            <v>0</v>
          </cell>
        </row>
        <row r="7255">
          <cell r="A7255">
            <v>0</v>
          </cell>
          <cell r="B7255">
            <v>0</v>
          </cell>
        </row>
        <row r="7256">
          <cell r="A7256">
            <v>0</v>
          </cell>
          <cell r="B7256">
            <v>0</v>
          </cell>
        </row>
        <row r="7257">
          <cell r="A7257">
            <v>0</v>
          </cell>
          <cell r="B7257">
            <v>0</v>
          </cell>
        </row>
        <row r="7258">
          <cell r="A7258">
            <v>0</v>
          </cell>
          <cell r="B7258">
            <v>0</v>
          </cell>
        </row>
        <row r="7259">
          <cell r="A7259">
            <v>0</v>
          </cell>
          <cell r="B7259">
            <v>0</v>
          </cell>
        </row>
        <row r="7260">
          <cell r="A7260">
            <v>0</v>
          </cell>
          <cell r="B7260">
            <v>0</v>
          </cell>
        </row>
        <row r="7261">
          <cell r="A7261">
            <v>0</v>
          </cell>
          <cell r="B7261">
            <v>0</v>
          </cell>
        </row>
        <row r="7262">
          <cell r="A7262">
            <v>0</v>
          </cell>
          <cell r="B7262">
            <v>0</v>
          </cell>
        </row>
        <row r="7263">
          <cell r="A7263">
            <v>0</v>
          </cell>
          <cell r="B7263">
            <v>0</v>
          </cell>
        </row>
        <row r="7264">
          <cell r="A7264">
            <v>0</v>
          </cell>
          <cell r="B7264">
            <v>0</v>
          </cell>
        </row>
        <row r="7265">
          <cell r="A7265">
            <v>0</v>
          </cell>
          <cell r="B7265">
            <v>0</v>
          </cell>
        </row>
        <row r="7266">
          <cell r="A7266">
            <v>0</v>
          </cell>
          <cell r="B7266">
            <v>0</v>
          </cell>
        </row>
        <row r="7267">
          <cell r="A7267">
            <v>0</v>
          </cell>
          <cell r="B7267">
            <v>0</v>
          </cell>
        </row>
        <row r="7268">
          <cell r="A7268">
            <v>0</v>
          </cell>
          <cell r="B7268">
            <v>0</v>
          </cell>
        </row>
        <row r="7269">
          <cell r="A7269">
            <v>0</v>
          </cell>
          <cell r="B7269">
            <v>0</v>
          </cell>
        </row>
        <row r="7270">
          <cell r="A7270">
            <v>0</v>
          </cell>
          <cell r="B7270">
            <v>0</v>
          </cell>
        </row>
        <row r="7271">
          <cell r="A7271">
            <v>0</v>
          </cell>
          <cell r="B7271">
            <v>0</v>
          </cell>
        </row>
        <row r="7272">
          <cell r="A7272">
            <v>0</v>
          </cell>
          <cell r="B7272">
            <v>0</v>
          </cell>
        </row>
        <row r="7273">
          <cell r="A7273">
            <v>0</v>
          </cell>
          <cell r="B7273">
            <v>0</v>
          </cell>
        </row>
        <row r="7274">
          <cell r="A7274">
            <v>0</v>
          </cell>
          <cell r="B7274">
            <v>0</v>
          </cell>
        </row>
        <row r="7275">
          <cell r="A7275">
            <v>0</v>
          </cell>
          <cell r="B7275">
            <v>0</v>
          </cell>
        </row>
        <row r="7276">
          <cell r="A7276">
            <v>0</v>
          </cell>
          <cell r="B7276">
            <v>0</v>
          </cell>
        </row>
        <row r="7277">
          <cell r="A7277">
            <v>0</v>
          </cell>
          <cell r="B7277">
            <v>0</v>
          </cell>
        </row>
        <row r="7278">
          <cell r="A7278">
            <v>0</v>
          </cell>
          <cell r="B7278">
            <v>0</v>
          </cell>
        </row>
        <row r="7279">
          <cell r="A7279">
            <v>0</v>
          </cell>
          <cell r="B7279">
            <v>0</v>
          </cell>
        </row>
        <row r="7280">
          <cell r="A7280">
            <v>0</v>
          </cell>
          <cell r="B7280">
            <v>0</v>
          </cell>
        </row>
        <row r="7281">
          <cell r="A7281">
            <v>0</v>
          </cell>
          <cell r="B7281">
            <v>0</v>
          </cell>
        </row>
        <row r="7282">
          <cell r="A7282">
            <v>0</v>
          </cell>
          <cell r="B7282">
            <v>0</v>
          </cell>
        </row>
        <row r="7283">
          <cell r="A7283">
            <v>0</v>
          </cell>
          <cell r="B7283">
            <v>0</v>
          </cell>
        </row>
        <row r="7284">
          <cell r="A7284">
            <v>0</v>
          </cell>
          <cell r="B7284">
            <v>0</v>
          </cell>
        </row>
        <row r="7285">
          <cell r="A7285">
            <v>0</v>
          </cell>
          <cell r="B7285">
            <v>0</v>
          </cell>
        </row>
        <row r="7286">
          <cell r="A7286">
            <v>0</v>
          </cell>
          <cell r="B7286">
            <v>0</v>
          </cell>
        </row>
        <row r="7287">
          <cell r="A7287">
            <v>0</v>
          </cell>
          <cell r="B7287">
            <v>0</v>
          </cell>
        </row>
        <row r="7288">
          <cell r="A7288">
            <v>0</v>
          </cell>
          <cell r="B7288">
            <v>0</v>
          </cell>
        </row>
        <row r="7289">
          <cell r="A7289">
            <v>0</v>
          </cell>
          <cell r="B7289">
            <v>0</v>
          </cell>
        </row>
        <row r="7290">
          <cell r="A7290">
            <v>0</v>
          </cell>
          <cell r="B7290">
            <v>0</v>
          </cell>
        </row>
        <row r="7291">
          <cell r="A7291">
            <v>0</v>
          </cell>
          <cell r="B7291">
            <v>0</v>
          </cell>
        </row>
        <row r="7292">
          <cell r="A7292">
            <v>0</v>
          </cell>
          <cell r="B7292">
            <v>0</v>
          </cell>
        </row>
        <row r="7293">
          <cell r="A7293">
            <v>0</v>
          </cell>
          <cell r="B7293">
            <v>0</v>
          </cell>
        </row>
        <row r="7294">
          <cell r="A7294">
            <v>0</v>
          </cell>
          <cell r="B7294">
            <v>0</v>
          </cell>
        </row>
        <row r="7295">
          <cell r="A7295">
            <v>0</v>
          </cell>
          <cell r="B7295">
            <v>0</v>
          </cell>
        </row>
        <row r="7296">
          <cell r="A7296">
            <v>0</v>
          </cell>
          <cell r="B7296">
            <v>0</v>
          </cell>
        </row>
        <row r="7297">
          <cell r="A7297">
            <v>0</v>
          </cell>
          <cell r="B7297">
            <v>0</v>
          </cell>
        </row>
        <row r="7298">
          <cell r="A7298">
            <v>0</v>
          </cell>
          <cell r="B7298">
            <v>0</v>
          </cell>
        </row>
        <row r="7299">
          <cell r="A7299">
            <v>0</v>
          </cell>
          <cell r="B7299">
            <v>0</v>
          </cell>
        </row>
        <row r="7300">
          <cell r="A7300">
            <v>0</v>
          </cell>
          <cell r="B7300">
            <v>0</v>
          </cell>
        </row>
        <row r="7301">
          <cell r="A7301">
            <v>0</v>
          </cell>
          <cell r="B7301">
            <v>0</v>
          </cell>
        </row>
        <row r="7302">
          <cell r="A7302">
            <v>0</v>
          </cell>
          <cell r="B7302">
            <v>0</v>
          </cell>
        </row>
        <row r="7303">
          <cell r="A7303">
            <v>0</v>
          </cell>
          <cell r="B7303">
            <v>0</v>
          </cell>
        </row>
        <row r="7304">
          <cell r="A7304">
            <v>0</v>
          </cell>
          <cell r="B7304">
            <v>0</v>
          </cell>
        </row>
        <row r="7305">
          <cell r="A7305">
            <v>0</v>
          </cell>
          <cell r="B7305">
            <v>0</v>
          </cell>
        </row>
        <row r="7306">
          <cell r="A7306">
            <v>0</v>
          </cell>
          <cell r="B7306">
            <v>0</v>
          </cell>
        </row>
        <row r="7307">
          <cell r="A7307">
            <v>0</v>
          </cell>
          <cell r="B7307">
            <v>0</v>
          </cell>
        </row>
        <row r="7308">
          <cell r="A7308">
            <v>0</v>
          </cell>
          <cell r="B7308">
            <v>0</v>
          </cell>
        </row>
        <row r="7309">
          <cell r="A7309">
            <v>0</v>
          </cell>
          <cell r="B7309">
            <v>0</v>
          </cell>
        </row>
        <row r="7310">
          <cell r="A7310">
            <v>0</v>
          </cell>
          <cell r="B7310">
            <v>0</v>
          </cell>
        </row>
        <row r="7311">
          <cell r="A7311">
            <v>0</v>
          </cell>
          <cell r="B7311">
            <v>0</v>
          </cell>
        </row>
        <row r="7312">
          <cell r="A7312">
            <v>0</v>
          </cell>
          <cell r="B7312">
            <v>0</v>
          </cell>
        </row>
        <row r="7313">
          <cell r="A7313">
            <v>0</v>
          </cell>
          <cell r="B7313">
            <v>0</v>
          </cell>
        </row>
        <row r="7314">
          <cell r="A7314">
            <v>0</v>
          </cell>
          <cell r="B7314">
            <v>0</v>
          </cell>
        </row>
        <row r="7315">
          <cell r="A7315">
            <v>0</v>
          </cell>
          <cell r="B7315">
            <v>0</v>
          </cell>
        </row>
        <row r="7316">
          <cell r="A7316">
            <v>0</v>
          </cell>
          <cell r="B7316">
            <v>0</v>
          </cell>
        </row>
        <row r="7317">
          <cell r="A7317">
            <v>0</v>
          </cell>
          <cell r="B7317">
            <v>0</v>
          </cell>
        </row>
        <row r="7318">
          <cell r="A7318">
            <v>0</v>
          </cell>
          <cell r="B7318">
            <v>0</v>
          </cell>
        </row>
        <row r="7319">
          <cell r="A7319">
            <v>0</v>
          </cell>
          <cell r="B7319">
            <v>0</v>
          </cell>
        </row>
        <row r="7320">
          <cell r="A7320">
            <v>0</v>
          </cell>
          <cell r="B7320">
            <v>0</v>
          </cell>
        </row>
        <row r="7321">
          <cell r="A7321">
            <v>0</v>
          </cell>
          <cell r="B7321">
            <v>0</v>
          </cell>
        </row>
        <row r="7322">
          <cell r="A7322">
            <v>0</v>
          </cell>
          <cell r="B7322">
            <v>0</v>
          </cell>
        </row>
        <row r="7323">
          <cell r="A7323">
            <v>0</v>
          </cell>
          <cell r="B7323">
            <v>0</v>
          </cell>
        </row>
        <row r="7324">
          <cell r="A7324">
            <v>0</v>
          </cell>
          <cell r="B7324">
            <v>0</v>
          </cell>
        </row>
        <row r="7325">
          <cell r="A7325">
            <v>0</v>
          </cell>
          <cell r="B7325">
            <v>0</v>
          </cell>
        </row>
        <row r="7326">
          <cell r="A7326">
            <v>0</v>
          </cell>
          <cell r="B7326">
            <v>0</v>
          </cell>
        </row>
        <row r="7327">
          <cell r="A7327">
            <v>0</v>
          </cell>
          <cell r="B7327">
            <v>0</v>
          </cell>
        </row>
        <row r="7328">
          <cell r="A7328">
            <v>0</v>
          </cell>
          <cell r="B7328">
            <v>0</v>
          </cell>
        </row>
        <row r="7329">
          <cell r="A7329">
            <v>0</v>
          </cell>
          <cell r="B7329">
            <v>0</v>
          </cell>
        </row>
        <row r="7330">
          <cell r="A7330">
            <v>0</v>
          </cell>
          <cell r="B7330">
            <v>0</v>
          </cell>
        </row>
        <row r="7331">
          <cell r="A7331">
            <v>0</v>
          </cell>
          <cell r="B7331">
            <v>0</v>
          </cell>
        </row>
        <row r="7332">
          <cell r="A7332">
            <v>0</v>
          </cell>
          <cell r="B7332">
            <v>0</v>
          </cell>
        </row>
        <row r="7333">
          <cell r="A7333">
            <v>0</v>
          </cell>
          <cell r="B7333">
            <v>0</v>
          </cell>
        </row>
        <row r="7334">
          <cell r="A7334">
            <v>0</v>
          </cell>
          <cell r="B7334">
            <v>0</v>
          </cell>
        </row>
        <row r="7335">
          <cell r="A7335">
            <v>0</v>
          </cell>
          <cell r="B7335">
            <v>0</v>
          </cell>
        </row>
        <row r="7336">
          <cell r="A7336">
            <v>0</v>
          </cell>
          <cell r="B7336">
            <v>0</v>
          </cell>
        </row>
        <row r="7337">
          <cell r="A7337">
            <v>0</v>
          </cell>
          <cell r="B7337">
            <v>0</v>
          </cell>
        </row>
        <row r="7338">
          <cell r="A7338">
            <v>0</v>
          </cell>
          <cell r="B7338">
            <v>0</v>
          </cell>
        </row>
        <row r="7339">
          <cell r="A7339">
            <v>0</v>
          </cell>
          <cell r="B7339">
            <v>0</v>
          </cell>
        </row>
        <row r="7340">
          <cell r="A7340">
            <v>0</v>
          </cell>
          <cell r="B7340">
            <v>0</v>
          </cell>
        </row>
        <row r="7341">
          <cell r="A7341">
            <v>0</v>
          </cell>
          <cell r="B7341">
            <v>0</v>
          </cell>
        </row>
        <row r="7342">
          <cell r="A7342">
            <v>0</v>
          </cell>
          <cell r="B7342">
            <v>0</v>
          </cell>
        </row>
        <row r="7343">
          <cell r="A7343">
            <v>0</v>
          </cell>
          <cell r="B7343">
            <v>0</v>
          </cell>
        </row>
        <row r="7344">
          <cell r="A7344">
            <v>0</v>
          </cell>
          <cell r="B7344">
            <v>0</v>
          </cell>
        </row>
        <row r="7345">
          <cell r="A7345">
            <v>0</v>
          </cell>
          <cell r="B7345">
            <v>0</v>
          </cell>
        </row>
        <row r="7346">
          <cell r="A7346">
            <v>0</v>
          </cell>
          <cell r="B7346">
            <v>0</v>
          </cell>
        </row>
        <row r="7347">
          <cell r="A7347">
            <v>0</v>
          </cell>
          <cell r="B7347">
            <v>0</v>
          </cell>
        </row>
        <row r="7348">
          <cell r="A7348">
            <v>0</v>
          </cell>
          <cell r="B7348">
            <v>0</v>
          </cell>
        </row>
        <row r="7349">
          <cell r="A7349">
            <v>0</v>
          </cell>
          <cell r="B7349">
            <v>0</v>
          </cell>
        </row>
        <row r="7350">
          <cell r="A7350">
            <v>0</v>
          </cell>
          <cell r="B7350">
            <v>0</v>
          </cell>
        </row>
        <row r="7351">
          <cell r="A7351">
            <v>0</v>
          </cell>
          <cell r="B7351">
            <v>0</v>
          </cell>
        </row>
        <row r="7352">
          <cell r="A7352">
            <v>0</v>
          </cell>
          <cell r="B7352">
            <v>0</v>
          </cell>
        </row>
        <row r="7353">
          <cell r="A7353">
            <v>0</v>
          </cell>
          <cell r="B7353">
            <v>0</v>
          </cell>
        </row>
        <row r="7354">
          <cell r="A7354">
            <v>0</v>
          </cell>
          <cell r="B7354">
            <v>0</v>
          </cell>
        </row>
        <row r="7355">
          <cell r="A7355">
            <v>0</v>
          </cell>
          <cell r="B7355">
            <v>0</v>
          </cell>
        </row>
        <row r="7356">
          <cell r="A7356">
            <v>0</v>
          </cell>
          <cell r="B7356">
            <v>0</v>
          </cell>
        </row>
        <row r="7357">
          <cell r="A7357">
            <v>0</v>
          </cell>
          <cell r="B7357">
            <v>0</v>
          </cell>
        </row>
        <row r="7358">
          <cell r="A7358">
            <v>0</v>
          </cell>
          <cell r="B7358">
            <v>0</v>
          </cell>
        </row>
        <row r="7359">
          <cell r="A7359">
            <v>0</v>
          </cell>
          <cell r="B7359">
            <v>0</v>
          </cell>
        </row>
        <row r="7360">
          <cell r="A7360">
            <v>0</v>
          </cell>
          <cell r="B7360">
            <v>0</v>
          </cell>
        </row>
        <row r="7361">
          <cell r="A7361">
            <v>0</v>
          </cell>
          <cell r="B7361">
            <v>0</v>
          </cell>
        </row>
        <row r="7362">
          <cell r="A7362">
            <v>0</v>
          </cell>
          <cell r="B7362">
            <v>0</v>
          </cell>
        </row>
        <row r="7363">
          <cell r="A7363">
            <v>0</v>
          </cell>
          <cell r="B7363">
            <v>0</v>
          </cell>
        </row>
        <row r="7364">
          <cell r="A7364">
            <v>0</v>
          </cell>
          <cell r="B7364">
            <v>0</v>
          </cell>
        </row>
        <row r="7365">
          <cell r="A7365">
            <v>0</v>
          </cell>
          <cell r="B7365">
            <v>0</v>
          </cell>
        </row>
        <row r="7366">
          <cell r="A7366">
            <v>0</v>
          </cell>
          <cell r="B7366">
            <v>0</v>
          </cell>
        </row>
        <row r="7367">
          <cell r="A7367">
            <v>0</v>
          </cell>
          <cell r="B7367">
            <v>0</v>
          </cell>
        </row>
        <row r="7368">
          <cell r="A7368">
            <v>0</v>
          </cell>
          <cell r="B7368">
            <v>0</v>
          </cell>
        </row>
        <row r="7369">
          <cell r="A7369">
            <v>0</v>
          </cell>
          <cell r="B7369">
            <v>0</v>
          </cell>
        </row>
        <row r="7370">
          <cell r="A7370">
            <v>0</v>
          </cell>
          <cell r="B7370">
            <v>0</v>
          </cell>
        </row>
        <row r="7371">
          <cell r="A7371">
            <v>0</v>
          </cell>
          <cell r="B7371">
            <v>0</v>
          </cell>
        </row>
        <row r="7372">
          <cell r="A7372">
            <v>0</v>
          </cell>
          <cell r="B7372">
            <v>0</v>
          </cell>
        </row>
        <row r="7373">
          <cell r="A7373">
            <v>0</v>
          </cell>
          <cell r="B7373">
            <v>0</v>
          </cell>
        </row>
        <row r="7374">
          <cell r="A7374">
            <v>0</v>
          </cell>
          <cell r="B7374">
            <v>0</v>
          </cell>
        </row>
        <row r="7375">
          <cell r="A7375">
            <v>0</v>
          </cell>
          <cell r="B7375">
            <v>0</v>
          </cell>
        </row>
        <row r="7376">
          <cell r="A7376">
            <v>0</v>
          </cell>
          <cell r="B7376">
            <v>0</v>
          </cell>
        </row>
        <row r="7377">
          <cell r="A7377">
            <v>0</v>
          </cell>
          <cell r="B7377">
            <v>0</v>
          </cell>
        </row>
        <row r="7378">
          <cell r="A7378">
            <v>0</v>
          </cell>
          <cell r="B7378">
            <v>0</v>
          </cell>
        </row>
        <row r="7379">
          <cell r="A7379">
            <v>0</v>
          </cell>
          <cell r="B7379">
            <v>0</v>
          </cell>
        </row>
        <row r="7380">
          <cell r="A7380">
            <v>0</v>
          </cell>
          <cell r="B7380">
            <v>0</v>
          </cell>
        </row>
        <row r="7381">
          <cell r="A7381">
            <v>0</v>
          </cell>
          <cell r="B7381">
            <v>0</v>
          </cell>
        </row>
        <row r="7382">
          <cell r="A7382">
            <v>0</v>
          </cell>
          <cell r="B7382">
            <v>0</v>
          </cell>
        </row>
        <row r="7383">
          <cell r="A7383">
            <v>0</v>
          </cell>
          <cell r="B7383">
            <v>0</v>
          </cell>
        </row>
        <row r="7384">
          <cell r="A7384">
            <v>0</v>
          </cell>
          <cell r="B7384">
            <v>0</v>
          </cell>
        </row>
        <row r="7385">
          <cell r="A7385">
            <v>0</v>
          </cell>
          <cell r="B7385">
            <v>0</v>
          </cell>
        </row>
        <row r="7386">
          <cell r="A7386">
            <v>0</v>
          </cell>
          <cell r="B7386">
            <v>0</v>
          </cell>
        </row>
        <row r="7387">
          <cell r="A7387">
            <v>0</v>
          </cell>
          <cell r="B7387">
            <v>0</v>
          </cell>
        </row>
        <row r="7388">
          <cell r="A7388">
            <v>0</v>
          </cell>
          <cell r="B7388">
            <v>0</v>
          </cell>
        </row>
        <row r="7389">
          <cell r="A7389">
            <v>0</v>
          </cell>
          <cell r="B7389">
            <v>0</v>
          </cell>
        </row>
        <row r="7390">
          <cell r="A7390">
            <v>0</v>
          </cell>
          <cell r="B7390">
            <v>0</v>
          </cell>
        </row>
        <row r="7391">
          <cell r="A7391">
            <v>0</v>
          </cell>
          <cell r="B7391">
            <v>0</v>
          </cell>
        </row>
        <row r="7392">
          <cell r="A7392">
            <v>0</v>
          </cell>
          <cell r="B7392">
            <v>0</v>
          </cell>
        </row>
        <row r="7393">
          <cell r="A7393">
            <v>0</v>
          </cell>
          <cell r="B7393">
            <v>0</v>
          </cell>
        </row>
        <row r="7394">
          <cell r="A7394">
            <v>0</v>
          </cell>
          <cell r="B7394">
            <v>0</v>
          </cell>
        </row>
        <row r="7395">
          <cell r="A7395">
            <v>0</v>
          </cell>
          <cell r="B7395">
            <v>0</v>
          </cell>
        </row>
        <row r="7396">
          <cell r="A7396">
            <v>0</v>
          </cell>
          <cell r="B7396">
            <v>0</v>
          </cell>
        </row>
        <row r="7397">
          <cell r="A7397">
            <v>0</v>
          </cell>
          <cell r="B7397">
            <v>0</v>
          </cell>
        </row>
        <row r="7398">
          <cell r="A7398">
            <v>0</v>
          </cell>
          <cell r="B7398">
            <v>0</v>
          </cell>
        </row>
        <row r="7399">
          <cell r="A7399">
            <v>0</v>
          </cell>
          <cell r="B7399">
            <v>0</v>
          </cell>
        </row>
        <row r="7400">
          <cell r="A7400">
            <v>0</v>
          </cell>
          <cell r="B7400">
            <v>0</v>
          </cell>
        </row>
        <row r="7401">
          <cell r="A7401">
            <v>0</v>
          </cell>
          <cell r="B7401">
            <v>0</v>
          </cell>
        </row>
        <row r="7402">
          <cell r="A7402">
            <v>0</v>
          </cell>
          <cell r="B7402">
            <v>0</v>
          </cell>
        </row>
        <row r="7403">
          <cell r="A7403">
            <v>0</v>
          </cell>
          <cell r="B7403">
            <v>0</v>
          </cell>
        </row>
        <row r="7404">
          <cell r="A7404">
            <v>0</v>
          </cell>
          <cell r="B7404">
            <v>0</v>
          </cell>
        </row>
        <row r="7405">
          <cell r="A7405">
            <v>0</v>
          </cell>
          <cell r="B7405">
            <v>0</v>
          </cell>
        </row>
        <row r="7406">
          <cell r="A7406">
            <v>0</v>
          </cell>
          <cell r="B7406">
            <v>0</v>
          </cell>
        </row>
        <row r="7407">
          <cell r="A7407">
            <v>0</v>
          </cell>
          <cell r="B7407">
            <v>0</v>
          </cell>
        </row>
        <row r="7408">
          <cell r="A7408">
            <v>0</v>
          </cell>
          <cell r="B7408">
            <v>0</v>
          </cell>
        </row>
        <row r="7409">
          <cell r="A7409">
            <v>0</v>
          </cell>
          <cell r="B7409">
            <v>0</v>
          </cell>
        </row>
        <row r="7410">
          <cell r="A7410">
            <v>0</v>
          </cell>
          <cell r="B7410">
            <v>0</v>
          </cell>
        </row>
        <row r="7411">
          <cell r="A7411">
            <v>0</v>
          </cell>
          <cell r="B7411">
            <v>0</v>
          </cell>
        </row>
        <row r="7412">
          <cell r="A7412">
            <v>0</v>
          </cell>
          <cell r="B7412">
            <v>0</v>
          </cell>
        </row>
        <row r="7413">
          <cell r="A7413">
            <v>0</v>
          </cell>
          <cell r="B7413">
            <v>0</v>
          </cell>
        </row>
        <row r="7414">
          <cell r="A7414">
            <v>0</v>
          </cell>
          <cell r="B7414">
            <v>0</v>
          </cell>
        </row>
        <row r="7415">
          <cell r="A7415">
            <v>0</v>
          </cell>
          <cell r="B7415">
            <v>0</v>
          </cell>
        </row>
        <row r="7416">
          <cell r="A7416">
            <v>0</v>
          </cell>
          <cell r="B7416">
            <v>0</v>
          </cell>
        </row>
        <row r="7417">
          <cell r="A7417">
            <v>0</v>
          </cell>
          <cell r="B7417">
            <v>0</v>
          </cell>
        </row>
        <row r="7418">
          <cell r="A7418">
            <v>0</v>
          </cell>
          <cell r="B7418">
            <v>0</v>
          </cell>
        </row>
        <row r="7419">
          <cell r="A7419">
            <v>0</v>
          </cell>
          <cell r="B7419">
            <v>0</v>
          </cell>
        </row>
        <row r="7420">
          <cell r="A7420">
            <v>0</v>
          </cell>
          <cell r="B7420">
            <v>0</v>
          </cell>
        </row>
        <row r="7421">
          <cell r="A7421">
            <v>0</v>
          </cell>
          <cell r="B7421">
            <v>0</v>
          </cell>
        </row>
        <row r="7422">
          <cell r="A7422">
            <v>0</v>
          </cell>
          <cell r="B7422">
            <v>0</v>
          </cell>
        </row>
        <row r="7423">
          <cell r="A7423">
            <v>0</v>
          </cell>
          <cell r="B7423">
            <v>0</v>
          </cell>
        </row>
        <row r="7424">
          <cell r="A7424">
            <v>0</v>
          </cell>
          <cell r="B7424">
            <v>0</v>
          </cell>
        </row>
        <row r="7425">
          <cell r="A7425">
            <v>0</v>
          </cell>
          <cell r="B7425">
            <v>0</v>
          </cell>
        </row>
        <row r="7426">
          <cell r="A7426">
            <v>0</v>
          </cell>
          <cell r="B7426">
            <v>0</v>
          </cell>
        </row>
        <row r="7427">
          <cell r="A7427">
            <v>0</v>
          </cell>
          <cell r="B7427">
            <v>0</v>
          </cell>
        </row>
        <row r="7428">
          <cell r="A7428">
            <v>0</v>
          </cell>
          <cell r="B7428">
            <v>0</v>
          </cell>
        </row>
        <row r="7429">
          <cell r="A7429">
            <v>0</v>
          </cell>
          <cell r="B7429">
            <v>0</v>
          </cell>
        </row>
        <row r="7430">
          <cell r="A7430">
            <v>0</v>
          </cell>
          <cell r="B7430">
            <v>0</v>
          </cell>
        </row>
        <row r="7431">
          <cell r="A7431">
            <v>0</v>
          </cell>
          <cell r="B7431">
            <v>0</v>
          </cell>
        </row>
        <row r="7432">
          <cell r="A7432">
            <v>0</v>
          </cell>
          <cell r="B7432">
            <v>0</v>
          </cell>
        </row>
        <row r="7433">
          <cell r="A7433">
            <v>0</v>
          </cell>
          <cell r="B7433">
            <v>0</v>
          </cell>
        </row>
        <row r="7434">
          <cell r="A7434">
            <v>0</v>
          </cell>
          <cell r="B7434">
            <v>0</v>
          </cell>
        </row>
        <row r="7435">
          <cell r="A7435">
            <v>0</v>
          </cell>
          <cell r="B7435">
            <v>0</v>
          </cell>
        </row>
        <row r="7436">
          <cell r="A7436">
            <v>0</v>
          </cell>
          <cell r="B7436">
            <v>0</v>
          </cell>
        </row>
        <row r="7437">
          <cell r="A7437">
            <v>0</v>
          </cell>
          <cell r="B7437">
            <v>0</v>
          </cell>
        </row>
        <row r="7438">
          <cell r="A7438">
            <v>0</v>
          </cell>
          <cell r="B7438">
            <v>0</v>
          </cell>
        </row>
        <row r="7439">
          <cell r="A7439">
            <v>0</v>
          </cell>
          <cell r="B7439">
            <v>0</v>
          </cell>
        </row>
        <row r="7440">
          <cell r="A7440">
            <v>0</v>
          </cell>
          <cell r="B7440">
            <v>0</v>
          </cell>
        </row>
        <row r="7441">
          <cell r="A7441">
            <v>0</v>
          </cell>
          <cell r="B7441">
            <v>0</v>
          </cell>
        </row>
        <row r="7442">
          <cell r="A7442">
            <v>0</v>
          </cell>
          <cell r="B7442">
            <v>0</v>
          </cell>
        </row>
        <row r="7443">
          <cell r="A7443">
            <v>0</v>
          </cell>
          <cell r="B7443">
            <v>0</v>
          </cell>
        </row>
        <row r="7444">
          <cell r="A7444">
            <v>0</v>
          </cell>
          <cell r="B7444">
            <v>0</v>
          </cell>
        </row>
        <row r="7445">
          <cell r="A7445">
            <v>0</v>
          </cell>
          <cell r="B7445">
            <v>0</v>
          </cell>
        </row>
        <row r="7446">
          <cell r="A7446">
            <v>0</v>
          </cell>
          <cell r="B7446">
            <v>0</v>
          </cell>
        </row>
        <row r="7447">
          <cell r="A7447">
            <v>0</v>
          </cell>
          <cell r="B7447">
            <v>0</v>
          </cell>
        </row>
        <row r="7448">
          <cell r="A7448">
            <v>0</v>
          </cell>
          <cell r="B7448">
            <v>0</v>
          </cell>
        </row>
        <row r="7449">
          <cell r="A7449">
            <v>0</v>
          </cell>
          <cell r="B7449">
            <v>0</v>
          </cell>
        </row>
        <row r="7450">
          <cell r="A7450">
            <v>0</v>
          </cell>
          <cell r="B7450">
            <v>0</v>
          </cell>
        </row>
        <row r="7451">
          <cell r="A7451">
            <v>0</v>
          </cell>
          <cell r="B7451">
            <v>0</v>
          </cell>
        </row>
        <row r="7452">
          <cell r="A7452">
            <v>0</v>
          </cell>
          <cell r="B7452">
            <v>0</v>
          </cell>
        </row>
        <row r="7453">
          <cell r="A7453">
            <v>0</v>
          </cell>
          <cell r="B7453">
            <v>0</v>
          </cell>
        </row>
        <row r="7454">
          <cell r="A7454">
            <v>0</v>
          </cell>
          <cell r="B7454">
            <v>0</v>
          </cell>
        </row>
        <row r="7455">
          <cell r="A7455">
            <v>0</v>
          </cell>
          <cell r="B7455">
            <v>0</v>
          </cell>
        </row>
        <row r="7456">
          <cell r="A7456">
            <v>0</v>
          </cell>
          <cell r="B7456">
            <v>0</v>
          </cell>
        </row>
        <row r="7457">
          <cell r="A7457">
            <v>0</v>
          </cell>
          <cell r="B7457">
            <v>0</v>
          </cell>
        </row>
        <row r="7458">
          <cell r="A7458">
            <v>0</v>
          </cell>
          <cell r="B7458">
            <v>0</v>
          </cell>
        </row>
        <row r="7459">
          <cell r="A7459">
            <v>0</v>
          </cell>
          <cell r="B7459">
            <v>0</v>
          </cell>
        </row>
        <row r="7460">
          <cell r="A7460">
            <v>0</v>
          </cell>
          <cell r="B7460">
            <v>0</v>
          </cell>
        </row>
        <row r="7461">
          <cell r="A7461">
            <v>0</v>
          </cell>
          <cell r="B7461">
            <v>0</v>
          </cell>
        </row>
        <row r="7462">
          <cell r="A7462">
            <v>0</v>
          </cell>
          <cell r="B7462">
            <v>0</v>
          </cell>
        </row>
        <row r="7463">
          <cell r="A7463">
            <v>0</v>
          </cell>
          <cell r="B7463">
            <v>0</v>
          </cell>
        </row>
        <row r="7464">
          <cell r="A7464">
            <v>0</v>
          </cell>
          <cell r="B7464">
            <v>0</v>
          </cell>
        </row>
        <row r="7465">
          <cell r="A7465">
            <v>0</v>
          </cell>
          <cell r="B7465">
            <v>0</v>
          </cell>
        </row>
        <row r="7466">
          <cell r="A7466">
            <v>0</v>
          </cell>
          <cell r="B7466">
            <v>0</v>
          </cell>
        </row>
        <row r="7467">
          <cell r="A7467">
            <v>0</v>
          </cell>
          <cell r="B7467">
            <v>0</v>
          </cell>
        </row>
        <row r="7468">
          <cell r="A7468">
            <v>0</v>
          </cell>
          <cell r="B7468">
            <v>0</v>
          </cell>
        </row>
        <row r="7469">
          <cell r="A7469">
            <v>0</v>
          </cell>
          <cell r="B7469">
            <v>0</v>
          </cell>
        </row>
        <row r="7470">
          <cell r="A7470">
            <v>0</v>
          </cell>
          <cell r="B7470">
            <v>0</v>
          </cell>
        </row>
        <row r="7471">
          <cell r="A7471">
            <v>0</v>
          </cell>
          <cell r="B7471">
            <v>0</v>
          </cell>
        </row>
        <row r="7472">
          <cell r="A7472">
            <v>0</v>
          </cell>
          <cell r="B7472">
            <v>0</v>
          </cell>
        </row>
        <row r="7473">
          <cell r="A7473">
            <v>0</v>
          </cell>
          <cell r="B7473">
            <v>0</v>
          </cell>
        </row>
        <row r="7474">
          <cell r="A7474">
            <v>0</v>
          </cell>
          <cell r="B7474">
            <v>0</v>
          </cell>
        </row>
        <row r="7475">
          <cell r="A7475">
            <v>0</v>
          </cell>
          <cell r="B7475">
            <v>0</v>
          </cell>
        </row>
        <row r="7476">
          <cell r="A7476">
            <v>0</v>
          </cell>
          <cell r="B7476">
            <v>0</v>
          </cell>
        </row>
        <row r="7477">
          <cell r="A7477">
            <v>0</v>
          </cell>
          <cell r="B7477">
            <v>0</v>
          </cell>
        </row>
        <row r="7478">
          <cell r="A7478">
            <v>0</v>
          </cell>
          <cell r="B7478">
            <v>0</v>
          </cell>
        </row>
        <row r="7479">
          <cell r="A7479">
            <v>0</v>
          </cell>
          <cell r="B7479">
            <v>0</v>
          </cell>
        </row>
        <row r="7480">
          <cell r="A7480">
            <v>0</v>
          </cell>
          <cell r="B7480">
            <v>0</v>
          </cell>
        </row>
        <row r="7481">
          <cell r="A7481">
            <v>0</v>
          </cell>
          <cell r="B7481">
            <v>0</v>
          </cell>
        </row>
        <row r="7482">
          <cell r="A7482">
            <v>0</v>
          </cell>
          <cell r="B7482">
            <v>0</v>
          </cell>
        </row>
        <row r="7483">
          <cell r="A7483">
            <v>0</v>
          </cell>
          <cell r="B7483">
            <v>0</v>
          </cell>
        </row>
        <row r="7484">
          <cell r="A7484">
            <v>0</v>
          </cell>
          <cell r="B7484">
            <v>0</v>
          </cell>
        </row>
        <row r="7485">
          <cell r="A7485">
            <v>0</v>
          </cell>
          <cell r="B7485">
            <v>0</v>
          </cell>
        </row>
        <row r="7486">
          <cell r="A7486">
            <v>0</v>
          </cell>
          <cell r="B7486">
            <v>0</v>
          </cell>
        </row>
        <row r="7487">
          <cell r="A7487">
            <v>0</v>
          </cell>
          <cell r="B7487">
            <v>0</v>
          </cell>
        </row>
        <row r="7488">
          <cell r="A7488">
            <v>0</v>
          </cell>
          <cell r="B7488">
            <v>0</v>
          </cell>
        </row>
        <row r="7489">
          <cell r="A7489">
            <v>0</v>
          </cell>
          <cell r="B7489">
            <v>0</v>
          </cell>
        </row>
        <row r="7490">
          <cell r="A7490">
            <v>0</v>
          </cell>
          <cell r="B7490">
            <v>0</v>
          </cell>
        </row>
        <row r="7491">
          <cell r="A7491">
            <v>0</v>
          </cell>
          <cell r="B7491">
            <v>0</v>
          </cell>
        </row>
        <row r="7492">
          <cell r="A7492">
            <v>0</v>
          </cell>
          <cell r="B7492">
            <v>0</v>
          </cell>
        </row>
        <row r="7493">
          <cell r="A7493">
            <v>0</v>
          </cell>
          <cell r="B7493">
            <v>0</v>
          </cell>
        </row>
        <row r="7494">
          <cell r="A7494">
            <v>0</v>
          </cell>
          <cell r="B7494">
            <v>0</v>
          </cell>
        </row>
        <row r="7495">
          <cell r="A7495">
            <v>0</v>
          </cell>
          <cell r="B7495">
            <v>0</v>
          </cell>
        </row>
        <row r="7496">
          <cell r="A7496">
            <v>0</v>
          </cell>
          <cell r="B7496">
            <v>0</v>
          </cell>
        </row>
        <row r="7497">
          <cell r="A7497">
            <v>0</v>
          </cell>
          <cell r="B7497">
            <v>0</v>
          </cell>
        </row>
        <row r="7498">
          <cell r="A7498">
            <v>0</v>
          </cell>
          <cell r="B7498">
            <v>0</v>
          </cell>
        </row>
        <row r="7499">
          <cell r="A7499">
            <v>0</v>
          </cell>
          <cell r="B7499">
            <v>0</v>
          </cell>
        </row>
        <row r="7500">
          <cell r="A7500">
            <v>0</v>
          </cell>
          <cell r="B7500">
            <v>0</v>
          </cell>
        </row>
        <row r="7501">
          <cell r="A7501">
            <v>0</v>
          </cell>
          <cell r="B7501">
            <v>0</v>
          </cell>
        </row>
        <row r="7502">
          <cell r="A7502">
            <v>0</v>
          </cell>
          <cell r="B7502">
            <v>0</v>
          </cell>
        </row>
        <row r="7503">
          <cell r="A7503">
            <v>0</v>
          </cell>
          <cell r="B7503">
            <v>0</v>
          </cell>
        </row>
        <row r="7504">
          <cell r="A7504">
            <v>0</v>
          </cell>
          <cell r="B7504">
            <v>0</v>
          </cell>
        </row>
        <row r="7505">
          <cell r="A7505">
            <v>0</v>
          </cell>
          <cell r="B7505">
            <v>0</v>
          </cell>
        </row>
        <row r="7506">
          <cell r="A7506">
            <v>0</v>
          </cell>
          <cell r="B7506">
            <v>0</v>
          </cell>
        </row>
        <row r="7507">
          <cell r="A7507">
            <v>0</v>
          </cell>
          <cell r="B7507">
            <v>0</v>
          </cell>
        </row>
        <row r="7508">
          <cell r="A7508">
            <v>0</v>
          </cell>
          <cell r="B7508">
            <v>0</v>
          </cell>
        </row>
        <row r="7509">
          <cell r="A7509">
            <v>0</v>
          </cell>
          <cell r="B7509">
            <v>0</v>
          </cell>
        </row>
        <row r="7510">
          <cell r="A7510">
            <v>0</v>
          </cell>
          <cell r="B7510">
            <v>0</v>
          </cell>
        </row>
        <row r="7511">
          <cell r="A7511">
            <v>0</v>
          </cell>
          <cell r="B7511">
            <v>0</v>
          </cell>
        </row>
        <row r="7512">
          <cell r="A7512">
            <v>0</v>
          </cell>
          <cell r="B7512">
            <v>0</v>
          </cell>
        </row>
        <row r="7513">
          <cell r="A7513">
            <v>0</v>
          </cell>
          <cell r="B7513">
            <v>0</v>
          </cell>
        </row>
        <row r="7514">
          <cell r="A7514">
            <v>0</v>
          </cell>
          <cell r="B7514">
            <v>0</v>
          </cell>
        </row>
        <row r="7515">
          <cell r="A7515">
            <v>0</v>
          </cell>
          <cell r="B7515">
            <v>0</v>
          </cell>
        </row>
        <row r="7516">
          <cell r="A7516">
            <v>0</v>
          </cell>
          <cell r="B7516">
            <v>0</v>
          </cell>
        </row>
        <row r="7517">
          <cell r="A7517">
            <v>0</v>
          </cell>
          <cell r="B7517">
            <v>0</v>
          </cell>
        </row>
        <row r="7518">
          <cell r="A7518">
            <v>0</v>
          </cell>
          <cell r="B7518">
            <v>0</v>
          </cell>
        </row>
        <row r="7519">
          <cell r="A7519">
            <v>0</v>
          </cell>
          <cell r="B7519">
            <v>0</v>
          </cell>
        </row>
        <row r="7520">
          <cell r="A7520">
            <v>0</v>
          </cell>
          <cell r="B7520">
            <v>0</v>
          </cell>
        </row>
        <row r="7521">
          <cell r="A7521">
            <v>0</v>
          </cell>
          <cell r="B7521">
            <v>0</v>
          </cell>
        </row>
        <row r="7522">
          <cell r="A7522">
            <v>0</v>
          </cell>
          <cell r="B7522">
            <v>0</v>
          </cell>
        </row>
        <row r="7523">
          <cell r="A7523">
            <v>0</v>
          </cell>
          <cell r="B7523">
            <v>0</v>
          </cell>
        </row>
        <row r="7524">
          <cell r="A7524">
            <v>0</v>
          </cell>
          <cell r="B7524">
            <v>0</v>
          </cell>
        </row>
        <row r="7525">
          <cell r="A7525">
            <v>0</v>
          </cell>
          <cell r="B7525">
            <v>0</v>
          </cell>
        </row>
        <row r="7526">
          <cell r="A7526">
            <v>0</v>
          </cell>
          <cell r="B7526">
            <v>0</v>
          </cell>
        </row>
        <row r="7527">
          <cell r="A7527">
            <v>0</v>
          </cell>
          <cell r="B7527">
            <v>0</v>
          </cell>
        </row>
        <row r="7528">
          <cell r="A7528">
            <v>0</v>
          </cell>
          <cell r="B7528">
            <v>0</v>
          </cell>
        </row>
        <row r="7529">
          <cell r="A7529">
            <v>0</v>
          </cell>
          <cell r="B7529">
            <v>0</v>
          </cell>
        </row>
        <row r="7530">
          <cell r="A7530">
            <v>0</v>
          </cell>
          <cell r="B7530">
            <v>0</v>
          </cell>
        </row>
        <row r="7531">
          <cell r="A7531">
            <v>0</v>
          </cell>
          <cell r="B7531">
            <v>0</v>
          </cell>
        </row>
        <row r="7532">
          <cell r="A7532">
            <v>0</v>
          </cell>
          <cell r="B7532">
            <v>0</v>
          </cell>
        </row>
        <row r="7533">
          <cell r="A7533">
            <v>0</v>
          </cell>
          <cell r="B7533">
            <v>0</v>
          </cell>
        </row>
        <row r="7534">
          <cell r="A7534">
            <v>0</v>
          </cell>
          <cell r="B7534">
            <v>0</v>
          </cell>
        </row>
        <row r="7535">
          <cell r="A7535">
            <v>0</v>
          </cell>
          <cell r="B7535">
            <v>0</v>
          </cell>
        </row>
        <row r="7536">
          <cell r="A7536">
            <v>0</v>
          </cell>
          <cell r="B7536">
            <v>0</v>
          </cell>
        </row>
        <row r="7537">
          <cell r="A7537">
            <v>0</v>
          </cell>
          <cell r="B7537">
            <v>0</v>
          </cell>
        </row>
        <row r="7538">
          <cell r="A7538">
            <v>0</v>
          </cell>
          <cell r="B7538">
            <v>0</v>
          </cell>
        </row>
        <row r="7539">
          <cell r="A7539">
            <v>0</v>
          </cell>
          <cell r="B7539">
            <v>0</v>
          </cell>
        </row>
        <row r="7540">
          <cell r="A7540">
            <v>0</v>
          </cell>
          <cell r="B7540">
            <v>0</v>
          </cell>
        </row>
        <row r="7541">
          <cell r="A7541">
            <v>0</v>
          </cell>
          <cell r="B7541">
            <v>0</v>
          </cell>
        </row>
        <row r="7542">
          <cell r="A7542">
            <v>0</v>
          </cell>
          <cell r="B7542">
            <v>0</v>
          </cell>
        </row>
        <row r="7543">
          <cell r="A7543">
            <v>0</v>
          </cell>
          <cell r="B7543">
            <v>0</v>
          </cell>
        </row>
        <row r="7544">
          <cell r="A7544">
            <v>0</v>
          </cell>
          <cell r="B7544">
            <v>0</v>
          </cell>
        </row>
        <row r="7545">
          <cell r="A7545">
            <v>0</v>
          </cell>
          <cell r="B7545">
            <v>0</v>
          </cell>
        </row>
        <row r="7546">
          <cell r="A7546">
            <v>0</v>
          </cell>
          <cell r="B7546">
            <v>0</v>
          </cell>
        </row>
        <row r="7547">
          <cell r="A7547">
            <v>0</v>
          </cell>
          <cell r="B7547">
            <v>0</v>
          </cell>
        </row>
        <row r="7548">
          <cell r="A7548">
            <v>0</v>
          </cell>
          <cell r="B7548">
            <v>0</v>
          </cell>
        </row>
        <row r="7549">
          <cell r="A7549">
            <v>0</v>
          </cell>
          <cell r="B7549">
            <v>0</v>
          </cell>
        </row>
        <row r="7550">
          <cell r="A7550">
            <v>0</v>
          </cell>
          <cell r="B7550">
            <v>0</v>
          </cell>
        </row>
        <row r="7551">
          <cell r="A7551">
            <v>0</v>
          </cell>
          <cell r="B7551">
            <v>0</v>
          </cell>
        </row>
        <row r="7552">
          <cell r="A7552">
            <v>0</v>
          </cell>
          <cell r="B7552">
            <v>0</v>
          </cell>
        </row>
        <row r="7553">
          <cell r="A7553">
            <v>0</v>
          </cell>
          <cell r="B7553">
            <v>0</v>
          </cell>
        </row>
        <row r="7554">
          <cell r="A7554">
            <v>0</v>
          </cell>
          <cell r="B7554">
            <v>0</v>
          </cell>
        </row>
        <row r="7555">
          <cell r="A7555">
            <v>0</v>
          </cell>
          <cell r="B7555">
            <v>0</v>
          </cell>
        </row>
        <row r="7556">
          <cell r="A7556">
            <v>0</v>
          </cell>
          <cell r="B7556">
            <v>0</v>
          </cell>
        </row>
        <row r="7557">
          <cell r="A7557">
            <v>0</v>
          </cell>
          <cell r="B7557">
            <v>0</v>
          </cell>
        </row>
        <row r="7558">
          <cell r="A7558">
            <v>0</v>
          </cell>
          <cell r="B7558">
            <v>0</v>
          </cell>
        </row>
        <row r="7559">
          <cell r="A7559">
            <v>0</v>
          </cell>
          <cell r="B7559">
            <v>0</v>
          </cell>
        </row>
        <row r="7560">
          <cell r="A7560">
            <v>0</v>
          </cell>
          <cell r="B7560">
            <v>0</v>
          </cell>
        </row>
        <row r="7561">
          <cell r="A7561">
            <v>0</v>
          </cell>
          <cell r="B7561">
            <v>0</v>
          </cell>
        </row>
        <row r="7562">
          <cell r="A7562">
            <v>0</v>
          </cell>
          <cell r="B7562">
            <v>0</v>
          </cell>
        </row>
        <row r="7563">
          <cell r="A7563">
            <v>0</v>
          </cell>
          <cell r="B7563">
            <v>0</v>
          </cell>
        </row>
        <row r="7564">
          <cell r="A7564">
            <v>0</v>
          </cell>
          <cell r="B7564">
            <v>0</v>
          </cell>
        </row>
        <row r="7565">
          <cell r="A7565">
            <v>0</v>
          </cell>
          <cell r="B7565">
            <v>0</v>
          </cell>
        </row>
        <row r="7566">
          <cell r="A7566">
            <v>0</v>
          </cell>
          <cell r="B7566">
            <v>0</v>
          </cell>
        </row>
        <row r="7567">
          <cell r="A7567">
            <v>0</v>
          </cell>
          <cell r="B7567">
            <v>0</v>
          </cell>
        </row>
        <row r="7568">
          <cell r="A7568">
            <v>0</v>
          </cell>
          <cell r="B7568">
            <v>0</v>
          </cell>
        </row>
        <row r="7569">
          <cell r="A7569">
            <v>0</v>
          </cell>
          <cell r="B7569">
            <v>0</v>
          </cell>
        </row>
        <row r="7570">
          <cell r="A7570">
            <v>0</v>
          </cell>
          <cell r="B7570">
            <v>0</v>
          </cell>
        </row>
        <row r="7571">
          <cell r="A7571">
            <v>0</v>
          </cell>
          <cell r="B7571">
            <v>0</v>
          </cell>
        </row>
        <row r="7572">
          <cell r="A7572">
            <v>0</v>
          </cell>
          <cell r="B7572">
            <v>0</v>
          </cell>
        </row>
        <row r="7573">
          <cell r="A7573">
            <v>0</v>
          </cell>
          <cell r="B7573">
            <v>0</v>
          </cell>
        </row>
        <row r="7574">
          <cell r="A7574">
            <v>0</v>
          </cell>
          <cell r="B7574">
            <v>0</v>
          </cell>
        </row>
        <row r="7575">
          <cell r="A7575">
            <v>0</v>
          </cell>
          <cell r="B7575">
            <v>0</v>
          </cell>
        </row>
        <row r="7576">
          <cell r="A7576">
            <v>0</v>
          </cell>
          <cell r="B7576">
            <v>0</v>
          </cell>
        </row>
        <row r="7577">
          <cell r="A7577">
            <v>0</v>
          </cell>
          <cell r="B7577">
            <v>0</v>
          </cell>
        </row>
        <row r="7578">
          <cell r="A7578">
            <v>0</v>
          </cell>
          <cell r="B7578">
            <v>0</v>
          </cell>
        </row>
        <row r="7579">
          <cell r="A7579">
            <v>0</v>
          </cell>
          <cell r="B7579">
            <v>0</v>
          </cell>
        </row>
        <row r="7580">
          <cell r="A7580">
            <v>0</v>
          </cell>
          <cell r="B7580">
            <v>0</v>
          </cell>
        </row>
        <row r="7581">
          <cell r="A7581">
            <v>0</v>
          </cell>
          <cell r="B7581">
            <v>0</v>
          </cell>
        </row>
        <row r="7582">
          <cell r="A7582">
            <v>0</v>
          </cell>
          <cell r="B7582">
            <v>0</v>
          </cell>
        </row>
        <row r="7583">
          <cell r="A7583">
            <v>0</v>
          </cell>
          <cell r="B7583">
            <v>0</v>
          </cell>
        </row>
        <row r="7584">
          <cell r="A7584">
            <v>0</v>
          </cell>
          <cell r="B7584">
            <v>0</v>
          </cell>
        </row>
        <row r="7585">
          <cell r="A7585">
            <v>0</v>
          </cell>
          <cell r="B7585">
            <v>0</v>
          </cell>
        </row>
        <row r="7586">
          <cell r="A7586">
            <v>0</v>
          </cell>
          <cell r="B7586">
            <v>0</v>
          </cell>
        </row>
        <row r="7587">
          <cell r="A7587">
            <v>0</v>
          </cell>
          <cell r="B7587">
            <v>0</v>
          </cell>
        </row>
        <row r="7588">
          <cell r="A7588">
            <v>0</v>
          </cell>
          <cell r="B7588">
            <v>0</v>
          </cell>
        </row>
        <row r="7589">
          <cell r="A7589">
            <v>0</v>
          </cell>
          <cell r="B7589">
            <v>0</v>
          </cell>
        </row>
        <row r="7590">
          <cell r="A7590">
            <v>0</v>
          </cell>
          <cell r="B7590">
            <v>0</v>
          </cell>
        </row>
        <row r="7591">
          <cell r="A7591">
            <v>0</v>
          </cell>
          <cell r="B7591">
            <v>0</v>
          </cell>
        </row>
        <row r="7592">
          <cell r="A7592">
            <v>0</v>
          </cell>
          <cell r="B7592">
            <v>0</v>
          </cell>
        </row>
        <row r="7593">
          <cell r="A7593">
            <v>0</v>
          </cell>
          <cell r="B7593">
            <v>0</v>
          </cell>
        </row>
        <row r="7594">
          <cell r="A7594">
            <v>0</v>
          </cell>
          <cell r="B7594">
            <v>0</v>
          </cell>
        </row>
        <row r="7595">
          <cell r="A7595">
            <v>0</v>
          </cell>
          <cell r="B7595">
            <v>0</v>
          </cell>
        </row>
        <row r="7596">
          <cell r="A7596">
            <v>0</v>
          </cell>
          <cell r="B7596">
            <v>0</v>
          </cell>
        </row>
        <row r="7597">
          <cell r="A7597">
            <v>0</v>
          </cell>
          <cell r="B7597">
            <v>0</v>
          </cell>
        </row>
        <row r="7598">
          <cell r="A7598">
            <v>0</v>
          </cell>
          <cell r="B7598">
            <v>0</v>
          </cell>
        </row>
        <row r="7599">
          <cell r="A7599">
            <v>0</v>
          </cell>
          <cell r="B7599">
            <v>0</v>
          </cell>
        </row>
        <row r="7600">
          <cell r="A7600">
            <v>0</v>
          </cell>
          <cell r="B7600">
            <v>0</v>
          </cell>
        </row>
        <row r="7601">
          <cell r="A7601">
            <v>0</v>
          </cell>
          <cell r="B7601">
            <v>0</v>
          </cell>
        </row>
        <row r="7602">
          <cell r="A7602">
            <v>0</v>
          </cell>
          <cell r="B7602">
            <v>0</v>
          </cell>
        </row>
        <row r="7603">
          <cell r="A7603">
            <v>0</v>
          </cell>
          <cell r="B7603">
            <v>0</v>
          </cell>
        </row>
        <row r="7604">
          <cell r="A7604">
            <v>0</v>
          </cell>
          <cell r="B7604">
            <v>0</v>
          </cell>
        </row>
        <row r="7605">
          <cell r="A7605">
            <v>0</v>
          </cell>
          <cell r="B7605">
            <v>0</v>
          </cell>
        </row>
        <row r="7606">
          <cell r="A7606">
            <v>0</v>
          </cell>
          <cell r="B7606">
            <v>0</v>
          </cell>
        </row>
        <row r="7607">
          <cell r="A7607">
            <v>0</v>
          </cell>
          <cell r="B7607">
            <v>0</v>
          </cell>
        </row>
        <row r="7608">
          <cell r="A7608">
            <v>0</v>
          </cell>
          <cell r="B7608">
            <v>0</v>
          </cell>
        </row>
        <row r="7609">
          <cell r="A7609">
            <v>0</v>
          </cell>
          <cell r="B7609">
            <v>0</v>
          </cell>
        </row>
        <row r="7610">
          <cell r="A7610">
            <v>0</v>
          </cell>
          <cell r="B7610">
            <v>0</v>
          </cell>
        </row>
        <row r="7611">
          <cell r="A7611">
            <v>0</v>
          </cell>
          <cell r="B7611">
            <v>0</v>
          </cell>
        </row>
        <row r="7612">
          <cell r="A7612">
            <v>0</v>
          </cell>
          <cell r="B7612">
            <v>0</v>
          </cell>
        </row>
        <row r="7613">
          <cell r="A7613">
            <v>0</v>
          </cell>
          <cell r="B7613">
            <v>0</v>
          </cell>
        </row>
        <row r="7614">
          <cell r="A7614">
            <v>0</v>
          </cell>
          <cell r="B7614">
            <v>0</v>
          </cell>
        </row>
        <row r="7615">
          <cell r="A7615">
            <v>0</v>
          </cell>
          <cell r="B7615">
            <v>0</v>
          </cell>
        </row>
        <row r="7616">
          <cell r="A7616">
            <v>0</v>
          </cell>
          <cell r="B7616">
            <v>0</v>
          </cell>
        </row>
        <row r="7617">
          <cell r="A7617">
            <v>0</v>
          </cell>
          <cell r="B7617">
            <v>0</v>
          </cell>
        </row>
        <row r="7618">
          <cell r="A7618">
            <v>0</v>
          </cell>
          <cell r="B7618">
            <v>0</v>
          </cell>
        </row>
        <row r="7619">
          <cell r="A7619">
            <v>0</v>
          </cell>
          <cell r="B7619">
            <v>0</v>
          </cell>
        </row>
        <row r="7620">
          <cell r="A7620">
            <v>0</v>
          </cell>
          <cell r="B7620">
            <v>0</v>
          </cell>
        </row>
        <row r="7621">
          <cell r="A7621">
            <v>0</v>
          </cell>
          <cell r="B7621">
            <v>0</v>
          </cell>
        </row>
        <row r="7622">
          <cell r="A7622">
            <v>0</v>
          </cell>
          <cell r="B7622">
            <v>0</v>
          </cell>
        </row>
        <row r="7623">
          <cell r="A7623">
            <v>0</v>
          </cell>
          <cell r="B7623">
            <v>0</v>
          </cell>
        </row>
        <row r="7624">
          <cell r="A7624">
            <v>0</v>
          </cell>
          <cell r="B7624">
            <v>0</v>
          </cell>
        </row>
        <row r="7625">
          <cell r="A7625">
            <v>0</v>
          </cell>
          <cell r="B7625">
            <v>0</v>
          </cell>
        </row>
        <row r="7626">
          <cell r="A7626">
            <v>0</v>
          </cell>
          <cell r="B7626">
            <v>0</v>
          </cell>
        </row>
        <row r="7627">
          <cell r="A7627">
            <v>0</v>
          </cell>
          <cell r="B7627">
            <v>0</v>
          </cell>
        </row>
        <row r="7628">
          <cell r="A7628">
            <v>0</v>
          </cell>
          <cell r="B7628">
            <v>0</v>
          </cell>
        </row>
        <row r="7629">
          <cell r="A7629">
            <v>0</v>
          </cell>
          <cell r="B7629">
            <v>0</v>
          </cell>
        </row>
        <row r="7630">
          <cell r="A7630">
            <v>0</v>
          </cell>
          <cell r="B7630">
            <v>0</v>
          </cell>
        </row>
        <row r="7631">
          <cell r="A7631">
            <v>0</v>
          </cell>
          <cell r="B7631">
            <v>0</v>
          </cell>
        </row>
        <row r="7632">
          <cell r="A7632">
            <v>0</v>
          </cell>
          <cell r="B7632">
            <v>0</v>
          </cell>
        </row>
        <row r="7633">
          <cell r="A7633">
            <v>0</v>
          </cell>
          <cell r="B7633">
            <v>0</v>
          </cell>
        </row>
        <row r="7634">
          <cell r="A7634">
            <v>0</v>
          </cell>
          <cell r="B7634">
            <v>0</v>
          </cell>
        </row>
        <row r="7635">
          <cell r="A7635">
            <v>0</v>
          </cell>
          <cell r="B7635">
            <v>0</v>
          </cell>
        </row>
        <row r="7636">
          <cell r="A7636">
            <v>0</v>
          </cell>
          <cell r="B7636">
            <v>0</v>
          </cell>
        </row>
        <row r="7637">
          <cell r="A7637">
            <v>0</v>
          </cell>
          <cell r="B7637">
            <v>0</v>
          </cell>
        </row>
        <row r="7638">
          <cell r="A7638">
            <v>0</v>
          </cell>
          <cell r="B7638">
            <v>0</v>
          </cell>
        </row>
        <row r="7639">
          <cell r="A7639">
            <v>0</v>
          </cell>
          <cell r="B7639">
            <v>0</v>
          </cell>
        </row>
        <row r="7640">
          <cell r="A7640">
            <v>0</v>
          </cell>
          <cell r="B7640">
            <v>0</v>
          </cell>
        </row>
        <row r="7641">
          <cell r="A7641">
            <v>0</v>
          </cell>
          <cell r="B7641">
            <v>0</v>
          </cell>
        </row>
        <row r="7642">
          <cell r="A7642">
            <v>0</v>
          </cell>
          <cell r="B7642">
            <v>0</v>
          </cell>
        </row>
        <row r="7643">
          <cell r="A7643">
            <v>0</v>
          </cell>
          <cell r="B7643">
            <v>0</v>
          </cell>
        </row>
        <row r="7644">
          <cell r="A7644">
            <v>0</v>
          </cell>
          <cell r="B7644">
            <v>0</v>
          </cell>
        </row>
        <row r="7645">
          <cell r="A7645">
            <v>0</v>
          </cell>
          <cell r="B7645">
            <v>0</v>
          </cell>
        </row>
        <row r="7646">
          <cell r="A7646">
            <v>0</v>
          </cell>
          <cell r="B7646">
            <v>0</v>
          </cell>
        </row>
        <row r="7647">
          <cell r="A7647">
            <v>0</v>
          </cell>
          <cell r="B7647">
            <v>0</v>
          </cell>
        </row>
        <row r="7648">
          <cell r="A7648">
            <v>0</v>
          </cell>
          <cell r="B7648">
            <v>0</v>
          </cell>
        </row>
        <row r="7649">
          <cell r="A7649">
            <v>0</v>
          </cell>
          <cell r="B7649">
            <v>0</v>
          </cell>
        </row>
        <row r="7650">
          <cell r="A7650">
            <v>0</v>
          </cell>
          <cell r="B7650">
            <v>0</v>
          </cell>
        </row>
        <row r="7651">
          <cell r="A7651">
            <v>0</v>
          </cell>
          <cell r="B7651">
            <v>0</v>
          </cell>
        </row>
        <row r="7652">
          <cell r="A7652">
            <v>0</v>
          </cell>
          <cell r="B7652">
            <v>0</v>
          </cell>
        </row>
        <row r="7653">
          <cell r="A7653">
            <v>0</v>
          </cell>
          <cell r="B7653">
            <v>0</v>
          </cell>
        </row>
        <row r="7654">
          <cell r="A7654">
            <v>0</v>
          </cell>
          <cell r="B7654">
            <v>0</v>
          </cell>
        </row>
        <row r="7655">
          <cell r="A7655">
            <v>0</v>
          </cell>
          <cell r="B7655">
            <v>0</v>
          </cell>
        </row>
        <row r="7656">
          <cell r="A7656">
            <v>0</v>
          </cell>
          <cell r="B7656">
            <v>0</v>
          </cell>
        </row>
        <row r="7657">
          <cell r="A7657">
            <v>0</v>
          </cell>
          <cell r="B7657">
            <v>0</v>
          </cell>
        </row>
        <row r="7658">
          <cell r="A7658">
            <v>0</v>
          </cell>
          <cell r="B7658">
            <v>0</v>
          </cell>
        </row>
        <row r="7659">
          <cell r="A7659">
            <v>0</v>
          </cell>
          <cell r="B7659">
            <v>0</v>
          </cell>
        </row>
        <row r="7660">
          <cell r="A7660">
            <v>0</v>
          </cell>
          <cell r="B7660">
            <v>0</v>
          </cell>
        </row>
        <row r="7661">
          <cell r="A7661">
            <v>0</v>
          </cell>
          <cell r="B7661">
            <v>0</v>
          </cell>
        </row>
        <row r="7662">
          <cell r="A7662">
            <v>0</v>
          </cell>
          <cell r="B7662">
            <v>0</v>
          </cell>
        </row>
        <row r="7663">
          <cell r="A7663">
            <v>0</v>
          </cell>
          <cell r="B7663">
            <v>0</v>
          </cell>
        </row>
        <row r="7664">
          <cell r="A7664">
            <v>0</v>
          </cell>
          <cell r="B7664">
            <v>0</v>
          </cell>
        </row>
        <row r="7665">
          <cell r="A7665">
            <v>0</v>
          </cell>
          <cell r="B7665">
            <v>0</v>
          </cell>
        </row>
        <row r="7666">
          <cell r="A7666">
            <v>0</v>
          </cell>
          <cell r="B7666">
            <v>0</v>
          </cell>
        </row>
        <row r="7667">
          <cell r="A7667">
            <v>0</v>
          </cell>
          <cell r="B7667">
            <v>0</v>
          </cell>
        </row>
        <row r="7668">
          <cell r="A7668">
            <v>0</v>
          </cell>
          <cell r="B7668">
            <v>0</v>
          </cell>
        </row>
        <row r="7669">
          <cell r="A7669">
            <v>0</v>
          </cell>
          <cell r="B7669">
            <v>0</v>
          </cell>
        </row>
        <row r="7670">
          <cell r="A7670">
            <v>0</v>
          </cell>
          <cell r="B7670">
            <v>0</v>
          </cell>
        </row>
        <row r="7671">
          <cell r="A7671">
            <v>0</v>
          </cell>
          <cell r="B7671">
            <v>0</v>
          </cell>
        </row>
        <row r="7672">
          <cell r="A7672">
            <v>0</v>
          </cell>
          <cell r="B7672">
            <v>0</v>
          </cell>
        </row>
        <row r="7673">
          <cell r="A7673">
            <v>0</v>
          </cell>
          <cell r="B7673">
            <v>0</v>
          </cell>
        </row>
        <row r="7674">
          <cell r="A7674">
            <v>0</v>
          </cell>
          <cell r="B7674">
            <v>0</v>
          </cell>
        </row>
        <row r="7675">
          <cell r="A7675">
            <v>0</v>
          </cell>
          <cell r="B7675">
            <v>0</v>
          </cell>
        </row>
        <row r="7676">
          <cell r="A7676">
            <v>0</v>
          </cell>
          <cell r="B7676">
            <v>0</v>
          </cell>
        </row>
        <row r="7677">
          <cell r="A7677">
            <v>0</v>
          </cell>
          <cell r="B7677">
            <v>0</v>
          </cell>
        </row>
        <row r="7678">
          <cell r="A7678">
            <v>0</v>
          </cell>
          <cell r="B7678">
            <v>0</v>
          </cell>
        </row>
        <row r="7679">
          <cell r="A7679">
            <v>0</v>
          </cell>
          <cell r="B7679">
            <v>0</v>
          </cell>
        </row>
        <row r="7680">
          <cell r="A7680">
            <v>0</v>
          </cell>
          <cell r="B7680">
            <v>0</v>
          </cell>
        </row>
        <row r="7681">
          <cell r="A7681">
            <v>0</v>
          </cell>
          <cell r="B7681">
            <v>0</v>
          </cell>
        </row>
        <row r="7682">
          <cell r="A7682">
            <v>0</v>
          </cell>
          <cell r="B7682">
            <v>0</v>
          </cell>
        </row>
        <row r="7683">
          <cell r="A7683">
            <v>0</v>
          </cell>
          <cell r="B7683">
            <v>0</v>
          </cell>
        </row>
        <row r="7684">
          <cell r="A7684">
            <v>0</v>
          </cell>
          <cell r="B7684">
            <v>0</v>
          </cell>
        </row>
        <row r="7685">
          <cell r="A7685">
            <v>0</v>
          </cell>
          <cell r="B7685">
            <v>0</v>
          </cell>
        </row>
        <row r="7686">
          <cell r="A7686">
            <v>0</v>
          </cell>
          <cell r="B7686">
            <v>0</v>
          </cell>
        </row>
        <row r="7687">
          <cell r="A7687">
            <v>0</v>
          </cell>
          <cell r="B7687">
            <v>0</v>
          </cell>
        </row>
        <row r="7688">
          <cell r="A7688">
            <v>0</v>
          </cell>
          <cell r="B7688">
            <v>0</v>
          </cell>
        </row>
        <row r="7689">
          <cell r="A7689">
            <v>0</v>
          </cell>
          <cell r="B7689">
            <v>0</v>
          </cell>
        </row>
        <row r="7690">
          <cell r="A7690">
            <v>0</v>
          </cell>
          <cell r="B7690">
            <v>0</v>
          </cell>
        </row>
        <row r="7691">
          <cell r="A7691">
            <v>0</v>
          </cell>
          <cell r="B7691">
            <v>0</v>
          </cell>
        </row>
        <row r="7692">
          <cell r="A7692">
            <v>0</v>
          </cell>
          <cell r="B7692">
            <v>0</v>
          </cell>
        </row>
        <row r="7693">
          <cell r="A7693">
            <v>0</v>
          </cell>
          <cell r="B7693">
            <v>0</v>
          </cell>
        </row>
        <row r="7694">
          <cell r="A7694">
            <v>0</v>
          </cell>
          <cell r="B7694">
            <v>0</v>
          </cell>
        </row>
        <row r="7695">
          <cell r="A7695">
            <v>0</v>
          </cell>
          <cell r="B7695">
            <v>0</v>
          </cell>
        </row>
        <row r="7696">
          <cell r="A7696">
            <v>0</v>
          </cell>
          <cell r="B7696">
            <v>0</v>
          </cell>
        </row>
        <row r="7697">
          <cell r="A7697">
            <v>0</v>
          </cell>
          <cell r="B7697">
            <v>0</v>
          </cell>
        </row>
        <row r="7698">
          <cell r="A7698">
            <v>0</v>
          </cell>
          <cell r="B7698">
            <v>0</v>
          </cell>
        </row>
        <row r="7699">
          <cell r="A7699">
            <v>0</v>
          </cell>
          <cell r="B7699">
            <v>0</v>
          </cell>
        </row>
        <row r="7700">
          <cell r="A7700">
            <v>0</v>
          </cell>
          <cell r="B7700">
            <v>0</v>
          </cell>
        </row>
        <row r="7701">
          <cell r="A7701">
            <v>0</v>
          </cell>
          <cell r="B7701">
            <v>0</v>
          </cell>
        </row>
        <row r="7702">
          <cell r="A7702">
            <v>0</v>
          </cell>
          <cell r="B7702">
            <v>0</v>
          </cell>
        </row>
        <row r="7703">
          <cell r="A7703">
            <v>0</v>
          </cell>
          <cell r="B7703">
            <v>0</v>
          </cell>
        </row>
        <row r="7704">
          <cell r="A7704">
            <v>0</v>
          </cell>
          <cell r="B7704">
            <v>0</v>
          </cell>
        </row>
        <row r="7705">
          <cell r="A7705">
            <v>0</v>
          </cell>
          <cell r="B7705">
            <v>0</v>
          </cell>
        </row>
        <row r="7706">
          <cell r="A7706">
            <v>0</v>
          </cell>
          <cell r="B7706">
            <v>0</v>
          </cell>
        </row>
        <row r="7707">
          <cell r="A7707">
            <v>0</v>
          </cell>
          <cell r="B7707">
            <v>0</v>
          </cell>
        </row>
        <row r="7708">
          <cell r="A7708">
            <v>0</v>
          </cell>
          <cell r="B7708">
            <v>0</v>
          </cell>
        </row>
        <row r="7709">
          <cell r="A7709">
            <v>0</v>
          </cell>
          <cell r="B7709">
            <v>0</v>
          </cell>
        </row>
        <row r="7710">
          <cell r="A7710">
            <v>0</v>
          </cell>
          <cell r="B7710">
            <v>0</v>
          </cell>
        </row>
        <row r="7711">
          <cell r="A7711">
            <v>0</v>
          </cell>
          <cell r="B7711">
            <v>0</v>
          </cell>
        </row>
        <row r="7712">
          <cell r="A7712">
            <v>0</v>
          </cell>
          <cell r="B7712">
            <v>0</v>
          </cell>
        </row>
        <row r="7713">
          <cell r="A7713">
            <v>0</v>
          </cell>
          <cell r="B7713">
            <v>0</v>
          </cell>
        </row>
        <row r="7714">
          <cell r="A7714">
            <v>0</v>
          </cell>
          <cell r="B7714">
            <v>0</v>
          </cell>
        </row>
        <row r="7715">
          <cell r="A7715">
            <v>0</v>
          </cell>
          <cell r="B7715">
            <v>0</v>
          </cell>
        </row>
        <row r="7716">
          <cell r="A7716">
            <v>0</v>
          </cell>
          <cell r="B7716">
            <v>0</v>
          </cell>
        </row>
        <row r="7717">
          <cell r="A7717">
            <v>0</v>
          </cell>
          <cell r="B7717">
            <v>0</v>
          </cell>
        </row>
        <row r="7718">
          <cell r="A7718">
            <v>0</v>
          </cell>
          <cell r="B7718">
            <v>0</v>
          </cell>
        </row>
        <row r="7719">
          <cell r="A7719">
            <v>0</v>
          </cell>
          <cell r="B7719">
            <v>0</v>
          </cell>
        </row>
        <row r="7720">
          <cell r="A7720">
            <v>0</v>
          </cell>
          <cell r="B7720">
            <v>0</v>
          </cell>
        </row>
        <row r="7721">
          <cell r="A7721">
            <v>0</v>
          </cell>
          <cell r="B7721">
            <v>0</v>
          </cell>
        </row>
        <row r="7722">
          <cell r="A7722">
            <v>0</v>
          </cell>
          <cell r="B7722">
            <v>0</v>
          </cell>
        </row>
        <row r="7723">
          <cell r="A7723">
            <v>0</v>
          </cell>
          <cell r="B7723">
            <v>0</v>
          </cell>
        </row>
        <row r="7724">
          <cell r="A7724">
            <v>0</v>
          </cell>
          <cell r="B7724">
            <v>0</v>
          </cell>
        </row>
        <row r="7725">
          <cell r="A7725">
            <v>0</v>
          </cell>
          <cell r="B7725">
            <v>0</v>
          </cell>
        </row>
        <row r="7726">
          <cell r="A7726">
            <v>0</v>
          </cell>
          <cell r="B7726">
            <v>0</v>
          </cell>
        </row>
        <row r="7727">
          <cell r="A7727">
            <v>0</v>
          </cell>
          <cell r="B7727">
            <v>0</v>
          </cell>
        </row>
        <row r="7728">
          <cell r="A7728">
            <v>0</v>
          </cell>
          <cell r="B7728">
            <v>0</v>
          </cell>
        </row>
        <row r="7729">
          <cell r="A7729">
            <v>0</v>
          </cell>
          <cell r="B7729">
            <v>0</v>
          </cell>
        </row>
        <row r="7730">
          <cell r="A7730">
            <v>0</v>
          </cell>
          <cell r="B7730">
            <v>0</v>
          </cell>
        </row>
        <row r="7731">
          <cell r="A7731">
            <v>0</v>
          </cell>
          <cell r="B7731">
            <v>0</v>
          </cell>
        </row>
        <row r="7732">
          <cell r="A7732">
            <v>0</v>
          </cell>
          <cell r="B7732">
            <v>0</v>
          </cell>
        </row>
        <row r="7733">
          <cell r="A7733">
            <v>0</v>
          </cell>
          <cell r="B7733">
            <v>0</v>
          </cell>
        </row>
        <row r="7734">
          <cell r="A7734">
            <v>0</v>
          </cell>
          <cell r="B7734">
            <v>0</v>
          </cell>
        </row>
        <row r="7735">
          <cell r="A7735">
            <v>0</v>
          </cell>
          <cell r="B7735">
            <v>0</v>
          </cell>
        </row>
        <row r="7736">
          <cell r="A7736">
            <v>0</v>
          </cell>
          <cell r="B7736">
            <v>0</v>
          </cell>
        </row>
        <row r="7737">
          <cell r="A7737">
            <v>0</v>
          </cell>
          <cell r="B7737">
            <v>0</v>
          </cell>
        </row>
        <row r="7738">
          <cell r="A7738">
            <v>0</v>
          </cell>
          <cell r="B7738">
            <v>0</v>
          </cell>
        </row>
        <row r="7739">
          <cell r="A7739">
            <v>0</v>
          </cell>
          <cell r="B7739">
            <v>0</v>
          </cell>
        </row>
        <row r="7740">
          <cell r="A7740">
            <v>0</v>
          </cell>
          <cell r="B7740">
            <v>0</v>
          </cell>
        </row>
        <row r="7741">
          <cell r="A7741">
            <v>0</v>
          </cell>
          <cell r="B7741">
            <v>0</v>
          </cell>
        </row>
        <row r="7742">
          <cell r="A7742">
            <v>0</v>
          </cell>
          <cell r="B7742">
            <v>0</v>
          </cell>
        </row>
        <row r="7743">
          <cell r="A7743">
            <v>0</v>
          </cell>
          <cell r="B7743">
            <v>0</v>
          </cell>
        </row>
        <row r="7744">
          <cell r="A7744">
            <v>0</v>
          </cell>
          <cell r="B7744">
            <v>0</v>
          </cell>
        </row>
        <row r="7745">
          <cell r="A7745">
            <v>0</v>
          </cell>
          <cell r="B7745">
            <v>0</v>
          </cell>
        </row>
        <row r="7746">
          <cell r="A7746">
            <v>0</v>
          </cell>
          <cell r="B7746">
            <v>0</v>
          </cell>
        </row>
        <row r="7747">
          <cell r="A7747">
            <v>0</v>
          </cell>
          <cell r="B7747">
            <v>0</v>
          </cell>
        </row>
        <row r="7748">
          <cell r="A7748">
            <v>0</v>
          </cell>
          <cell r="B7748">
            <v>0</v>
          </cell>
        </row>
        <row r="7749">
          <cell r="A7749">
            <v>0</v>
          </cell>
          <cell r="B7749">
            <v>0</v>
          </cell>
        </row>
        <row r="7750">
          <cell r="A7750">
            <v>0</v>
          </cell>
          <cell r="B7750">
            <v>0</v>
          </cell>
        </row>
        <row r="7751">
          <cell r="A7751">
            <v>0</v>
          </cell>
          <cell r="B7751">
            <v>0</v>
          </cell>
        </row>
        <row r="7752">
          <cell r="A7752">
            <v>0</v>
          </cell>
          <cell r="B7752">
            <v>0</v>
          </cell>
        </row>
        <row r="7753">
          <cell r="A7753">
            <v>0</v>
          </cell>
          <cell r="B7753">
            <v>0</v>
          </cell>
        </row>
        <row r="7754">
          <cell r="A7754">
            <v>0</v>
          </cell>
          <cell r="B7754">
            <v>0</v>
          </cell>
        </row>
        <row r="7755">
          <cell r="A7755">
            <v>0</v>
          </cell>
          <cell r="B7755">
            <v>0</v>
          </cell>
        </row>
        <row r="7756">
          <cell r="A7756">
            <v>0</v>
          </cell>
          <cell r="B7756">
            <v>0</v>
          </cell>
        </row>
        <row r="7757">
          <cell r="A7757">
            <v>0</v>
          </cell>
          <cell r="B7757">
            <v>0</v>
          </cell>
        </row>
        <row r="7758">
          <cell r="A7758">
            <v>0</v>
          </cell>
          <cell r="B7758">
            <v>0</v>
          </cell>
        </row>
        <row r="7759">
          <cell r="A7759">
            <v>0</v>
          </cell>
          <cell r="B7759">
            <v>0</v>
          </cell>
        </row>
        <row r="7760">
          <cell r="A7760">
            <v>0</v>
          </cell>
          <cell r="B7760">
            <v>0</v>
          </cell>
        </row>
        <row r="7761">
          <cell r="A7761">
            <v>0</v>
          </cell>
          <cell r="B7761">
            <v>0</v>
          </cell>
        </row>
        <row r="7762">
          <cell r="A7762">
            <v>0</v>
          </cell>
          <cell r="B7762">
            <v>0</v>
          </cell>
        </row>
        <row r="7763">
          <cell r="A7763">
            <v>0</v>
          </cell>
          <cell r="B7763">
            <v>0</v>
          </cell>
        </row>
        <row r="7764">
          <cell r="A7764">
            <v>0</v>
          </cell>
          <cell r="B7764">
            <v>0</v>
          </cell>
        </row>
        <row r="7765">
          <cell r="A7765">
            <v>0</v>
          </cell>
          <cell r="B7765">
            <v>0</v>
          </cell>
        </row>
        <row r="7766">
          <cell r="A7766">
            <v>0</v>
          </cell>
          <cell r="B7766">
            <v>0</v>
          </cell>
        </row>
        <row r="7767">
          <cell r="A7767">
            <v>0</v>
          </cell>
          <cell r="B7767">
            <v>0</v>
          </cell>
        </row>
        <row r="7768">
          <cell r="A7768">
            <v>0</v>
          </cell>
          <cell r="B7768">
            <v>0</v>
          </cell>
        </row>
        <row r="7769">
          <cell r="A7769">
            <v>0</v>
          </cell>
          <cell r="B7769">
            <v>0</v>
          </cell>
        </row>
        <row r="7770">
          <cell r="A7770">
            <v>0</v>
          </cell>
          <cell r="B7770">
            <v>0</v>
          </cell>
        </row>
        <row r="7771">
          <cell r="A7771">
            <v>0</v>
          </cell>
          <cell r="B7771">
            <v>0</v>
          </cell>
        </row>
        <row r="7772">
          <cell r="A7772">
            <v>0</v>
          </cell>
          <cell r="B7772">
            <v>0</v>
          </cell>
        </row>
        <row r="7773">
          <cell r="A7773">
            <v>0</v>
          </cell>
          <cell r="B7773">
            <v>0</v>
          </cell>
        </row>
        <row r="7774">
          <cell r="A7774">
            <v>0</v>
          </cell>
          <cell r="B7774">
            <v>0</v>
          </cell>
        </row>
        <row r="7775">
          <cell r="A7775">
            <v>0</v>
          </cell>
          <cell r="B7775">
            <v>0</v>
          </cell>
        </row>
        <row r="7776">
          <cell r="A7776">
            <v>0</v>
          </cell>
          <cell r="B7776">
            <v>0</v>
          </cell>
        </row>
        <row r="7777">
          <cell r="A7777">
            <v>0</v>
          </cell>
          <cell r="B7777">
            <v>0</v>
          </cell>
        </row>
        <row r="7778">
          <cell r="A7778">
            <v>0</v>
          </cell>
          <cell r="B7778">
            <v>0</v>
          </cell>
        </row>
        <row r="7779">
          <cell r="A7779">
            <v>0</v>
          </cell>
          <cell r="B7779">
            <v>0</v>
          </cell>
        </row>
        <row r="7780">
          <cell r="A7780">
            <v>0</v>
          </cell>
          <cell r="B7780">
            <v>0</v>
          </cell>
        </row>
        <row r="7781">
          <cell r="A7781">
            <v>0</v>
          </cell>
          <cell r="B7781">
            <v>0</v>
          </cell>
        </row>
        <row r="7782">
          <cell r="A7782">
            <v>0</v>
          </cell>
          <cell r="B7782">
            <v>0</v>
          </cell>
        </row>
        <row r="7783">
          <cell r="A7783">
            <v>0</v>
          </cell>
          <cell r="B7783">
            <v>0</v>
          </cell>
        </row>
        <row r="7784">
          <cell r="A7784">
            <v>0</v>
          </cell>
          <cell r="B7784">
            <v>0</v>
          </cell>
        </row>
        <row r="7785">
          <cell r="A7785">
            <v>0</v>
          </cell>
          <cell r="B7785">
            <v>0</v>
          </cell>
        </row>
        <row r="7786">
          <cell r="A7786">
            <v>0</v>
          </cell>
          <cell r="B7786">
            <v>0</v>
          </cell>
        </row>
        <row r="7787">
          <cell r="A7787">
            <v>0</v>
          </cell>
          <cell r="B7787">
            <v>0</v>
          </cell>
        </row>
        <row r="7788">
          <cell r="A7788">
            <v>0</v>
          </cell>
          <cell r="B7788">
            <v>0</v>
          </cell>
        </row>
        <row r="7789">
          <cell r="A7789">
            <v>0</v>
          </cell>
          <cell r="B7789">
            <v>0</v>
          </cell>
        </row>
        <row r="7790">
          <cell r="A7790">
            <v>0</v>
          </cell>
          <cell r="B7790">
            <v>0</v>
          </cell>
        </row>
        <row r="7791">
          <cell r="A7791">
            <v>0</v>
          </cell>
          <cell r="B7791">
            <v>0</v>
          </cell>
        </row>
        <row r="7792">
          <cell r="A7792">
            <v>0</v>
          </cell>
          <cell r="B7792">
            <v>0</v>
          </cell>
        </row>
        <row r="7793">
          <cell r="A7793">
            <v>0</v>
          </cell>
          <cell r="B7793">
            <v>0</v>
          </cell>
        </row>
        <row r="7794">
          <cell r="A7794">
            <v>0</v>
          </cell>
          <cell r="B7794">
            <v>0</v>
          </cell>
        </row>
        <row r="7795">
          <cell r="A7795">
            <v>0</v>
          </cell>
          <cell r="B7795">
            <v>0</v>
          </cell>
        </row>
        <row r="7796">
          <cell r="A7796">
            <v>0</v>
          </cell>
          <cell r="B7796">
            <v>0</v>
          </cell>
        </row>
        <row r="7797">
          <cell r="A7797">
            <v>0</v>
          </cell>
          <cell r="B7797">
            <v>0</v>
          </cell>
        </row>
        <row r="7798">
          <cell r="A7798">
            <v>0</v>
          </cell>
          <cell r="B7798">
            <v>0</v>
          </cell>
        </row>
        <row r="7799">
          <cell r="A7799">
            <v>0</v>
          </cell>
          <cell r="B7799">
            <v>0</v>
          </cell>
        </row>
        <row r="7800">
          <cell r="A7800">
            <v>0</v>
          </cell>
          <cell r="B7800">
            <v>0</v>
          </cell>
        </row>
        <row r="7801">
          <cell r="A7801">
            <v>0</v>
          </cell>
          <cell r="B7801">
            <v>0</v>
          </cell>
        </row>
        <row r="7802">
          <cell r="A7802">
            <v>0</v>
          </cell>
          <cell r="B7802">
            <v>0</v>
          </cell>
        </row>
        <row r="7803">
          <cell r="A7803">
            <v>0</v>
          </cell>
          <cell r="B7803">
            <v>0</v>
          </cell>
        </row>
        <row r="7804">
          <cell r="A7804">
            <v>0</v>
          </cell>
          <cell r="B7804">
            <v>0</v>
          </cell>
        </row>
        <row r="7805">
          <cell r="A7805">
            <v>0</v>
          </cell>
          <cell r="B7805">
            <v>0</v>
          </cell>
        </row>
        <row r="7806">
          <cell r="A7806">
            <v>0</v>
          </cell>
          <cell r="B7806">
            <v>0</v>
          </cell>
        </row>
        <row r="7807">
          <cell r="A7807">
            <v>0</v>
          </cell>
          <cell r="B7807">
            <v>0</v>
          </cell>
        </row>
        <row r="7808">
          <cell r="A7808">
            <v>0</v>
          </cell>
          <cell r="B7808">
            <v>0</v>
          </cell>
        </row>
        <row r="7809">
          <cell r="A7809">
            <v>0</v>
          </cell>
          <cell r="B7809">
            <v>0</v>
          </cell>
        </row>
        <row r="7810">
          <cell r="A7810">
            <v>0</v>
          </cell>
          <cell r="B7810">
            <v>0</v>
          </cell>
        </row>
        <row r="7811">
          <cell r="A7811">
            <v>0</v>
          </cell>
          <cell r="B7811">
            <v>0</v>
          </cell>
        </row>
        <row r="7812">
          <cell r="A7812">
            <v>0</v>
          </cell>
          <cell r="B7812">
            <v>0</v>
          </cell>
        </row>
        <row r="7813">
          <cell r="A7813">
            <v>0</v>
          </cell>
          <cell r="B7813">
            <v>0</v>
          </cell>
        </row>
        <row r="7814">
          <cell r="A7814">
            <v>0</v>
          </cell>
          <cell r="B7814">
            <v>0</v>
          </cell>
        </row>
        <row r="7815">
          <cell r="A7815">
            <v>0</v>
          </cell>
          <cell r="B7815">
            <v>0</v>
          </cell>
        </row>
        <row r="7816">
          <cell r="A7816">
            <v>0</v>
          </cell>
          <cell r="B7816">
            <v>0</v>
          </cell>
        </row>
        <row r="7817">
          <cell r="A7817">
            <v>0</v>
          </cell>
          <cell r="B7817">
            <v>0</v>
          </cell>
        </row>
        <row r="7818">
          <cell r="A7818">
            <v>0</v>
          </cell>
          <cell r="B7818">
            <v>0</v>
          </cell>
        </row>
        <row r="7819">
          <cell r="A7819">
            <v>0</v>
          </cell>
          <cell r="B7819">
            <v>0</v>
          </cell>
        </row>
        <row r="7820">
          <cell r="A7820">
            <v>0</v>
          </cell>
          <cell r="B7820">
            <v>0</v>
          </cell>
        </row>
        <row r="7821">
          <cell r="A7821">
            <v>0</v>
          </cell>
          <cell r="B7821">
            <v>0</v>
          </cell>
        </row>
        <row r="7822">
          <cell r="A7822">
            <v>0</v>
          </cell>
          <cell r="B7822">
            <v>0</v>
          </cell>
        </row>
        <row r="7823">
          <cell r="A7823">
            <v>0</v>
          </cell>
          <cell r="B7823">
            <v>0</v>
          </cell>
        </row>
        <row r="7824">
          <cell r="A7824">
            <v>0</v>
          </cell>
          <cell r="B7824">
            <v>0</v>
          </cell>
        </row>
        <row r="7825">
          <cell r="A7825">
            <v>0</v>
          </cell>
          <cell r="B7825">
            <v>0</v>
          </cell>
        </row>
        <row r="7826">
          <cell r="A7826">
            <v>0</v>
          </cell>
          <cell r="B7826">
            <v>0</v>
          </cell>
        </row>
        <row r="7827">
          <cell r="A7827">
            <v>0</v>
          </cell>
          <cell r="B7827">
            <v>0</v>
          </cell>
        </row>
        <row r="7828">
          <cell r="A7828">
            <v>0</v>
          </cell>
          <cell r="B7828">
            <v>0</v>
          </cell>
        </row>
        <row r="7829">
          <cell r="A7829">
            <v>0</v>
          </cell>
          <cell r="B7829">
            <v>0</v>
          </cell>
        </row>
        <row r="7830">
          <cell r="A7830">
            <v>0</v>
          </cell>
          <cell r="B7830">
            <v>0</v>
          </cell>
        </row>
        <row r="7831">
          <cell r="A7831">
            <v>0</v>
          </cell>
          <cell r="B7831">
            <v>0</v>
          </cell>
        </row>
        <row r="7832">
          <cell r="A7832">
            <v>0</v>
          </cell>
          <cell r="B7832">
            <v>0</v>
          </cell>
        </row>
        <row r="7833">
          <cell r="A7833">
            <v>0</v>
          </cell>
          <cell r="B7833">
            <v>0</v>
          </cell>
        </row>
        <row r="7834">
          <cell r="A7834">
            <v>0</v>
          </cell>
          <cell r="B7834">
            <v>0</v>
          </cell>
        </row>
        <row r="7835">
          <cell r="A7835">
            <v>0</v>
          </cell>
          <cell r="B7835">
            <v>0</v>
          </cell>
        </row>
        <row r="7836">
          <cell r="A7836">
            <v>0</v>
          </cell>
          <cell r="B7836">
            <v>0</v>
          </cell>
        </row>
        <row r="7837">
          <cell r="A7837">
            <v>0</v>
          </cell>
          <cell r="B7837">
            <v>0</v>
          </cell>
        </row>
        <row r="7838">
          <cell r="A7838">
            <v>0</v>
          </cell>
          <cell r="B7838">
            <v>0</v>
          </cell>
        </row>
        <row r="7839">
          <cell r="A7839">
            <v>0</v>
          </cell>
          <cell r="B7839">
            <v>0</v>
          </cell>
        </row>
        <row r="7840">
          <cell r="A7840">
            <v>0</v>
          </cell>
          <cell r="B7840">
            <v>0</v>
          </cell>
        </row>
        <row r="7841">
          <cell r="A7841">
            <v>0</v>
          </cell>
          <cell r="B7841">
            <v>0</v>
          </cell>
        </row>
        <row r="7842">
          <cell r="A7842">
            <v>0</v>
          </cell>
          <cell r="B7842">
            <v>0</v>
          </cell>
        </row>
        <row r="7843">
          <cell r="A7843">
            <v>0</v>
          </cell>
          <cell r="B7843">
            <v>0</v>
          </cell>
        </row>
        <row r="7844">
          <cell r="A7844">
            <v>0</v>
          </cell>
          <cell r="B7844">
            <v>0</v>
          </cell>
        </row>
        <row r="7845">
          <cell r="A7845">
            <v>0</v>
          </cell>
          <cell r="B7845">
            <v>0</v>
          </cell>
        </row>
        <row r="7846">
          <cell r="A7846">
            <v>0</v>
          </cell>
          <cell r="B7846">
            <v>0</v>
          </cell>
        </row>
        <row r="7847">
          <cell r="A7847">
            <v>0</v>
          </cell>
          <cell r="B7847">
            <v>0</v>
          </cell>
        </row>
        <row r="7848">
          <cell r="A7848">
            <v>0</v>
          </cell>
          <cell r="B7848">
            <v>0</v>
          </cell>
        </row>
        <row r="7849">
          <cell r="A7849">
            <v>0</v>
          </cell>
          <cell r="B7849">
            <v>0</v>
          </cell>
        </row>
        <row r="7850">
          <cell r="A7850">
            <v>0</v>
          </cell>
          <cell r="B7850">
            <v>0</v>
          </cell>
        </row>
        <row r="7851">
          <cell r="A7851">
            <v>0</v>
          </cell>
          <cell r="B7851">
            <v>0</v>
          </cell>
        </row>
        <row r="7852">
          <cell r="A7852">
            <v>0</v>
          </cell>
          <cell r="B7852">
            <v>0</v>
          </cell>
        </row>
        <row r="7853">
          <cell r="A7853">
            <v>0</v>
          </cell>
          <cell r="B7853">
            <v>0</v>
          </cell>
        </row>
        <row r="7854">
          <cell r="A7854">
            <v>0</v>
          </cell>
          <cell r="B7854">
            <v>0</v>
          </cell>
        </row>
        <row r="7855">
          <cell r="A7855">
            <v>0</v>
          </cell>
          <cell r="B7855">
            <v>0</v>
          </cell>
        </row>
        <row r="7856">
          <cell r="A7856">
            <v>0</v>
          </cell>
          <cell r="B7856">
            <v>0</v>
          </cell>
        </row>
        <row r="7857">
          <cell r="A7857">
            <v>0</v>
          </cell>
          <cell r="B7857">
            <v>0</v>
          </cell>
        </row>
        <row r="7858">
          <cell r="A7858">
            <v>0</v>
          </cell>
          <cell r="B7858">
            <v>0</v>
          </cell>
        </row>
        <row r="7859">
          <cell r="A7859">
            <v>0</v>
          </cell>
          <cell r="B7859">
            <v>0</v>
          </cell>
        </row>
        <row r="7860">
          <cell r="A7860">
            <v>0</v>
          </cell>
          <cell r="B7860">
            <v>0</v>
          </cell>
        </row>
        <row r="7861">
          <cell r="A7861">
            <v>0</v>
          </cell>
          <cell r="B7861">
            <v>0</v>
          </cell>
        </row>
        <row r="7862">
          <cell r="A7862">
            <v>0</v>
          </cell>
          <cell r="B7862">
            <v>0</v>
          </cell>
        </row>
        <row r="7863">
          <cell r="A7863">
            <v>0</v>
          </cell>
          <cell r="B7863">
            <v>0</v>
          </cell>
        </row>
        <row r="7864">
          <cell r="A7864">
            <v>0</v>
          </cell>
          <cell r="B7864">
            <v>0</v>
          </cell>
        </row>
        <row r="7865">
          <cell r="A7865">
            <v>0</v>
          </cell>
          <cell r="B7865">
            <v>0</v>
          </cell>
        </row>
        <row r="7866">
          <cell r="A7866">
            <v>0</v>
          </cell>
          <cell r="B7866">
            <v>0</v>
          </cell>
        </row>
        <row r="7867">
          <cell r="A7867">
            <v>0</v>
          </cell>
          <cell r="B7867">
            <v>0</v>
          </cell>
        </row>
        <row r="7868">
          <cell r="A7868">
            <v>0</v>
          </cell>
          <cell r="B7868">
            <v>0</v>
          </cell>
        </row>
        <row r="7869">
          <cell r="A7869">
            <v>0</v>
          </cell>
          <cell r="B7869">
            <v>0</v>
          </cell>
        </row>
        <row r="7870">
          <cell r="A7870">
            <v>0</v>
          </cell>
          <cell r="B7870">
            <v>0</v>
          </cell>
        </row>
        <row r="7871">
          <cell r="A7871">
            <v>0</v>
          </cell>
          <cell r="B7871">
            <v>0</v>
          </cell>
        </row>
        <row r="7872">
          <cell r="A7872">
            <v>0</v>
          </cell>
          <cell r="B7872">
            <v>0</v>
          </cell>
        </row>
        <row r="7873">
          <cell r="A7873">
            <v>0</v>
          </cell>
          <cell r="B7873">
            <v>0</v>
          </cell>
        </row>
        <row r="7874">
          <cell r="A7874">
            <v>0</v>
          </cell>
          <cell r="B7874">
            <v>0</v>
          </cell>
        </row>
        <row r="7875">
          <cell r="A7875">
            <v>0</v>
          </cell>
          <cell r="B7875">
            <v>0</v>
          </cell>
        </row>
        <row r="7876">
          <cell r="A7876">
            <v>0</v>
          </cell>
          <cell r="B7876">
            <v>0</v>
          </cell>
        </row>
        <row r="7877">
          <cell r="A7877">
            <v>0</v>
          </cell>
          <cell r="B7877">
            <v>0</v>
          </cell>
        </row>
        <row r="7878">
          <cell r="A7878">
            <v>0</v>
          </cell>
          <cell r="B7878">
            <v>0</v>
          </cell>
        </row>
        <row r="7879">
          <cell r="A7879">
            <v>0</v>
          </cell>
          <cell r="B7879">
            <v>0</v>
          </cell>
        </row>
        <row r="7880">
          <cell r="A7880">
            <v>0</v>
          </cell>
          <cell r="B7880">
            <v>0</v>
          </cell>
        </row>
        <row r="7881">
          <cell r="A7881">
            <v>0</v>
          </cell>
          <cell r="B7881">
            <v>0</v>
          </cell>
        </row>
        <row r="7882">
          <cell r="A7882">
            <v>0</v>
          </cell>
          <cell r="B7882">
            <v>0</v>
          </cell>
        </row>
        <row r="7883">
          <cell r="A7883">
            <v>0</v>
          </cell>
          <cell r="B7883">
            <v>0</v>
          </cell>
        </row>
        <row r="7884">
          <cell r="A7884">
            <v>0</v>
          </cell>
          <cell r="B7884">
            <v>0</v>
          </cell>
        </row>
        <row r="7885">
          <cell r="A7885">
            <v>0</v>
          </cell>
          <cell r="B7885">
            <v>0</v>
          </cell>
        </row>
        <row r="7886">
          <cell r="A7886">
            <v>0</v>
          </cell>
          <cell r="B7886">
            <v>0</v>
          </cell>
        </row>
        <row r="7887">
          <cell r="A7887">
            <v>0</v>
          </cell>
          <cell r="B7887">
            <v>0</v>
          </cell>
        </row>
        <row r="7888">
          <cell r="A7888">
            <v>0</v>
          </cell>
          <cell r="B7888">
            <v>0</v>
          </cell>
        </row>
        <row r="7889">
          <cell r="A7889">
            <v>0</v>
          </cell>
          <cell r="B7889">
            <v>0</v>
          </cell>
        </row>
        <row r="7890">
          <cell r="A7890">
            <v>0</v>
          </cell>
          <cell r="B7890">
            <v>0</v>
          </cell>
        </row>
        <row r="7891">
          <cell r="A7891">
            <v>0</v>
          </cell>
          <cell r="B7891">
            <v>0</v>
          </cell>
        </row>
        <row r="7892">
          <cell r="A7892">
            <v>0</v>
          </cell>
          <cell r="B7892">
            <v>0</v>
          </cell>
        </row>
        <row r="7893">
          <cell r="A7893">
            <v>0</v>
          </cell>
          <cell r="B7893">
            <v>0</v>
          </cell>
        </row>
        <row r="7894">
          <cell r="A7894">
            <v>0</v>
          </cell>
          <cell r="B7894">
            <v>0</v>
          </cell>
        </row>
        <row r="7895">
          <cell r="A7895">
            <v>0</v>
          </cell>
          <cell r="B7895">
            <v>0</v>
          </cell>
        </row>
        <row r="7896">
          <cell r="A7896">
            <v>0</v>
          </cell>
          <cell r="B7896">
            <v>0</v>
          </cell>
        </row>
        <row r="7897">
          <cell r="A7897">
            <v>0</v>
          </cell>
          <cell r="B7897">
            <v>0</v>
          </cell>
        </row>
        <row r="7898">
          <cell r="A7898">
            <v>0</v>
          </cell>
          <cell r="B7898">
            <v>0</v>
          </cell>
        </row>
        <row r="7899">
          <cell r="A7899">
            <v>0</v>
          </cell>
          <cell r="B7899">
            <v>0</v>
          </cell>
        </row>
        <row r="7900">
          <cell r="A7900">
            <v>0</v>
          </cell>
          <cell r="B7900">
            <v>0</v>
          </cell>
        </row>
        <row r="7901">
          <cell r="A7901">
            <v>0</v>
          </cell>
          <cell r="B7901">
            <v>0</v>
          </cell>
        </row>
        <row r="7902">
          <cell r="A7902">
            <v>0</v>
          </cell>
          <cell r="B7902">
            <v>0</v>
          </cell>
        </row>
        <row r="7903">
          <cell r="A7903">
            <v>0</v>
          </cell>
          <cell r="B7903">
            <v>0</v>
          </cell>
        </row>
        <row r="7904">
          <cell r="A7904">
            <v>0</v>
          </cell>
          <cell r="B7904">
            <v>0</v>
          </cell>
        </row>
        <row r="7905">
          <cell r="A7905">
            <v>0</v>
          </cell>
          <cell r="B7905">
            <v>0</v>
          </cell>
        </row>
        <row r="7906">
          <cell r="A7906">
            <v>0</v>
          </cell>
          <cell r="B7906">
            <v>0</v>
          </cell>
        </row>
        <row r="7907">
          <cell r="A7907">
            <v>0</v>
          </cell>
          <cell r="B7907">
            <v>0</v>
          </cell>
        </row>
        <row r="7908">
          <cell r="A7908">
            <v>0</v>
          </cell>
          <cell r="B7908">
            <v>0</v>
          </cell>
        </row>
        <row r="7909">
          <cell r="A7909">
            <v>0</v>
          </cell>
          <cell r="B7909">
            <v>0</v>
          </cell>
        </row>
        <row r="7910">
          <cell r="A7910">
            <v>0</v>
          </cell>
          <cell r="B7910">
            <v>0</v>
          </cell>
        </row>
        <row r="7911">
          <cell r="A7911">
            <v>0</v>
          </cell>
          <cell r="B7911">
            <v>0</v>
          </cell>
        </row>
        <row r="7912">
          <cell r="A7912">
            <v>0</v>
          </cell>
          <cell r="B7912">
            <v>0</v>
          </cell>
        </row>
        <row r="7913">
          <cell r="A7913">
            <v>0</v>
          </cell>
          <cell r="B7913">
            <v>0</v>
          </cell>
        </row>
        <row r="7914">
          <cell r="A7914">
            <v>0</v>
          </cell>
          <cell r="B7914">
            <v>0</v>
          </cell>
        </row>
        <row r="7915">
          <cell r="A7915">
            <v>0</v>
          </cell>
          <cell r="B7915">
            <v>0</v>
          </cell>
        </row>
        <row r="7916">
          <cell r="A7916">
            <v>0</v>
          </cell>
          <cell r="B7916">
            <v>0</v>
          </cell>
        </row>
        <row r="7917">
          <cell r="A7917">
            <v>0</v>
          </cell>
          <cell r="B7917">
            <v>0</v>
          </cell>
        </row>
        <row r="7918">
          <cell r="A7918">
            <v>0</v>
          </cell>
          <cell r="B7918">
            <v>0</v>
          </cell>
        </row>
        <row r="7919">
          <cell r="A7919">
            <v>0</v>
          </cell>
          <cell r="B7919">
            <v>0</v>
          </cell>
        </row>
        <row r="7920">
          <cell r="A7920">
            <v>0</v>
          </cell>
          <cell r="B7920">
            <v>0</v>
          </cell>
        </row>
        <row r="7921">
          <cell r="A7921">
            <v>0</v>
          </cell>
          <cell r="B7921">
            <v>0</v>
          </cell>
        </row>
        <row r="7922">
          <cell r="A7922">
            <v>0</v>
          </cell>
          <cell r="B7922">
            <v>0</v>
          </cell>
        </row>
        <row r="7923">
          <cell r="A7923">
            <v>0</v>
          </cell>
          <cell r="B7923">
            <v>0</v>
          </cell>
        </row>
        <row r="7924">
          <cell r="A7924">
            <v>0</v>
          </cell>
          <cell r="B7924">
            <v>0</v>
          </cell>
        </row>
        <row r="7925">
          <cell r="A7925">
            <v>0</v>
          </cell>
          <cell r="B7925">
            <v>0</v>
          </cell>
        </row>
        <row r="7926">
          <cell r="A7926">
            <v>0</v>
          </cell>
          <cell r="B7926">
            <v>0</v>
          </cell>
        </row>
        <row r="7927">
          <cell r="A7927">
            <v>0</v>
          </cell>
          <cell r="B7927">
            <v>0</v>
          </cell>
        </row>
        <row r="7928">
          <cell r="A7928">
            <v>0</v>
          </cell>
          <cell r="B7928">
            <v>0</v>
          </cell>
        </row>
        <row r="7929">
          <cell r="A7929">
            <v>0</v>
          </cell>
          <cell r="B7929">
            <v>0</v>
          </cell>
        </row>
        <row r="7930">
          <cell r="A7930">
            <v>0</v>
          </cell>
          <cell r="B7930">
            <v>0</v>
          </cell>
        </row>
        <row r="7931">
          <cell r="A7931">
            <v>0</v>
          </cell>
          <cell r="B7931">
            <v>0</v>
          </cell>
        </row>
        <row r="7932">
          <cell r="A7932">
            <v>0</v>
          </cell>
          <cell r="B7932">
            <v>0</v>
          </cell>
        </row>
        <row r="7933">
          <cell r="A7933">
            <v>0</v>
          </cell>
          <cell r="B7933">
            <v>0</v>
          </cell>
        </row>
        <row r="7934">
          <cell r="A7934">
            <v>0</v>
          </cell>
          <cell r="B7934">
            <v>0</v>
          </cell>
        </row>
        <row r="7935">
          <cell r="A7935">
            <v>0</v>
          </cell>
          <cell r="B7935">
            <v>0</v>
          </cell>
        </row>
        <row r="7936">
          <cell r="A7936">
            <v>0</v>
          </cell>
          <cell r="B7936">
            <v>0</v>
          </cell>
        </row>
        <row r="7937">
          <cell r="A7937">
            <v>0</v>
          </cell>
          <cell r="B7937">
            <v>0</v>
          </cell>
        </row>
        <row r="7938">
          <cell r="A7938">
            <v>0</v>
          </cell>
          <cell r="B7938">
            <v>0</v>
          </cell>
        </row>
        <row r="7939">
          <cell r="A7939">
            <v>0</v>
          </cell>
          <cell r="B7939">
            <v>0</v>
          </cell>
        </row>
        <row r="7940">
          <cell r="A7940">
            <v>0</v>
          </cell>
          <cell r="B7940">
            <v>0</v>
          </cell>
        </row>
        <row r="7941">
          <cell r="A7941">
            <v>0</v>
          </cell>
          <cell r="B7941">
            <v>0</v>
          </cell>
        </row>
        <row r="7942">
          <cell r="A7942">
            <v>0</v>
          </cell>
          <cell r="B7942">
            <v>0</v>
          </cell>
        </row>
        <row r="7943">
          <cell r="A7943">
            <v>0</v>
          </cell>
          <cell r="B7943">
            <v>0</v>
          </cell>
        </row>
        <row r="7944">
          <cell r="A7944">
            <v>0</v>
          </cell>
          <cell r="B7944">
            <v>0</v>
          </cell>
        </row>
        <row r="7945">
          <cell r="A7945">
            <v>0</v>
          </cell>
          <cell r="B7945">
            <v>0</v>
          </cell>
        </row>
        <row r="7946">
          <cell r="A7946">
            <v>0</v>
          </cell>
          <cell r="B7946">
            <v>0</v>
          </cell>
        </row>
        <row r="7947">
          <cell r="A7947">
            <v>0</v>
          </cell>
          <cell r="B7947">
            <v>0</v>
          </cell>
        </row>
        <row r="7948">
          <cell r="A7948">
            <v>0</v>
          </cell>
          <cell r="B7948">
            <v>0</v>
          </cell>
        </row>
        <row r="7949">
          <cell r="A7949">
            <v>0</v>
          </cell>
          <cell r="B7949">
            <v>0</v>
          </cell>
        </row>
        <row r="7950">
          <cell r="A7950">
            <v>0</v>
          </cell>
          <cell r="B7950">
            <v>0</v>
          </cell>
        </row>
        <row r="7951">
          <cell r="A7951">
            <v>0</v>
          </cell>
          <cell r="B7951">
            <v>0</v>
          </cell>
        </row>
        <row r="7952">
          <cell r="A7952">
            <v>0</v>
          </cell>
          <cell r="B7952">
            <v>0</v>
          </cell>
        </row>
        <row r="7953">
          <cell r="A7953">
            <v>0</v>
          </cell>
          <cell r="B7953">
            <v>0</v>
          </cell>
        </row>
        <row r="7954">
          <cell r="A7954">
            <v>0</v>
          </cell>
          <cell r="B7954">
            <v>0</v>
          </cell>
        </row>
        <row r="7955">
          <cell r="A7955">
            <v>0</v>
          </cell>
          <cell r="B7955">
            <v>0</v>
          </cell>
        </row>
        <row r="7956">
          <cell r="A7956">
            <v>0</v>
          </cell>
          <cell r="B7956">
            <v>0</v>
          </cell>
        </row>
        <row r="7957">
          <cell r="A7957">
            <v>0</v>
          </cell>
          <cell r="B7957">
            <v>0</v>
          </cell>
        </row>
        <row r="7958">
          <cell r="A7958">
            <v>0</v>
          </cell>
          <cell r="B7958">
            <v>0</v>
          </cell>
        </row>
        <row r="7959">
          <cell r="A7959">
            <v>0</v>
          </cell>
          <cell r="B7959">
            <v>0</v>
          </cell>
        </row>
        <row r="7960">
          <cell r="A7960">
            <v>0</v>
          </cell>
          <cell r="B7960">
            <v>0</v>
          </cell>
        </row>
        <row r="7961">
          <cell r="A7961">
            <v>0</v>
          </cell>
          <cell r="B7961">
            <v>0</v>
          </cell>
        </row>
        <row r="7962">
          <cell r="A7962">
            <v>0</v>
          </cell>
          <cell r="B7962">
            <v>0</v>
          </cell>
        </row>
        <row r="7963">
          <cell r="A7963">
            <v>0</v>
          </cell>
          <cell r="B7963">
            <v>0</v>
          </cell>
        </row>
        <row r="7964">
          <cell r="A7964">
            <v>0</v>
          </cell>
          <cell r="B7964">
            <v>0</v>
          </cell>
        </row>
        <row r="7965">
          <cell r="A7965">
            <v>0</v>
          </cell>
          <cell r="B7965">
            <v>0</v>
          </cell>
        </row>
        <row r="7966">
          <cell r="A7966">
            <v>0</v>
          </cell>
          <cell r="B7966">
            <v>0</v>
          </cell>
        </row>
        <row r="7967">
          <cell r="A7967">
            <v>0</v>
          </cell>
          <cell r="B7967">
            <v>0</v>
          </cell>
        </row>
        <row r="7968">
          <cell r="A7968">
            <v>0</v>
          </cell>
          <cell r="B7968">
            <v>0</v>
          </cell>
        </row>
        <row r="7969">
          <cell r="A7969">
            <v>0</v>
          </cell>
          <cell r="B7969">
            <v>0</v>
          </cell>
        </row>
        <row r="7970">
          <cell r="A7970">
            <v>0</v>
          </cell>
          <cell r="B7970">
            <v>0</v>
          </cell>
        </row>
        <row r="7971">
          <cell r="A7971">
            <v>0</v>
          </cell>
          <cell r="B7971">
            <v>0</v>
          </cell>
        </row>
        <row r="7972">
          <cell r="A7972">
            <v>0</v>
          </cell>
          <cell r="B7972">
            <v>0</v>
          </cell>
        </row>
        <row r="7973">
          <cell r="A7973">
            <v>0</v>
          </cell>
          <cell r="B7973">
            <v>0</v>
          </cell>
        </row>
        <row r="7974">
          <cell r="A7974">
            <v>0</v>
          </cell>
          <cell r="B7974">
            <v>0</v>
          </cell>
        </row>
        <row r="7975">
          <cell r="A7975">
            <v>0</v>
          </cell>
          <cell r="B7975">
            <v>0</v>
          </cell>
        </row>
        <row r="7976">
          <cell r="A7976">
            <v>0</v>
          </cell>
          <cell r="B7976">
            <v>0</v>
          </cell>
        </row>
        <row r="7977">
          <cell r="A7977">
            <v>0</v>
          </cell>
          <cell r="B7977">
            <v>0</v>
          </cell>
        </row>
        <row r="7978">
          <cell r="A7978">
            <v>0</v>
          </cell>
          <cell r="B7978">
            <v>0</v>
          </cell>
        </row>
        <row r="7979">
          <cell r="A7979">
            <v>0</v>
          </cell>
          <cell r="B7979">
            <v>0</v>
          </cell>
        </row>
        <row r="7980">
          <cell r="A7980">
            <v>0</v>
          </cell>
          <cell r="B7980">
            <v>0</v>
          </cell>
        </row>
        <row r="7981">
          <cell r="A7981">
            <v>0</v>
          </cell>
          <cell r="B7981">
            <v>0</v>
          </cell>
        </row>
        <row r="7982">
          <cell r="A7982">
            <v>0</v>
          </cell>
          <cell r="B7982">
            <v>0</v>
          </cell>
        </row>
        <row r="7983">
          <cell r="A7983">
            <v>0</v>
          </cell>
          <cell r="B7983">
            <v>0</v>
          </cell>
        </row>
        <row r="7984">
          <cell r="A7984">
            <v>0</v>
          </cell>
          <cell r="B7984">
            <v>0</v>
          </cell>
        </row>
        <row r="7985">
          <cell r="A7985">
            <v>0</v>
          </cell>
          <cell r="B7985">
            <v>0</v>
          </cell>
        </row>
        <row r="7986">
          <cell r="A7986">
            <v>0</v>
          </cell>
          <cell r="B7986">
            <v>0</v>
          </cell>
        </row>
        <row r="7987">
          <cell r="A7987">
            <v>0</v>
          </cell>
          <cell r="B7987">
            <v>0</v>
          </cell>
        </row>
        <row r="7988">
          <cell r="A7988">
            <v>0</v>
          </cell>
          <cell r="B7988">
            <v>0</v>
          </cell>
        </row>
        <row r="7989">
          <cell r="A7989">
            <v>0</v>
          </cell>
          <cell r="B7989">
            <v>0</v>
          </cell>
        </row>
        <row r="7990">
          <cell r="A7990">
            <v>0</v>
          </cell>
          <cell r="B7990">
            <v>0</v>
          </cell>
        </row>
        <row r="7991">
          <cell r="A7991">
            <v>0</v>
          </cell>
          <cell r="B7991">
            <v>0</v>
          </cell>
        </row>
        <row r="7992">
          <cell r="A7992">
            <v>0</v>
          </cell>
          <cell r="B7992">
            <v>0</v>
          </cell>
        </row>
        <row r="7993">
          <cell r="A7993">
            <v>0</v>
          </cell>
          <cell r="B7993">
            <v>0</v>
          </cell>
        </row>
        <row r="7994">
          <cell r="A7994">
            <v>0</v>
          </cell>
          <cell r="B7994">
            <v>0</v>
          </cell>
        </row>
        <row r="7995">
          <cell r="A7995">
            <v>0</v>
          </cell>
          <cell r="B7995">
            <v>0</v>
          </cell>
        </row>
        <row r="7996">
          <cell r="A7996">
            <v>0</v>
          </cell>
          <cell r="B7996">
            <v>0</v>
          </cell>
        </row>
        <row r="7997">
          <cell r="A7997">
            <v>0</v>
          </cell>
          <cell r="B7997">
            <v>0</v>
          </cell>
        </row>
        <row r="7998">
          <cell r="A7998">
            <v>0</v>
          </cell>
          <cell r="B7998">
            <v>0</v>
          </cell>
        </row>
        <row r="7999">
          <cell r="A7999">
            <v>0</v>
          </cell>
          <cell r="B7999">
            <v>0</v>
          </cell>
        </row>
        <row r="8000">
          <cell r="A8000">
            <v>0</v>
          </cell>
          <cell r="B8000">
            <v>0</v>
          </cell>
        </row>
        <row r="8001">
          <cell r="A8001">
            <v>0</v>
          </cell>
          <cell r="B8001">
            <v>0</v>
          </cell>
        </row>
        <row r="8002">
          <cell r="A8002">
            <v>0</v>
          </cell>
          <cell r="B8002">
            <v>0</v>
          </cell>
        </row>
        <row r="8003">
          <cell r="A8003">
            <v>0</v>
          </cell>
          <cell r="B8003">
            <v>0</v>
          </cell>
        </row>
        <row r="8004">
          <cell r="A8004">
            <v>0</v>
          </cell>
          <cell r="B8004">
            <v>0</v>
          </cell>
        </row>
        <row r="8005">
          <cell r="A8005">
            <v>0</v>
          </cell>
          <cell r="B8005">
            <v>0</v>
          </cell>
        </row>
        <row r="8006">
          <cell r="A8006">
            <v>0</v>
          </cell>
          <cell r="B8006">
            <v>0</v>
          </cell>
        </row>
        <row r="8007">
          <cell r="A8007">
            <v>0</v>
          </cell>
          <cell r="B8007">
            <v>0</v>
          </cell>
        </row>
        <row r="8008">
          <cell r="A8008">
            <v>0</v>
          </cell>
          <cell r="B8008">
            <v>0</v>
          </cell>
        </row>
        <row r="8009">
          <cell r="A8009">
            <v>0</v>
          </cell>
          <cell r="B8009">
            <v>0</v>
          </cell>
        </row>
        <row r="8010">
          <cell r="A8010">
            <v>0</v>
          </cell>
          <cell r="B8010">
            <v>0</v>
          </cell>
        </row>
        <row r="8011">
          <cell r="A8011">
            <v>0</v>
          </cell>
          <cell r="B8011">
            <v>0</v>
          </cell>
        </row>
        <row r="8012">
          <cell r="A8012">
            <v>0</v>
          </cell>
          <cell r="B8012">
            <v>0</v>
          </cell>
        </row>
        <row r="8013">
          <cell r="A8013">
            <v>0</v>
          </cell>
          <cell r="B8013">
            <v>0</v>
          </cell>
        </row>
        <row r="8014">
          <cell r="A8014">
            <v>0</v>
          </cell>
          <cell r="B8014">
            <v>0</v>
          </cell>
        </row>
        <row r="8015">
          <cell r="A8015">
            <v>0</v>
          </cell>
          <cell r="B8015">
            <v>0</v>
          </cell>
        </row>
        <row r="8016">
          <cell r="A8016">
            <v>0</v>
          </cell>
          <cell r="B8016">
            <v>0</v>
          </cell>
        </row>
        <row r="8017">
          <cell r="A8017">
            <v>0</v>
          </cell>
          <cell r="B8017">
            <v>0</v>
          </cell>
        </row>
        <row r="8018">
          <cell r="A8018">
            <v>0</v>
          </cell>
          <cell r="B8018">
            <v>0</v>
          </cell>
        </row>
        <row r="8019">
          <cell r="A8019">
            <v>0</v>
          </cell>
          <cell r="B8019">
            <v>0</v>
          </cell>
        </row>
        <row r="8020">
          <cell r="A8020">
            <v>0</v>
          </cell>
          <cell r="B8020">
            <v>0</v>
          </cell>
        </row>
        <row r="8021">
          <cell r="A8021">
            <v>0</v>
          </cell>
          <cell r="B8021">
            <v>0</v>
          </cell>
        </row>
        <row r="8022">
          <cell r="A8022">
            <v>0</v>
          </cell>
          <cell r="B8022">
            <v>0</v>
          </cell>
        </row>
        <row r="8023">
          <cell r="A8023">
            <v>0</v>
          </cell>
          <cell r="B8023">
            <v>0</v>
          </cell>
        </row>
        <row r="8024">
          <cell r="A8024">
            <v>0</v>
          </cell>
          <cell r="B8024">
            <v>0</v>
          </cell>
        </row>
        <row r="8025">
          <cell r="A8025">
            <v>0</v>
          </cell>
          <cell r="B8025">
            <v>0</v>
          </cell>
        </row>
        <row r="8026">
          <cell r="A8026">
            <v>0</v>
          </cell>
          <cell r="B8026">
            <v>0</v>
          </cell>
        </row>
        <row r="8027">
          <cell r="A8027">
            <v>0</v>
          </cell>
          <cell r="B8027">
            <v>0</v>
          </cell>
        </row>
        <row r="8028">
          <cell r="A8028">
            <v>0</v>
          </cell>
          <cell r="B8028">
            <v>0</v>
          </cell>
        </row>
        <row r="8029">
          <cell r="A8029">
            <v>0</v>
          </cell>
          <cell r="B8029">
            <v>0</v>
          </cell>
        </row>
        <row r="8030">
          <cell r="A8030">
            <v>0</v>
          </cell>
          <cell r="B8030">
            <v>0</v>
          </cell>
        </row>
        <row r="8031">
          <cell r="A8031">
            <v>0</v>
          </cell>
          <cell r="B8031">
            <v>0</v>
          </cell>
        </row>
        <row r="8032">
          <cell r="A8032">
            <v>0</v>
          </cell>
          <cell r="B8032">
            <v>0</v>
          </cell>
        </row>
        <row r="8033">
          <cell r="A8033">
            <v>0</v>
          </cell>
          <cell r="B8033">
            <v>0</v>
          </cell>
        </row>
        <row r="8034">
          <cell r="A8034">
            <v>0</v>
          </cell>
          <cell r="B8034">
            <v>0</v>
          </cell>
        </row>
        <row r="8035">
          <cell r="A8035">
            <v>0</v>
          </cell>
          <cell r="B8035">
            <v>0</v>
          </cell>
        </row>
        <row r="8036">
          <cell r="A8036">
            <v>0</v>
          </cell>
          <cell r="B8036">
            <v>0</v>
          </cell>
        </row>
        <row r="8037">
          <cell r="A8037">
            <v>0</v>
          </cell>
          <cell r="B8037">
            <v>0</v>
          </cell>
        </row>
        <row r="8038">
          <cell r="A8038">
            <v>0</v>
          </cell>
          <cell r="B8038">
            <v>0</v>
          </cell>
        </row>
        <row r="8039">
          <cell r="A8039">
            <v>0</v>
          </cell>
          <cell r="B8039">
            <v>0</v>
          </cell>
        </row>
        <row r="8040">
          <cell r="A8040">
            <v>0</v>
          </cell>
          <cell r="B8040">
            <v>0</v>
          </cell>
        </row>
        <row r="8041">
          <cell r="A8041">
            <v>0</v>
          </cell>
          <cell r="B8041">
            <v>0</v>
          </cell>
        </row>
        <row r="8042">
          <cell r="A8042">
            <v>0</v>
          </cell>
          <cell r="B8042">
            <v>0</v>
          </cell>
        </row>
        <row r="8043">
          <cell r="A8043">
            <v>0</v>
          </cell>
          <cell r="B8043">
            <v>0</v>
          </cell>
        </row>
        <row r="8044">
          <cell r="A8044">
            <v>0</v>
          </cell>
          <cell r="B8044">
            <v>0</v>
          </cell>
        </row>
        <row r="8045">
          <cell r="A8045">
            <v>0</v>
          </cell>
          <cell r="B8045">
            <v>0</v>
          </cell>
        </row>
        <row r="8046">
          <cell r="A8046">
            <v>0</v>
          </cell>
          <cell r="B8046">
            <v>0</v>
          </cell>
        </row>
        <row r="8047">
          <cell r="A8047">
            <v>0</v>
          </cell>
          <cell r="B8047">
            <v>0</v>
          </cell>
        </row>
        <row r="8048">
          <cell r="A8048">
            <v>0</v>
          </cell>
          <cell r="B8048">
            <v>0</v>
          </cell>
        </row>
        <row r="8049">
          <cell r="A8049">
            <v>0</v>
          </cell>
          <cell r="B8049">
            <v>0</v>
          </cell>
        </row>
        <row r="8050">
          <cell r="A8050">
            <v>0</v>
          </cell>
          <cell r="B8050">
            <v>0</v>
          </cell>
        </row>
        <row r="8051">
          <cell r="A8051">
            <v>0</v>
          </cell>
          <cell r="B8051">
            <v>0</v>
          </cell>
        </row>
        <row r="8052">
          <cell r="A8052">
            <v>0</v>
          </cell>
          <cell r="B8052">
            <v>0</v>
          </cell>
        </row>
        <row r="8053">
          <cell r="A8053">
            <v>0</v>
          </cell>
          <cell r="B8053">
            <v>0</v>
          </cell>
        </row>
        <row r="8054">
          <cell r="A8054">
            <v>0</v>
          </cell>
          <cell r="B8054">
            <v>0</v>
          </cell>
        </row>
        <row r="8055">
          <cell r="A8055">
            <v>0</v>
          </cell>
          <cell r="B8055">
            <v>0</v>
          </cell>
        </row>
        <row r="8056">
          <cell r="A8056">
            <v>0</v>
          </cell>
          <cell r="B8056">
            <v>0</v>
          </cell>
        </row>
        <row r="8057">
          <cell r="A8057">
            <v>0</v>
          </cell>
          <cell r="B8057">
            <v>0</v>
          </cell>
        </row>
        <row r="8058">
          <cell r="A8058">
            <v>0</v>
          </cell>
          <cell r="B8058">
            <v>0</v>
          </cell>
        </row>
        <row r="8059">
          <cell r="A8059">
            <v>0</v>
          </cell>
          <cell r="B8059">
            <v>0</v>
          </cell>
        </row>
        <row r="8060">
          <cell r="A8060">
            <v>0</v>
          </cell>
          <cell r="B8060">
            <v>0</v>
          </cell>
        </row>
        <row r="8061">
          <cell r="A8061">
            <v>0</v>
          </cell>
          <cell r="B8061">
            <v>0</v>
          </cell>
        </row>
        <row r="8062">
          <cell r="A8062">
            <v>0</v>
          </cell>
          <cell r="B8062">
            <v>0</v>
          </cell>
        </row>
        <row r="8063">
          <cell r="A8063">
            <v>0</v>
          </cell>
          <cell r="B8063">
            <v>0</v>
          </cell>
        </row>
        <row r="8064">
          <cell r="A8064">
            <v>0</v>
          </cell>
          <cell r="B8064">
            <v>0</v>
          </cell>
        </row>
        <row r="8065">
          <cell r="A8065">
            <v>0</v>
          </cell>
          <cell r="B8065">
            <v>0</v>
          </cell>
        </row>
        <row r="8066">
          <cell r="A8066">
            <v>0</v>
          </cell>
          <cell r="B8066">
            <v>0</v>
          </cell>
        </row>
        <row r="8067">
          <cell r="A8067">
            <v>0</v>
          </cell>
          <cell r="B8067">
            <v>0</v>
          </cell>
        </row>
        <row r="8068">
          <cell r="A8068">
            <v>0</v>
          </cell>
          <cell r="B8068">
            <v>0</v>
          </cell>
        </row>
        <row r="8069">
          <cell r="A8069">
            <v>0</v>
          </cell>
          <cell r="B8069">
            <v>0</v>
          </cell>
        </row>
        <row r="8070">
          <cell r="A8070">
            <v>0</v>
          </cell>
          <cell r="B8070">
            <v>0</v>
          </cell>
        </row>
        <row r="8071">
          <cell r="A8071">
            <v>0</v>
          </cell>
          <cell r="B8071">
            <v>0</v>
          </cell>
        </row>
        <row r="8072">
          <cell r="A8072">
            <v>0</v>
          </cell>
          <cell r="B8072">
            <v>0</v>
          </cell>
        </row>
        <row r="8073">
          <cell r="A8073">
            <v>0</v>
          </cell>
          <cell r="B8073">
            <v>0</v>
          </cell>
        </row>
        <row r="8074">
          <cell r="A8074">
            <v>0</v>
          </cell>
          <cell r="B8074">
            <v>0</v>
          </cell>
        </row>
        <row r="8075">
          <cell r="A8075">
            <v>0</v>
          </cell>
          <cell r="B8075">
            <v>0</v>
          </cell>
        </row>
        <row r="8076">
          <cell r="A8076">
            <v>0</v>
          </cell>
          <cell r="B8076">
            <v>0</v>
          </cell>
        </row>
        <row r="8077">
          <cell r="A8077">
            <v>0</v>
          </cell>
          <cell r="B8077">
            <v>0</v>
          </cell>
        </row>
        <row r="8078">
          <cell r="A8078">
            <v>0</v>
          </cell>
          <cell r="B8078">
            <v>0</v>
          </cell>
        </row>
        <row r="8079">
          <cell r="A8079">
            <v>0</v>
          </cell>
          <cell r="B8079">
            <v>0</v>
          </cell>
        </row>
        <row r="8080">
          <cell r="A8080">
            <v>0</v>
          </cell>
          <cell r="B8080">
            <v>0</v>
          </cell>
        </row>
        <row r="8081">
          <cell r="A8081">
            <v>0</v>
          </cell>
          <cell r="B8081">
            <v>0</v>
          </cell>
        </row>
        <row r="8082">
          <cell r="A8082">
            <v>0</v>
          </cell>
          <cell r="B8082">
            <v>0</v>
          </cell>
        </row>
        <row r="8083">
          <cell r="A8083">
            <v>0</v>
          </cell>
          <cell r="B8083">
            <v>0</v>
          </cell>
        </row>
        <row r="8084">
          <cell r="A8084">
            <v>0</v>
          </cell>
          <cell r="B8084">
            <v>0</v>
          </cell>
        </row>
        <row r="8085">
          <cell r="A8085">
            <v>0</v>
          </cell>
          <cell r="B8085">
            <v>0</v>
          </cell>
        </row>
        <row r="8086">
          <cell r="A8086">
            <v>0</v>
          </cell>
          <cell r="B8086">
            <v>0</v>
          </cell>
        </row>
        <row r="8087">
          <cell r="A8087">
            <v>0</v>
          </cell>
          <cell r="B8087">
            <v>0</v>
          </cell>
        </row>
        <row r="8088">
          <cell r="A8088">
            <v>0</v>
          </cell>
          <cell r="B8088">
            <v>0</v>
          </cell>
        </row>
        <row r="8089">
          <cell r="A8089">
            <v>0</v>
          </cell>
          <cell r="B8089">
            <v>0</v>
          </cell>
        </row>
        <row r="8090">
          <cell r="A8090">
            <v>0</v>
          </cell>
          <cell r="B8090">
            <v>0</v>
          </cell>
        </row>
        <row r="8091">
          <cell r="A8091">
            <v>0</v>
          </cell>
          <cell r="B8091">
            <v>0</v>
          </cell>
        </row>
        <row r="8092">
          <cell r="A8092">
            <v>0</v>
          </cell>
          <cell r="B8092">
            <v>0</v>
          </cell>
        </row>
        <row r="8093">
          <cell r="A8093">
            <v>0</v>
          </cell>
          <cell r="B8093">
            <v>0</v>
          </cell>
        </row>
        <row r="8094">
          <cell r="A8094">
            <v>0</v>
          </cell>
          <cell r="B8094">
            <v>0</v>
          </cell>
        </row>
        <row r="8095">
          <cell r="A8095">
            <v>0</v>
          </cell>
          <cell r="B8095">
            <v>0</v>
          </cell>
        </row>
        <row r="8096">
          <cell r="A8096">
            <v>0</v>
          </cell>
          <cell r="B8096">
            <v>0</v>
          </cell>
        </row>
        <row r="8097">
          <cell r="A8097">
            <v>0</v>
          </cell>
          <cell r="B8097">
            <v>0</v>
          </cell>
        </row>
        <row r="8098">
          <cell r="A8098">
            <v>0</v>
          </cell>
          <cell r="B8098">
            <v>0</v>
          </cell>
        </row>
        <row r="8099">
          <cell r="A8099">
            <v>0</v>
          </cell>
          <cell r="B8099">
            <v>0</v>
          </cell>
        </row>
        <row r="8100">
          <cell r="A8100">
            <v>0</v>
          </cell>
          <cell r="B8100">
            <v>0</v>
          </cell>
        </row>
        <row r="8101">
          <cell r="A8101">
            <v>0</v>
          </cell>
          <cell r="B8101">
            <v>0</v>
          </cell>
        </row>
        <row r="8102">
          <cell r="A8102">
            <v>0</v>
          </cell>
          <cell r="B8102">
            <v>0</v>
          </cell>
        </row>
        <row r="8103">
          <cell r="A8103">
            <v>0</v>
          </cell>
          <cell r="B8103">
            <v>0</v>
          </cell>
        </row>
        <row r="8104">
          <cell r="A8104">
            <v>0</v>
          </cell>
          <cell r="B8104">
            <v>0</v>
          </cell>
        </row>
        <row r="8105">
          <cell r="A8105">
            <v>0</v>
          </cell>
          <cell r="B8105">
            <v>0</v>
          </cell>
        </row>
        <row r="8106">
          <cell r="A8106">
            <v>0</v>
          </cell>
          <cell r="B8106">
            <v>0</v>
          </cell>
        </row>
        <row r="8107">
          <cell r="A8107">
            <v>0</v>
          </cell>
          <cell r="B8107">
            <v>0</v>
          </cell>
        </row>
        <row r="8108">
          <cell r="A8108">
            <v>0</v>
          </cell>
          <cell r="B8108">
            <v>0</v>
          </cell>
        </row>
        <row r="8109">
          <cell r="A8109">
            <v>0</v>
          </cell>
          <cell r="B8109">
            <v>0</v>
          </cell>
        </row>
        <row r="8110">
          <cell r="A8110">
            <v>0</v>
          </cell>
          <cell r="B8110">
            <v>0</v>
          </cell>
        </row>
        <row r="8111">
          <cell r="A8111">
            <v>0</v>
          </cell>
          <cell r="B8111">
            <v>0</v>
          </cell>
        </row>
        <row r="8112">
          <cell r="A8112">
            <v>0</v>
          </cell>
          <cell r="B8112">
            <v>0</v>
          </cell>
        </row>
        <row r="8113">
          <cell r="A8113">
            <v>0</v>
          </cell>
          <cell r="B8113">
            <v>0</v>
          </cell>
        </row>
        <row r="8114">
          <cell r="A8114">
            <v>0</v>
          </cell>
          <cell r="B8114">
            <v>0</v>
          </cell>
        </row>
        <row r="8115">
          <cell r="A8115">
            <v>0</v>
          </cell>
          <cell r="B8115">
            <v>0</v>
          </cell>
        </row>
        <row r="8116">
          <cell r="A8116">
            <v>0</v>
          </cell>
          <cell r="B8116">
            <v>0</v>
          </cell>
        </row>
        <row r="8117">
          <cell r="A8117">
            <v>0</v>
          </cell>
          <cell r="B8117">
            <v>0</v>
          </cell>
        </row>
        <row r="8118">
          <cell r="A8118">
            <v>0</v>
          </cell>
          <cell r="B8118">
            <v>0</v>
          </cell>
        </row>
        <row r="8119">
          <cell r="A8119">
            <v>0</v>
          </cell>
          <cell r="B8119">
            <v>0</v>
          </cell>
        </row>
        <row r="8120">
          <cell r="A8120">
            <v>0</v>
          </cell>
          <cell r="B8120">
            <v>0</v>
          </cell>
        </row>
        <row r="8121">
          <cell r="A8121">
            <v>0</v>
          </cell>
          <cell r="B8121">
            <v>0</v>
          </cell>
        </row>
        <row r="8122">
          <cell r="A8122">
            <v>0</v>
          </cell>
          <cell r="B8122">
            <v>0</v>
          </cell>
        </row>
        <row r="8123">
          <cell r="A8123">
            <v>0</v>
          </cell>
          <cell r="B8123">
            <v>0</v>
          </cell>
        </row>
        <row r="8124">
          <cell r="A8124">
            <v>0</v>
          </cell>
          <cell r="B8124">
            <v>0</v>
          </cell>
        </row>
        <row r="8125">
          <cell r="A8125">
            <v>0</v>
          </cell>
          <cell r="B8125">
            <v>0</v>
          </cell>
        </row>
        <row r="8126">
          <cell r="A8126">
            <v>0</v>
          </cell>
          <cell r="B8126">
            <v>0</v>
          </cell>
        </row>
        <row r="8127">
          <cell r="A8127">
            <v>0</v>
          </cell>
          <cell r="B8127">
            <v>0</v>
          </cell>
        </row>
        <row r="8128">
          <cell r="A8128">
            <v>0</v>
          </cell>
          <cell r="B8128">
            <v>0</v>
          </cell>
        </row>
        <row r="8129">
          <cell r="A8129">
            <v>0</v>
          </cell>
          <cell r="B8129">
            <v>0</v>
          </cell>
        </row>
        <row r="8130">
          <cell r="A8130">
            <v>0</v>
          </cell>
          <cell r="B8130">
            <v>0</v>
          </cell>
        </row>
        <row r="8131">
          <cell r="A8131">
            <v>0</v>
          </cell>
          <cell r="B8131">
            <v>0</v>
          </cell>
        </row>
        <row r="8132">
          <cell r="A8132">
            <v>0</v>
          </cell>
          <cell r="B8132">
            <v>0</v>
          </cell>
        </row>
        <row r="8133">
          <cell r="A8133">
            <v>0</v>
          </cell>
          <cell r="B8133">
            <v>0</v>
          </cell>
        </row>
        <row r="8134">
          <cell r="A8134">
            <v>0</v>
          </cell>
          <cell r="B8134">
            <v>0</v>
          </cell>
        </row>
        <row r="8135">
          <cell r="A8135">
            <v>0</v>
          </cell>
          <cell r="B8135">
            <v>0</v>
          </cell>
        </row>
        <row r="8136">
          <cell r="A8136">
            <v>0</v>
          </cell>
          <cell r="B8136">
            <v>0</v>
          </cell>
        </row>
        <row r="8137">
          <cell r="A8137">
            <v>0</v>
          </cell>
          <cell r="B8137">
            <v>0</v>
          </cell>
        </row>
        <row r="8138">
          <cell r="A8138">
            <v>0</v>
          </cell>
          <cell r="B8138">
            <v>0</v>
          </cell>
        </row>
        <row r="8139">
          <cell r="A8139">
            <v>0</v>
          </cell>
          <cell r="B8139">
            <v>0</v>
          </cell>
        </row>
        <row r="8140">
          <cell r="A8140">
            <v>0</v>
          </cell>
          <cell r="B8140">
            <v>0</v>
          </cell>
        </row>
        <row r="8141">
          <cell r="A8141">
            <v>0</v>
          </cell>
          <cell r="B8141">
            <v>0</v>
          </cell>
        </row>
        <row r="8142">
          <cell r="A8142">
            <v>0</v>
          </cell>
          <cell r="B8142">
            <v>0</v>
          </cell>
        </row>
        <row r="8143">
          <cell r="A8143">
            <v>0</v>
          </cell>
          <cell r="B8143">
            <v>0</v>
          </cell>
        </row>
        <row r="8144">
          <cell r="A8144">
            <v>0</v>
          </cell>
          <cell r="B8144">
            <v>0</v>
          </cell>
        </row>
        <row r="8145">
          <cell r="A8145">
            <v>0</v>
          </cell>
          <cell r="B8145">
            <v>0</v>
          </cell>
        </row>
        <row r="8146">
          <cell r="A8146">
            <v>0</v>
          </cell>
          <cell r="B8146">
            <v>0</v>
          </cell>
        </row>
        <row r="8147">
          <cell r="A8147">
            <v>0</v>
          </cell>
          <cell r="B8147">
            <v>0</v>
          </cell>
        </row>
        <row r="8148">
          <cell r="A8148">
            <v>0</v>
          </cell>
          <cell r="B8148">
            <v>0</v>
          </cell>
        </row>
        <row r="8149">
          <cell r="A8149">
            <v>0</v>
          </cell>
          <cell r="B8149">
            <v>0</v>
          </cell>
        </row>
        <row r="8150">
          <cell r="A8150">
            <v>0</v>
          </cell>
          <cell r="B8150">
            <v>0</v>
          </cell>
        </row>
        <row r="8151">
          <cell r="A8151">
            <v>0</v>
          </cell>
          <cell r="B8151">
            <v>0</v>
          </cell>
        </row>
        <row r="8152">
          <cell r="A8152">
            <v>0</v>
          </cell>
          <cell r="B8152">
            <v>0</v>
          </cell>
        </row>
        <row r="8153">
          <cell r="A8153">
            <v>0</v>
          </cell>
          <cell r="B8153">
            <v>0</v>
          </cell>
        </row>
        <row r="8154">
          <cell r="A8154">
            <v>0</v>
          </cell>
          <cell r="B8154">
            <v>0</v>
          </cell>
        </row>
        <row r="8155">
          <cell r="A8155">
            <v>0</v>
          </cell>
          <cell r="B8155">
            <v>0</v>
          </cell>
        </row>
        <row r="8156">
          <cell r="A8156">
            <v>0</v>
          </cell>
          <cell r="B8156">
            <v>0</v>
          </cell>
        </row>
        <row r="8157">
          <cell r="A8157">
            <v>0</v>
          </cell>
          <cell r="B8157">
            <v>0</v>
          </cell>
        </row>
        <row r="8158">
          <cell r="A8158">
            <v>0</v>
          </cell>
          <cell r="B8158">
            <v>0</v>
          </cell>
        </row>
        <row r="8159">
          <cell r="A8159">
            <v>0</v>
          </cell>
          <cell r="B8159">
            <v>0</v>
          </cell>
        </row>
        <row r="8160">
          <cell r="A8160">
            <v>0</v>
          </cell>
          <cell r="B8160">
            <v>0</v>
          </cell>
        </row>
        <row r="8161">
          <cell r="A8161">
            <v>0</v>
          </cell>
          <cell r="B8161">
            <v>0</v>
          </cell>
        </row>
        <row r="8162">
          <cell r="A8162">
            <v>0</v>
          </cell>
          <cell r="B8162">
            <v>0</v>
          </cell>
        </row>
        <row r="8163">
          <cell r="A8163">
            <v>0</v>
          </cell>
          <cell r="B8163">
            <v>0</v>
          </cell>
        </row>
        <row r="8164">
          <cell r="A8164">
            <v>0</v>
          </cell>
          <cell r="B8164">
            <v>0</v>
          </cell>
        </row>
        <row r="8165">
          <cell r="A8165">
            <v>0</v>
          </cell>
          <cell r="B8165">
            <v>0</v>
          </cell>
        </row>
        <row r="8166">
          <cell r="A8166">
            <v>0</v>
          </cell>
          <cell r="B8166">
            <v>0</v>
          </cell>
        </row>
        <row r="8167">
          <cell r="A8167">
            <v>0</v>
          </cell>
          <cell r="B8167">
            <v>0</v>
          </cell>
        </row>
        <row r="8168">
          <cell r="A8168">
            <v>0</v>
          </cell>
          <cell r="B8168">
            <v>0</v>
          </cell>
        </row>
        <row r="8169">
          <cell r="A8169">
            <v>0</v>
          </cell>
          <cell r="B8169">
            <v>0</v>
          </cell>
        </row>
        <row r="8170">
          <cell r="A8170">
            <v>0</v>
          </cell>
          <cell r="B8170">
            <v>0</v>
          </cell>
        </row>
        <row r="8171">
          <cell r="A8171">
            <v>0</v>
          </cell>
          <cell r="B8171">
            <v>0</v>
          </cell>
        </row>
        <row r="8172">
          <cell r="A8172">
            <v>0</v>
          </cell>
          <cell r="B8172">
            <v>0</v>
          </cell>
        </row>
        <row r="8173">
          <cell r="A8173">
            <v>0</v>
          </cell>
          <cell r="B8173">
            <v>0</v>
          </cell>
        </row>
        <row r="8174">
          <cell r="A8174">
            <v>0</v>
          </cell>
          <cell r="B8174">
            <v>0</v>
          </cell>
        </row>
        <row r="8175">
          <cell r="A8175">
            <v>0</v>
          </cell>
          <cell r="B8175">
            <v>0</v>
          </cell>
        </row>
        <row r="8176">
          <cell r="A8176">
            <v>0</v>
          </cell>
          <cell r="B8176">
            <v>0</v>
          </cell>
        </row>
        <row r="8177">
          <cell r="A8177">
            <v>0</v>
          </cell>
          <cell r="B8177">
            <v>0</v>
          </cell>
        </row>
        <row r="8178">
          <cell r="A8178">
            <v>0</v>
          </cell>
          <cell r="B8178">
            <v>0</v>
          </cell>
        </row>
        <row r="8179">
          <cell r="A8179">
            <v>0</v>
          </cell>
          <cell r="B8179">
            <v>0</v>
          </cell>
        </row>
        <row r="8180">
          <cell r="A8180">
            <v>0</v>
          </cell>
          <cell r="B8180">
            <v>0</v>
          </cell>
        </row>
        <row r="8181">
          <cell r="A8181">
            <v>0</v>
          </cell>
          <cell r="B8181">
            <v>0</v>
          </cell>
        </row>
        <row r="8182">
          <cell r="A8182">
            <v>0</v>
          </cell>
          <cell r="B8182">
            <v>0</v>
          </cell>
        </row>
        <row r="8183">
          <cell r="A8183">
            <v>0</v>
          </cell>
          <cell r="B8183">
            <v>0</v>
          </cell>
        </row>
        <row r="8184">
          <cell r="A8184">
            <v>0</v>
          </cell>
          <cell r="B8184">
            <v>0</v>
          </cell>
        </row>
        <row r="8185">
          <cell r="A8185">
            <v>0</v>
          </cell>
          <cell r="B8185">
            <v>0</v>
          </cell>
        </row>
        <row r="8186">
          <cell r="A8186">
            <v>0</v>
          </cell>
          <cell r="B8186">
            <v>0</v>
          </cell>
        </row>
        <row r="8187">
          <cell r="A8187">
            <v>0</v>
          </cell>
          <cell r="B8187">
            <v>0</v>
          </cell>
        </row>
        <row r="8188">
          <cell r="A8188">
            <v>0</v>
          </cell>
          <cell r="B8188">
            <v>0</v>
          </cell>
        </row>
        <row r="8189">
          <cell r="A8189">
            <v>0</v>
          </cell>
          <cell r="B8189">
            <v>0</v>
          </cell>
        </row>
        <row r="8190">
          <cell r="A8190">
            <v>0</v>
          </cell>
          <cell r="B8190">
            <v>0</v>
          </cell>
        </row>
        <row r="8191">
          <cell r="A8191">
            <v>0</v>
          </cell>
          <cell r="B8191">
            <v>0</v>
          </cell>
        </row>
        <row r="8192">
          <cell r="A8192">
            <v>0</v>
          </cell>
          <cell r="B8192">
            <v>0</v>
          </cell>
        </row>
        <row r="8193">
          <cell r="A8193">
            <v>0</v>
          </cell>
          <cell r="B8193">
            <v>0</v>
          </cell>
        </row>
        <row r="8194">
          <cell r="A8194">
            <v>0</v>
          </cell>
          <cell r="B8194">
            <v>0</v>
          </cell>
        </row>
        <row r="8195">
          <cell r="A8195">
            <v>0</v>
          </cell>
          <cell r="B8195">
            <v>0</v>
          </cell>
        </row>
        <row r="8196">
          <cell r="A8196">
            <v>0</v>
          </cell>
          <cell r="B8196">
            <v>0</v>
          </cell>
        </row>
        <row r="8197">
          <cell r="A8197">
            <v>0</v>
          </cell>
          <cell r="B8197">
            <v>0</v>
          </cell>
        </row>
        <row r="8198">
          <cell r="A8198">
            <v>0</v>
          </cell>
          <cell r="B8198">
            <v>0</v>
          </cell>
        </row>
        <row r="8199">
          <cell r="A8199">
            <v>0</v>
          </cell>
          <cell r="B8199">
            <v>0</v>
          </cell>
        </row>
        <row r="8200">
          <cell r="A8200">
            <v>0</v>
          </cell>
          <cell r="B8200">
            <v>0</v>
          </cell>
        </row>
        <row r="8201">
          <cell r="A8201">
            <v>0</v>
          </cell>
          <cell r="B8201">
            <v>0</v>
          </cell>
        </row>
        <row r="8202">
          <cell r="A8202">
            <v>0</v>
          </cell>
          <cell r="B8202">
            <v>0</v>
          </cell>
        </row>
        <row r="8203">
          <cell r="A8203">
            <v>0</v>
          </cell>
          <cell r="B8203">
            <v>0</v>
          </cell>
        </row>
        <row r="8204">
          <cell r="A8204">
            <v>0</v>
          </cell>
          <cell r="B8204">
            <v>0</v>
          </cell>
        </row>
        <row r="8205">
          <cell r="A8205">
            <v>0</v>
          </cell>
          <cell r="B8205">
            <v>0</v>
          </cell>
        </row>
        <row r="8206">
          <cell r="A8206">
            <v>0</v>
          </cell>
          <cell r="B8206">
            <v>0</v>
          </cell>
        </row>
        <row r="8207">
          <cell r="A8207">
            <v>0</v>
          </cell>
          <cell r="B8207">
            <v>0</v>
          </cell>
        </row>
        <row r="8208">
          <cell r="A8208">
            <v>0</v>
          </cell>
          <cell r="B8208">
            <v>0</v>
          </cell>
        </row>
        <row r="8209">
          <cell r="A8209">
            <v>0</v>
          </cell>
          <cell r="B8209">
            <v>0</v>
          </cell>
        </row>
        <row r="8210">
          <cell r="A8210">
            <v>0</v>
          </cell>
          <cell r="B8210">
            <v>0</v>
          </cell>
        </row>
        <row r="8211">
          <cell r="A8211">
            <v>0</v>
          </cell>
          <cell r="B8211">
            <v>0</v>
          </cell>
        </row>
        <row r="8212">
          <cell r="A8212">
            <v>0</v>
          </cell>
          <cell r="B8212">
            <v>0</v>
          </cell>
        </row>
        <row r="8213">
          <cell r="A8213">
            <v>0</v>
          </cell>
          <cell r="B8213">
            <v>0</v>
          </cell>
        </row>
        <row r="8214">
          <cell r="A8214">
            <v>0</v>
          </cell>
          <cell r="B8214">
            <v>0</v>
          </cell>
        </row>
        <row r="8215">
          <cell r="A8215">
            <v>0</v>
          </cell>
          <cell r="B8215">
            <v>0</v>
          </cell>
        </row>
        <row r="8216">
          <cell r="A8216">
            <v>0</v>
          </cell>
          <cell r="B8216">
            <v>0</v>
          </cell>
        </row>
        <row r="8217">
          <cell r="A8217">
            <v>0</v>
          </cell>
          <cell r="B8217">
            <v>0</v>
          </cell>
        </row>
        <row r="8218">
          <cell r="A8218">
            <v>0</v>
          </cell>
          <cell r="B8218">
            <v>0</v>
          </cell>
        </row>
        <row r="8219">
          <cell r="A8219">
            <v>0</v>
          </cell>
          <cell r="B8219">
            <v>0</v>
          </cell>
        </row>
        <row r="8220">
          <cell r="A8220">
            <v>0</v>
          </cell>
          <cell r="B8220">
            <v>0</v>
          </cell>
        </row>
        <row r="8221">
          <cell r="A8221">
            <v>0</v>
          </cell>
          <cell r="B8221">
            <v>0</v>
          </cell>
        </row>
        <row r="8222">
          <cell r="A8222">
            <v>0</v>
          </cell>
          <cell r="B8222">
            <v>0</v>
          </cell>
        </row>
        <row r="8223">
          <cell r="A8223">
            <v>0</v>
          </cell>
          <cell r="B8223">
            <v>0</v>
          </cell>
        </row>
        <row r="8224">
          <cell r="A8224">
            <v>0</v>
          </cell>
          <cell r="B8224">
            <v>0</v>
          </cell>
        </row>
        <row r="8225">
          <cell r="A8225">
            <v>0</v>
          </cell>
          <cell r="B8225">
            <v>0</v>
          </cell>
        </row>
        <row r="8226">
          <cell r="A8226">
            <v>0</v>
          </cell>
          <cell r="B8226">
            <v>0</v>
          </cell>
        </row>
        <row r="8227">
          <cell r="A8227">
            <v>0</v>
          </cell>
          <cell r="B8227">
            <v>0</v>
          </cell>
        </row>
        <row r="8228">
          <cell r="A8228">
            <v>0</v>
          </cell>
          <cell r="B8228">
            <v>0</v>
          </cell>
        </row>
        <row r="8229">
          <cell r="A8229">
            <v>0</v>
          </cell>
          <cell r="B8229">
            <v>0</v>
          </cell>
        </row>
        <row r="8230">
          <cell r="A8230">
            <v>0</v>
          </cell>
          <cell r="B8230">
            <v>0</v>
          </cell>
        </row>
        <row r="8231">
          <cell r="A8231">
            <v>0</v>
          </cell>
          <cell r="B8231">
            <v>0</v>
          </cell>
        </row>
        <row r="8232">
          <cell r="A8232">
            <v>0</v>
          </cell>
          <cell r="B8232">
            <v>0</v>
          </cell>
        </row>
        <row r="8233">
          <cell r="A8233">
            <v>0</v>
          </cell>
          <cell r="B8233">
            <v>0</v>
          </cell>
        </row>
        <row r="8234">
          <cell r="A8234">
            <v>0</v>
          </cell>
          <cell r="B8234">
            <v>0</v>
          </cell>
        </row>
        <row r="8235">
          <cell r="A8235">
            <v>0</v>
          </cell>
          <cell r="B8235">
            <v>0</v>
          </cell>
        </row>
        <row r="8236">
          <cell r="A8236">
            <v>0</v>
          </cell>
          <cell r="B8236">
            <v>0</v>
          </cell>
        </row>
        <row r="8237">
          <cell r="A8237">
            <v>0</v>
          </cell>
          <cell r="B8237">
            <v>0</v>
          </cell>
        </row>
        <row r="8238">
          <cell r="A8238">
            <v>0</v>
          </cell>
          <cell r="B8238">
            <v>0</v>
          </cell>
        </row>
        <row r="8239">
          <cell r="A8239">
            <v>0</v>
          </cell>
          <cell r="B8239">
            <v>0</v>
          </cell>
        </row>
        <row r="8240">
          <cell r="A8240">
            <v>0</v>
          </cell>
          <cell r="B8240">
            <v>0</v>
          </cell>
        </row>
        <row r="8241">
          <cell r="A8241">
            <v>0</v>
          </cell>
          <cell r="B8241">
            <v>0</v>
          </cell>
        </row>
        <row r="8242">
          <cell r="A8242">
            <v>0</v>
          </cell>
          <cell r="B8242">
            <v>0</v>
          </cell>
        </row>
        <row r="8243">
          <cell r="A8243">
            <v>0</v>
          </cell>
          <cell r="B8243">
            <v>0</v>
          </cell>
        </row>
        <row r="8244">
          <cell r="A8244">
            <v>0</v>
          </cell>
          <cell r="B8244">
            <v>0</v>
          </cell>
        </row>
        <row r="8245">
          <cell r="A8245">
            <v>0</v>
          </cell>
          <cell r="B8245">
            <v>0</v>
          </cell>
        </row>
        <row r="8246">
          <cell r="A8246">
            <v>0</v>
          </cell>
          <cell r="B8246">
            <v>0</v>
          </cell>
        </row>
        <row r="8247">
          <cell r="A8247">
            <v>0</v>
          </cell>
          <cell r="B8247">
            <v>0</v>
          </cell>
        </row>
        <row r="8248">
          <cell r="A8248">
            <v>0</v>
          </cell>
          <cell r="B8248">
            <v>0</v>
          </cell>
        </row>
        <row r="8249">
          <cell r="A8249">
            <v>0</v>
          </cell>
          <cell r="B8249">
            <v>0</v>
          </cell>
        </row>
        <row r="8250">
          <cell r="A8250">
            <v>0</v>
          </cell>
          <cell r="B8250">
            <v>0</v>
          </cell>
        </row>
        <row r="8251">
          <cell r="A8251">
            <v>0</v>
          </cell>
          <cell r="B8251">
            <v>0</v>
          </cell>
        </row>
        <row r="8252">
          <cell r="A8252">
            <v>0</v>
          </cell>
          <cell r="B8252">
            <v>0</v>
          </cell>
        </row>
        <row r="8253">
          <cell r="A8253">
            <v>0</v>
          </cell>
          <cell r="B8253">
            <v>0</v>
          </cell>
        </row>
        <row r="8254">
          <cell r="A8254">
            <v>0</v>
          </cell>
          <cell r="B8254">
            <v>0</v>
          </cell>
        </row>
        <row r="8255">
          <cell r="A8255">
            <v>0</v>
          </cell>
          <cell r="B8255">
            <v>0</v>
          </cell>
        </row>
        <row r="8256">
          <cell r="A8256">
            <v>0</v>
          </cell>
          <cell r="B8256">
            <v>0</v>
          </cell>
        </row>
        <row r="8257">
          <cell r="A8257">
            <v>0</v>
          </cell>
          <cell r="B8257">
            <v>0</v>
          </cell>
        </row>
        <row r="8258">
          <cell r="A8258">
            <v>0</v>
          </cell>
          <cell r="B8258">
            <v>0</v>
          </cell>
        </row>
        <row r="8259">
          <cell r="A8259">
            <v>0</v>
          </cell>
          <cell r="B8259">
            <v>0</v>
          </cell>
        </row>
        <row r="8260">
          <cell r="A8260">
            <v>0</v>
          </cell>
          <cell r="B8260">
            <v>0</v>
          </cell>
        </row>
        <row r="8261">
          <cell r="A8261">
            <v>0</v>
          </cell>
          <cell r="B8261">
            <v>0</v>
          </cell>
        </row>
        <row r="8262">
          <cell r="A8262">
            <v>0</v>
          </cell>
          <cell r="B8262">
            <v>0</v>
          </cell>
        </row>
        <row r="8263">
          <cell r="A8263">
            <v>0</v>
          </cell>
          <cell r="B8263">
            <v>0</v>
          </cell>
        </row>
        <row r="8264">
          <cell r="A8264">
            <v>0</v>
          </cell>
          <cell r="B8264">
            <v>0</v>
          </cell>
        </row>
        <row r="8265">
          <cell r="A8265">
            <v>0</v>
          </cell>
          <cell r="B8265">
            <v>0</v>
          </cell>
        </row>
        <row r="8266">
          <cell r="A8266">
            <v>0</v>
          </cell>
          <cell r="B8266">
            <v>0</v>
          </cell>
        </row>
        <row r="8267">
          <cell r="A8267">
            <v>0</v>
          </cell>
          <cell r="B8267">
            <v>0</v>
          </cell>
        </row>
        <row r="8268">
          <cell r="A8268">
            <v>0</v>
          </cell>
          <cell r="B8268">
            <v>0</v>
          </cell>
        </row>
        <row r="8269">
          <cell r="A8269">
            <v>0</v>
          </cell>
          <cell r="B8269">
            <v>0</v>
          </cell>
        </row>
        <row r="8270">
          <cell r="A8270">
            <v>0</v>
          </cell>
          <cell r="B8270">
            <v>0</v>
          </cell>
        </row>
        <row r="8271">
          <cell r="A8271">
            <v>0</v>
          </cell>
          <cell r="B8271">
            <v>0</v>
          </cell>
        </row>
        <row r="8272">
          <cell r="A8272">
            <v>0</v>
          </cell>
          <cell r="B8272">
            <v>0</v>
          </cell>
        </row>
        <row r="8273">
          <cell r="A8273">
            <v>0</v>
          </cell>
          <cell r="B8273">
            <v>0</v>
          </cell>
        </row>
        <row r="8274">
          <cell r="A8274">
            <v>0</v>
          </cell>
          <cell r="B8274">
            <v>0</v>
          </cell>
        </row>
        <row r="8275">
          <cell r="A8275">
            <v>0</v>
          </cell>
          <cell r="B8275">
            <v>0</v>
          </cell>
        </row>
        <row r="8276">
          <cell r="A8276">
            <v>0</v>
          </cell>
          <cell r="B8276">
            <v>0</v>
          </cell>
        </row>
        <row r="8277">
          <cell r="A8277">
            <v>0</v>
          </cell>
          <cell r="B8277">
            <v>0</v>
          </cell>
        </row>
        <row r="8278">
          <cell r="A8278">
            <v>0</v>
          </cell>
          <cell r="B8278">
            <v>0</v>
          </cell>
        </row>
        <row r="8279">
          <cell r="A8279">
            <v>0</v>
          </cell>
          <cell r="B8279">
            <v>0</v>
          </cell>
        </row>
        <row r="8280">
          <cell r="A8280">
            <v>0</v>
          </cell>
          <cell r="B8280">
            <v>0</v>
          </cell>
        </row>
        <row r="8281">
          <cell r="A8281">
            <v>0</v>
          </cell>
          <cell r="B8281">
            <v>0</v>
          </cell>
        </row>
        <row r="8282">
          <cell r="A8282">
            <v>0</v>
          </cell>
          <cell r="B8282">
            <v>0</v>
          </cell>
        </row>
        <row r="8283">
          <cell r="A8283">
            <v>0</v>
          </cell>
          <cell r="B8283">
            <v>0</v>
          </cell>
        </row>
        <row r="8284">
          <cell r="A8284">
            <v>0</v>
          </cell>
          <cell r="B8284">
            <v>0</v>
          </cell>
        </row>
        <row r="8285">
          <cell r="A8285">
            <v>0</v>
          </cell>
          <cell r="B8285">
            <v>0</v>
          </cell>
        </row>
        <row r="8286">
          <cell r="A8286">
            <v>0</v>
          </cell>
          <cell r="B8286">
            <v>0</v>
          </cell>
        </row>
        <row r="8287">
          <cell r="A8287">
            <v>0</v>
          </cell>
          <cell r="B8287">
            <v>0</v>
          </cell>
        </row>
        <row r="8288">
          <cell r="A8288">
            <v>0</v>
          </cell>
          <cell r="B8288">
            <v>0</v>
          </cell>
        </row>
        <row r="8289">
          <cell r="A8289">
            <v>0</v>
          </cell>
          <cell r="B8289">
            <v>0</v>
          </cell>
        </row>
        <row r="8290">
          <cell r="A8290">
            <v>0</v>
          </cell>
          <cell r="B8290">
            <v>0</v>
          </cell>
        </row>
        <row r="8291">
          <cell r="A8291">
            <v>0</v>
          </cell>
          <cell r="B8291">
            <v>0</v>
          </cell>
        </row>
        <row r="8292">
          <cell r="A8292">
            <v>0</v>
          </cell>
          <cell r="B8292">
            <v>0</v>
          </cell>
        </row>
        <row r="8293">
          <cell r="A8293">
            <v>0</v>
          </cell>
          <cell r="B8293">
            <v>0</v>
          </cell>
        </row>
        <row r="8294">
          <cell r="A8294">
            <v>0</v>
          </cell>
          <cell r="B8294">
            <v>0</v>
          </cell>
        </row>
        <row r="8295">
          <cell r="A8295">
            <v>0</v>
          </cell>
          <cell r="B8295">
            <v>0</v>
          </cell>
        </row>
        <row r="8296">
          <cell r="A8296">
            <v>0</v>
          </cell>
          <cell r="B8296">
            <v>0</v>
          </cell>
        </row>
        <row r="8297">
          <cell r="A8297">
            <v>0</v>
          </cell>
          <cell r="B8297">
            <v>0</v>
          </cell>
        </row>
        <row r="8298">
          <cell r="A8298">
            <v>0</v>
          </cell>
          <cell r="B8298">
            <v>0</v>
          </cell>
        </row>
        <row r="8299">
          <cell r="A8299">
            <v>0</v>
          </cell>
          <cell r="B8299">
            <v>0</v>
          </cell>
        </row>
        <row r="8300">
          <cell r="A8300">
            <v>0</v>
          </cell>
          <cell r="B8300">
            <v>0</v>
          </cell>
        </row>
        <row r="8301">
          <cell r="A8301">
            <v>0</v>
          </cell>
          <cell r="B8301">
            <v>0</v>
          </cell>
        </row>
        <row r="8302">
          <cell r="A8302">
            <v>0</v>
          </cell>
          <cell r="B8302">
            <v>0</v>
          </cell>
        </row>
        <row r="8303">
          <cell r="A8303">
            <v>0</v>
          </cell>
          <cell r="B8303">
            <v>0</v>
          </cell>
        </row>
        <row r="8304">
          <cell r="A8304">
            <v>0</v>
          </cell>
          <cell r="B8304">
            <v>0</v>
          </cell>
        </row>
        <row r="8305">
          <cell r="A8305">
            <v>0</v>
          </cell>
          <cell r="B8305">
            <v>0</v>
          </cell>
        </row>
        <row r="8306">
          <cell r="A8306">
            <v>0</v>
          </cell>
          <cell r="B8306">
            <v>0</v>
          </cell>
        </row>
        <row r="8307">
          <cell r="A8307">
            <v>0</v>
          </cell>
          <cell r="B8307">
            <v>0</v>
          </cell>
        </row>
        <row r="8308">
          <cell r="A8308">
            <v>0</v>
          </cell>
          <cell r="B8308">
            <v>0</v>
          </cell>
        </row>
        <row r="8309">
          <cell r="A8309">
            <v>0</v>
          </cell>
          <cell r="B8309">
            <v>0</v>
          </cell>
        </row>
        <row r="8310">
          <cell r="A8310">
            <v>0</v>
          </cell>
          <cell r="B8310">
            <v>0</v>
          </cell>
        </row>
        <row r="8311">
          <cell r="A8311">
            <v>0</v>
          </cell>
          <cell r="B8311">
            <v>0</v>
          </cell>
        </row>
        <row r="8312">
          <cell r="A8312">
            <v>0</v>
          </cell>
          <cell r="B8312">
            <v>0</v>
          </cell>
        </row>
        <row r="8313">
          <cell r="A8313">
            <v>0</v>
          </cell>
          <cell r="B8313">
            <v>0</v>
          </cell>
        </row>
        <row r="8314">
          <cell r="A8314">
            <v>0</v>
          </cell>
          <cell r="B8314">
            <v>0</v>
          </cell>
        </row>
        <row r="8315">
          <cell r="A8315">
            <v>0</v>
          </cell>
          <cell r="B8315">
            <v>0</v>
          </cell>
        </row>
        <row r="8316">
          <cell r="A8316">
            <v>0</v>
          </cell>
          <cell r="B8316">
            <v>0</v>
          </cell>
        </row>
        <row r="8317">
          <cell r="A8317">
            <v>0</v>
          </cell>
          <cell r="B8317">
            <v>0</v>
          </cell>
        </row>
        <row r="8318">
          <cell r="A8318">
            <v>0</v>
          </cell>
          <cell r="B8318">
            <v>0</v>
          </cell>
        </row>
        <row r="8319">
          <cell r="A8319">
            <v>0</v>
          </cell>
          <cell r="B8319">
            <v>0</v>
          </cell>
        </row>
        <row r="8320">
          <cell r="A8320">
            <v>0</v>
          </cell>
          <cell r="B8320">
            <v>0</v>
          </cell>
        </row>
        <row r="8321">
          <cell r="A8321">
            <v>0</v>
          </cell>
          <cell r="B8321">
            <v>0</v>
          </cell>
        </row>
        <row r="8322">
          <cell r="A8322">
            <v>0</v>
          </cell>
          <cell r="B8322">
            <v>0</v>
          </cell>
        </row>
        <row r="8323">
          <cell r="A8323">
            <v>0</v>
          </cell>
          <cell r="B8323">
            <v>0</v>
          </cell>
        </row>
        <row r="8324">
          <cell r="A8324">
            <v>0</v>
          </cell>
          <cell r="B8324">
            <v>0</v>
          </cell>
        </row>
        <row r="8325">
          <cell r="A8325">
            <v>0</v>
          </cell>
          <cell r="B8325">
            <v>0</v>
          </cell>
        </row>
        <row r="8326">
          <cell r="A8326">
            <v>0</v>
          </cell>
          <cell r="B8326">
            <v>0</v>
          </cell>
        </row>
        <row r="8327">
          <cell r="A8327">
            <v>0</v>
          </cell>
          <cell r="B8327">
            <v>0</v>
          </cell>
        </row>
        <row r="8328">
          <cell r="A8328">
            <v>0</v>
          </cell>
          <cell r="B8328">
            <v>0</v>
          </cell>
        </row>
        <row r="8329">
          <cell r="A8329">
            <v>0</v>
          </cell>
          <cell r="B8329">
            <v>0</v>
          </cell>
        </row>
        <row r="8330">
          <cell r="A8330">
            <v>0</v>
          </cell>
          <cell r="B8330">
            <v>0</v>
          </cell>
        </row>
        <row r="8331">
          <cell r="A8331">
            <v>0</v>
          </cell>
          <cell r="B8331">
            <v>0</v>
          </cell>
        </row>
        <row r="8332">
          <cell r="A8332">
            <v>0</v>
          </cell>
          <cell r="B8332">
            <v>0</v>
          </cell>
        </row>
        <row r="8333">
          <cell r="A8333">
            <v>0</v>
          </cell>
          <cell r="B8333">
            <v>0</v>
          </cell>
        </row>
        <row r="8334">
          <cell r="A8334">
            <v>0</v>
          </cell>
          <cell r="B8334">
            <v>0</v>
          </cell>
        </row>
        <row r="8335">
          <cell r="A8335">
            <v>0</v>
          </cell>
          <cell r="B8335">
            <v>0</v>
          </cell>
        </row>
        <row r="8336">
          <cell r="A8336">
            <v>0</v>
          </cell>
          <cell r="B8336">
            <v>0</v>
          </cell>
        </row>
        <row r="8337">
          <cell r="A8337">
            <v>0</v>
          </cell>
          <cell r="B8337">
            <v>0</v>
          </cell>
        </row>
        <row r="8338">
          <cell r="A8338">
            <v>0</v>
          </cell>
          <cell r="B8338">
            <v>0</v>
          </cell>
        </row>
        <row r="8339">
          <cell r="A8339">
            <v>0</v>
          </cell>
          <cell r="B8339">
            <v>0</v>
          </cell>
        </row>
        <row r="8340">
          <cell r="A8340">
            <v>0</v>
          </cell>
          <cell r="B8340">
            <v>0</v>
          </cell>
        </row>
        <row r="8341">
          <cell r="A8341">
            <v>0</v>
          </cell>
          <cell r="B8341">
            <v>0</v>
          </cell>
        </row>
        <row r="8342">
          <cell r="A8342">
            <v>0</v>
          </cell>
          <cell r="B8342">
            <v>0</v>
          </cell>
        </row>
        <row r="8343">
          <cell r="A8343">
            <v>0</v>
          </cell>
          <cell r="B8343">
            <v>0</v>
          </cell>
        </row>
        <row r="8344">
          <cell r="A8344">
            <v>0</v>
          </cell>
          <cell r="B8344">
            <v>0</v>
          </cell>
        </row>
        <row r="8345">
          <cell r="A8345">
            <v>0</v>
          </cell>
          <cell r="B8345">
            <v>0</v>
          </cell>
        </row>
        <row r="8346">
          <cell r="A8346">
            <v>0</v>
          </cell>
          <cell r="B8346">
            <v>0</v>
          </cell>
        </row>
        <row r="8347">
          <cell r="A8347">
            <v>0</v>
          </cell>
          <cell r="B8347">
            <v>0</v>
          </cell>
        </row>
        <row r="8348">
          <cell r="A8348">
            <v>0</v>
          </cell>
          <cell r="B8348">
            <v>0</v>
          </cell>
        </row>
        <row r="8349">
          <cell r="A8349">
            <v>0</v>
          </cell>
          <cell r="B8349">
            <v>0</v>
          </cell>
        </row>
        <row r="8350">
          <cell r="A8350">
            <v>0</v>
          </cell>
          <cell r="B8350">
            <v>0</v>
          </cell>
        </row>
        <row r="8351">
          <cell r="A8351">
            <v>0</v>
          </cell>
          <cell r="B8351">
            <v>0</v>
          </cell>
        </row>
        <row r="8352">
          <cell r="A8352">
            <v>0</v>
          </cell>
          <cell r="B8352">
            <v>0</v>
          </cell>
        </row>
        <row r="8353">
          <cell r="A8353">
            <v>0</v>
          </cell>
          <cell r="B8353">
            <v>0</v>
          </cell>
        </row>
        <row r="8354">
          <cell r="A8354">
            <v>0</v>
          </cell>
          <cell r="B8354">
            <v>0</v>
          </cell>
        </row>
        <row r="8355">
          <cell r="A8355">
            <v>0</v>
          </cell>
          <cell r="B8355">
            <v>0</v>
          </cell>
        </row>
        <row r="8356">
          <cell r="A8356">
            <v>0</v>
          </cell>
          <cell r="B8356">
            <v>0</v>
          </cell>
        </row>
        <row r="8357">
          <cell r="A8357">
            <v>0</v>
          </cell>
          <cell r="B8357">
            <v>0</v>
          </cell>
        </row>
        <row r="8358">
          <cell r="A8358">
            <v>0</v>
          </cell>
          <cell r="B8358">
            <v>0</v>
          </cell>
        </row>
        <row r="8359">
          <cell r="A8359">
            <v>0</v>
          </cell>
          <cell r="B8359">
            <v>0</v>
          </cell>
        </row>
        <row r="8360">
          <cell r="A8360">
            <v>0</v>
          </cell>
          <cell r="B8360">
            <v>0</v>
          </cell>
        </row>
        <row r="8361">
          <cell r="A8361">
            <v>0</v>
          </cell>
          <cell r="B8361">
            <v>0</v>
          </cell>
        </row>
        <row r="8362">
          <cell r="A8362">
            <v>0</v>
          </cell>
          <cell r="B8362">
            <v>0</v>
          </cell>
        </row>
        <row r="8363">
          <cell r="A8363">
            <v>0</v>
          </cell>
          <cell r="B8363">
            <v>0</v>
          </cell>
        </row>
        <row r="8364">
          <cell r="A8364">
            <v>0</v>
          </cell>
          <cell r="B8364">
            <v>0</v>
          </cell>
        </row>
        <row r="8365">
          <cell r="A8365">
            <v>0</v>
          </cell>
          <cell r="B8365">
            <v>0</v>
          </cell>
        </row>
        <row r="8366">
          <cell r="A8366">
            <v>0</v>
          </cell>
          <cell r="B8366">
            <v>0</v>
          </cell>
        </row>
        <row r="8367">
          <cell r="A8367">
            <v>0</v>
          </cell>
          <cell r="B8367">
            <v>0</v>
          </cell>
        </row>
        <row r="8368">
          <cell r="A8368">
            <v>0</v>
          </cell>
          <cell r="B8368">
            <v>0</v>
          </cell>
        </row>
        <row r="8369">
          <cell r="A8369">
            <v>0</v>
          </cell>
          <cell r="B8369">
            <v>0</v>
          </cell>
        </row>
        <row r="8370">
          <cell r="A8370">
            <v>0</v>
          </cell>
          <cell r="B8370">
            <v>0</v>
          </cell>
        </row>
        <row r="8371">
          <cell r="A8371">
            <v>0</v>
          </cell>
          <cell r="B8371">
            <v>0</v>
          </cell>
        </row>
        <row r="8372">
          <cell r="A8372">
            <v>0</v>
          </cell>
          <cell r="B8372">
            <v>0</v>
          </cell>
        </row>
        <row r="8373">
          <cell r="A8373">
            <v>0</v>
          </cell>
          <cell r="B8373">
            <v>0</v>
          </cell>
        </row>
        <row r="8374">
          <cell r="A8374">
            <v>0</v>
          </cell>
          <cell r="B8374">
            <v>0</v>
          </cell>
        </row>
        <row r="8375">
          <cell r="A8375">
            <v>0</v>
          </cell>
          <cell r="B8375">
            <v>0</v>
          </cell>
        </row>
        <row r="8376">
          <cell r="A8376">
            <v>0</v>
          </cell>
          <cell r="B8376">
            <v>0</v>
          </cell>
        </row>
        <row r="8377">
          <cell r="A8377">
            <v>0</v>
          </cell>
          <cell r="B8377">
            <v>0</v>
          </cell>
        </row>
        <row r="8378">
          <cell r="A8378">
            <v>0</v>
          </cell>
          <cell r="B8378">
            <v>0</v>
          </cell>
        </row>
        <row r="8379">
          <cell r="A8379">
            <v>0</v>
          </cell>
          <cell r="B8379">
            <v>0</v>
          </cell>
        </row>
        <row r="8380">
          <cell r="A8380">
            <v>0</v>
          </cell>
          <cell r="B8380">
            <v>0</v>
          </cell>
        </row>
        <row r="8381">
          <cell r="A8381">
            <v>0</v>
          </cell>
          <cell r="B8381">
            <v>0</v>
          </cell>
        </row>
        <row r="8382">
          <cell r="A8382">
            <v>0</v>
          </cell>
          <cell r="B8382">
            <v>0</v>
          </cell>
        </row>
        <row r="8383">
          <cell r="A8383">
            <v>0</v>
          </cell>
          <cell r="B8383">
            <v>0</v>
          </cell>
        </row>
        <row r="8384">
          <cell r="A8384">
            <v>0</v>
          </cell>
          <cell r="B8384">
            <v>0</v>
          </cell>
        </row>
        <row r="8385">
          <cell r="A8385">
            <v>0</v>
          </cell>
          <cell r="B8385">
            <v>0</v>
          </cell>
        </row>
        <row r="8386">
          <cell r="A8386">
            <v>0</v>
          </cell>
          <cell r="B8386">
            <v>0</v>
          </cell>
        </row>
        <row r="8387">
          <cell r="A8387">
            <v>0</v>
          </cell>
          <cell r="B8387">
            <v>0</v>
          </cell>
        </row>
        <row r="8388">
          <cell r="A8388">
            <v>0</v>
          </cell>
          <cell r="B8388">
            <v>0</v>
          </cell>
        </row>
        <row r="8389">
          <cell r="A8389">
            <v>0</v>
          </cell>
          <cell r="B8389">
            <v>0</v>
          </cell>
        </row>
        <row r="8390">
          <cell r="A8390">
            <v>0</v>
          </cell>
          <cell r="B8390">
            <v>0</v>
          </cell>
        </row>
        <row r="8391">
          <cell r="A8391">
            <v>0</v>
          </cell>
          <cell r="B8391">
            <v>0</v>
          </cell>
        </row>
        <row r="8392">
          <cell r="A8392">
            <v>0</v>
          </cell>
          <cell r="B8392">
            <v>0</v>
          </cell>
        </row>
        <row r="8393">
          <cell r="A8393">
            <v>0</v>
          </cell>
          <cell r="B8393">
            <v>0</v>
          </cell>
        </row>
        <row r="8394">
          <cell r="A8394">
            <v>0</v>
          </cell>
          <cell r="B8394">
            <v>0</v>
          </cell>
        </row>
        <row r="8395">
          <cell r="A8395">
            <v>0</v>
          </cell>
          <cell r="B8395">
            <v>0</v>
          </cell>
        </row>
        <row r="8396">
          <cell r="A8396">
            <v>0</v>
          </cell>
          <cell r="B8396">
            <v>0</v>
          </cell>
        </row>
        <row r="8397">
          <cell r="A8397">
            <v>0</v>
          </cell>
          <cell r="B8397">
            <v>0</v>
          </cell>
        </row>
        <row r="8398">
          <cell r="A8398">
            <v>0</v>
          </cell>
          <cell r="B8398">
            <v>0</v>
          </cell>
        </row>
        <row r="8399">
          <cell r="A8399">
            <v>0</v>
          </cell>
          <cell r="B8399">
            <v>0</v>
          </cell>
        </row>
        <row r="8400">
          <cell r="A8400">
            <v>0</v>
          </cell>
          <cell r="B8400">
            <v>0</v>
          </cell>
        </row>
        <row r="8401">
          <cell r="A8401">
            <v>0</v>
          </cell>
          <cell r="B8401">
            <v>0</v>
          </cell>
        </row>
        <row r="8402">
          <cell r="A8402">
            <v>0</v>
          </cell>
          <cell r="B8402">
            <v>0</v>
          </cell>
        </row>
        <row r="8403">
          <cell r="A8403">
            <v>0</v>
          </cell>
          <cell r="B8403">
            <v>0</v>
          </cell>
        </row>
        <row r="8404">
          <cell r="A8404">
            <v>0</v>
          </cell>
          <cell r="B8404">
            <v>0</v>
          </cell>
        </row>
        <row r="8405">
          <cell r="A8405">
            <v>0</v>
          </cell>
          <cell r="B8405">
            <v>0</v>
          </cell>
        </row>
        <row r="8406">
          <cell r="A8406">
            <v>0</v>
          </cell>
          <cell r="B8406">
            <v>0</v>
          </cell>
        </row>
        <row r="8407">
          <cell r="A8407">
            <v>0</v>
          </cell>
          <cell r="B8407">
            <v>0</v>
          </cell>
        </row>
        <row r="8408">
          <cell r="A8408">
            <v>0</v>
          </cell>
          <cell r="B8408">
            <v>0</v>
          </cell>
        </row>
        <row r="8409">
          <cell r="A8409">
            <v>0</v>
          </cell>
          <cell r="B8409">
            <v>0</v>
          </cell>
        </row>
        <row r="8410">
          <cell r="A8410">
            <v>0</v>
          </cell>
          <cell r="B8410">
            <v>0</v>
          </cell>
        </row>
        <row r="8411">
          <cell r="A8411">
            <v>0</v>
          </cell>
          <cell r="B8411">
            <v>0</v>
          </cell>
        </row>
        <row r="8412">
          <cell r="A8412">
            <v>0</v>
          </cell>
          <cell r="B8412">
            <v>0</v>
          </cell>
        </row>
        <row r="8413">
          <cell r="A8413">
            <v>0</v>
          </cell>
          <cell r="B8413">
            <v>0</v>
          </cell>
        </row>
        <row r="8414">
          <cell r="A8414">
            <v>0</v>
          </cell>
          <cell r="B8414">
            <v>0</v>
          </cell>
        </row>
        <row r="8415">
          <cell r="A8415">
            <v>0</v>
          </cell>
          <cell r="B8415">
            <v>0</v>
          </cell>
        </row>
        <row r="8416">
          <cell r="A8416">
            <v>0</v>
          </cell>
          <cell r="B8416">
            <v>0</v>
          </cell>
        </row>
        <row r="8417">
          <cell r="A8417">
            <v>0</v>
          </cell>
          <cell r="B8417">
            <v>0</v>
          </cell>
        </row>
        <row r="8418">
          <cell r="A8418">
            <v>0</v>
          </cell>
          <cell r="B8418">
            <v>0</v>
          </cell>
        </row>
        <row r="8419">
          <cell r="A8419">
            <v>0</v>
          </cell>
          <cell r="B8419">
            <v>0</v>
          </cell>
        </row>
        <row r="8420">
          <cell r="A8420">
            <v>0</v>
          </cell>
          <cell r="B8420">
            <v>0</v>
          </cell>
        </row>
        <row r="8421">
          <cell r="A8421">
            <v>0</v>
          </cell>
          <cell r="B8421">
            <v>0</v>
          </cell>
        </row>
        <row r="8422">
          <cell r="A8422">
            <v>0</v>
          </cell>
          <cell r="B8422">
            <v>0</v>
          </cell>
        </row>
        <row r="8423">
          <cell r="A8423">
            <v>0</v>
          </cell>
          <cell r="B8423">
            <v>0</v>
          </cell>
        </row>
        <row r="8424">
          <cell r="A8424">
            <v>0</v>
          </cell>
          <cell r="B8424">
            <v>0</v>
          </cell>
        </row>
        <row r="8425">
          <cell r="A8425">
            <v>0</v>
          </cell>
          <cell r="B8425">
            <v>0</v>
          </cell>
        </row>
        <row r="8426">
          <cell r="A8426">
            <v>0</v>
          </cell>
          <cell r="B8426">
            <v>0</v>
          </cell>
        </row>
        <row r="8427">
          <cell r="A8427">
            <v>0</v>
          </cell>
          <cell r="B8427">
            <v>0</v>
          </cell>
        </row>
        <row r="8428">
          <cell r="A8428">
            <v>0</v>
          </cell>
          <cell r="B8428">
            <v>0</v>
          </cell>
        </row>
        <row r="8429">
          <cell r="A8429">
            <v>0</v>
          </cell>
          <cell r="B8429">
            <v>0</v>
          </cell>
        </row>
        <row r="8430">
          <cell r="A8430">
            <v>0</v>
          </cell>
          <cell r="B8430">
            <v>0</v>
          </cell>
        </row>
        <row r="8431">
          <cell r="A8431">
            <v>0</v>
          </cell>
          <cell r="B8431">
            <v>0</v>
          </cell>
        </row>
        <row r="8432">
          <cell r="A8432">
            <v>0</v>
          </cell>
          <cell r="B8432">
            <v>0</v>
          </cell>
        </row>
        <row r="8433">
          <cell r="A8433">
            <v>0</v>
          </cell>
          <cell r="B8433">
            <v>0</v>
          </cell>
        </row>
        <row r="8434">
          <cell r="A8434">
            <v>0</v>
          </cell>
          <cell r="B8434">
            <v>0</v>
          </cell>
        </row>
        <row r="8435">
          <cell r="A8435">
            <v>0</v>
          </cell>
          <cell r="B8435">
            <v>0</v>
          </cell>
        </row>
        <row r="8436">
          <cell r="A8436">
            <v>0</v>
          </cell>
          <cell r="B8436">
            <v>0</v>
          </cell>
        </row>
        <row r="8437">
          <cell r="A8437">
            <v>0</v>
          </cell>
          <cell r="B8437">
            <v>0</v>
          </cell>
        </row>
        <row r="8438">
          <cell r="A8438">
            <v>0</v>
          </cell>
          <cell r="B8438">
            <v>0</v>
          </cell>
        </row>
        <row r="8439">
          <cell r="A8439">
            <v>0</v>
          </cell>
          <cell r="B8439">
            <v>0</v>
          </cell>
        </row>
        <row r="8440">
          <cell r="A8440">
            <v>0</v>
          </cell>
          <cell r="B8440">
            <v>0</v>
          </cell>
        </row>
        <row r="8441">
          <cell r="A8441">
            <v>0</v>
          </cell>
          <cell r="B8441">
            <v>0</v>
          </cell>
        </row>
        <row r="8442">
          <cell r="A8442">
            <v>0</v>
          </cell>
          <cell r="B8442">
            <v>0</v>
          </cell>
        </row>
        <row r="8443">
          <cell r="A8443">
            <v>0</v>
          </cell>
          <cell r="B8443">
            <v>0</v>
          </cell>
        </row>
        <row r="8444">
          <cell r="A8444">
            <v>0</v>
          </cell>
          <cell r="B8444">
            <v>0</v>
          </cell>
        </row>
        <row r="8445">
          <cell r="A8445">
            <v>0</v>
          </cell>
          <cell r="B8445">
            <v>0</v>
          </cell>
        </row>
        <row r="8446">
          <cell r="A8446">
            <v>0</v>
          </cell>
          <cell r="B8446">
            <v>0</v>
          </cell>
        </row>
        <row r="8447">
          <cell r="A8447">
            <v>0</v>
          </cell>
          <cell r="B8447">
            <v>0</v>
          </cell>
        </row>
        <row r="8448">
          <cell r="A8448">
            <v>0</v>
          </cell>
          <cell r="B8448">
            <v>0</v>
          </cell>
        </row>
        <row r="8449">
          <cell r="A8449">
            <v>0</v>
          </cell>
          <cell r="B8449">
            <v>0</v>
          </cell>
        </row>
        <row r="8450">
          <cell r="A8450">
            <v>0</v>
          </cell>
          <cell r="B8450">
            <v>0</v>
          </cell>
        </row>
        <row r="8451">
          <cell r="A8451">
            <v>0</v>
          </cell>
          <cell r="B8451">
            <v>0</v>
          </cell>
        </row>
        <row r="8452">
          <cell r="A8452">
            <v>0</v>
          </cell>
          <cell r="B8452">
            <v>0</v>
          </cell>
        </row>
        <row r="8453">
          <cell r="A8453">
            <v>0</v>
          </cell>
          <cell r="B8453">
            <v>0</v>
          </cell>
        </row>
        <row r="8454">
          <cell r="A8454">
            <v>0</v>
          </cell>
          <cell r="B8454">
            <v>0</v>
          </cell>
        </row>
        <row r="8455">
          <cell r="A8455">
            <v>0</v>
          </cell>
          <cell r="B8455">
            <v>0</v>
          </cell>
        </row>
        <row r="8456">
          <cell r="A8456">
            <v>0</v>
          </cell>
          <cell r="B8456">
            <v>0</v>
          </cell>
        </row>
        <row r="8457">
          <cell r="A8457">
            <v>0</v>
          </cell>
          <cell r="B8457">
            <v>0</v>
          </cell>
        </row>
        <row r="8458">
          <cell r="A8458">
            <v>0</v>
          </cell>
          <cell r="B8458">
            <v>0</v>
          </cell>
        </row>
        <row r="8459">
          <cell r="A8459">
            <v>0</v>
          </cell>
          <cell r="B8459">
            <v>0</v>
          </cell>
        </row>
        <row r="8460">
          <cell r="A8460">
            <v>0</v>
          </cell>
          <cell r="B8460">
            <v>0</v>
          </cell>
        </row>
        <row r="8461">
          <cell r="A8461">
            <v>0</v>
          </cell>
          <cell r="B8461">
            <v>0</v>
          </cell>
        </row>
        <row r="8462">
          <cell r="A8462">
            <v>0</v>
          </cell>
          <cell r="B8462">
            <v>0</v>
          </cell>
        </row>
        <row r="8463">
          <cell r="A8463">
            <v>0</v>
          </cell>
          <cell r="B8463">
            <v>0</v>
          </cell>
        </row>
        <row r="8464">
          <cell r="A8464">
            <v>0</v>
          </cell>
          <cell r="B8464">
            <v>0</v>
          </cell>
        </row>
        <row r="8465">
          <cell r="A8465">
            <v>0</v>
          </cell>
          <cell r="B8465">
            <v>0</v>
          </cell>
        </row>
        <row r="8466">
          <cell r="A8466">
            <v>0</v>
          </cell>
          <cell r="B8466">
            <v>0</v>
          </cell>
        </row>
        <row r="8467">
          <cell r="A8467">
            <v>0</v>
          </cell>
          <cell r="B8467">
            <v>0</v>
          </cell>
        </row>
        <row r="8468">
          <cell r="A8468">
            <v>0</v>
          </cell>
          <cell r="B8468">
            <v>0</v>
          </cell>
        </row>
        <row r="8469">
          <cell r="A8469">
            <v>0</v>
          </cell>
          <cell r="B8469">
            <v>0</v>
          </cell>
        </row>
        <row r="8470">
          <cell r="A8470">
            <v>0</v>
          </cell>
          <cell r="B8470">
            <v>0</v>
          </cell>
        </row>
        <row r="8471">
          <cell r="A8471">
            <v>0</v>
          </cell>
          <cell r="B8471">
            <v>0</v>
          </cell>
        </row>
        <row r="8472">
          <cell r="A8472">
            <v>0</v>
          </cell>
          <cell r="B8472">
            <v>0</v>
          </cell>
        </row>
        <row r="8473">
          <cell r="A8473">
            <v>0</v>
          </cell>
          <cell r="B8473">
            <v>0</v>
          </cell>
        </row>
        <row r="8474">
          <cell r="A8474">
            <v>0</v>
          </cell>
          <cell r="B8474">
            <v>0</v>
          </cell>
        </row>
        <row r="8475">
          <cell r="A8475">
            <v>0</v>
          </cell>
          <cell r="B8475">
            <v>0</v>
          </cell>
        </row>
        <row r="8476">
          <cell r="A8476">
            <v>0</v>
          </cell>
          <cell r="B8476">
            <v>0</v>
          </cell>
        </row>
        <row r="8477">
          <cell r="A8477">
            <v>0</v>
          </cell>
          <cell r="B8477">
            <v>0</v>
          </cell>
        </row>
        <row r="8478">
          <cell r="A8478">
            <v>0</v>
          </cell>
          <cell r="B8478">
            <v>0</v>
          </cell>
        </row>
        <row r="8479">
          <cell r="A8479">
            <v>0</v>
          </cell>
          <cell r="B8479">
            <v>0</v>
          </cell>
        </row>
        <row r="8480">
          <cell r="A8480">
            <v>0</v>
          </cell>
          <cell r="B8480">
            <v>0</v>
          </cell>
        </row>
        <row r="8481">
          <cell r="A8481">
            <v>0</v>
          </cell>
          <cell r="B8481">
            <v>0</v>
          </cell>
        </row>
        <row r="8482">
          <cell r="A8482">
            <v>0</v>
          </cell>
          <cell r="B8482">
            <v>0</v>
          </cell>
        </row>
        <row r="8483">
          <cell r="A8483">
            <v>0</v>
          </cell>
          <cell r="B8483">
            <v>0</v>
          </cell>
        </row>
        <row r="8484">
          <cell r="A8484">
            <v>0</v>
          </cell>
          <cell r="B8484">
            <v>0</v>
          </cell>
        </row>
        <row r="8485">
          <cell r="A8485">
            <v>0</v>
          </cell>
          <cell r="B8485">
            <v>0</v>
          </cell>
        </row>
        <row r="8486">
          <cell r="A8486">
            <v>0</v>
          </cell>
          <cell r="B8486">
            <v>0</v>
          </cell>
        </row>
        <row r="8487">
          <cell r="A8487">
            <v>0</v>
          </cell>
          <cell r="B8487">
            <v>0</v>
          </cell>
        </row>
        <row r="8488">
          <cell r="A8488">
            <v>0</v>
          </cell>
          <cell r="B8488">
            <v>0</v>
          </cell>
        </row>
        <row r="8489">
          <cell r="A8489">
            <v>0</v>
          </cell>
          <cell r="B8489">
            <v>0</v>
          </cell>
        </row>
        <row r="8490">
          <cell r="A8490">
            <v>0</v>
          </cell>
          <cell r="B8490">
            <v>0</v>
          </cell>
        </row>
        <row r="8491">
          <cell r="A8491">
            <v>0</v>
          </cell>
          <cell r="B8491">
            <v>0</v>
          </cell>
        </row>
        <row r="8492">
          <cell r="A8492">
            <v>0</v>
          </cell>
          <cell r="B8492">
            <v>0</v>
          </cell>
        </row>
        <row r="8493">
          <cell r="A8493">
            <v>0</v>
          </cell>
          <cell r="B8493">
            <v>0</v>
          </cell>
        </row>
        <row r="8494">
          <cell r="A8494">
            <v>0</v>
          </cell>
          <cell r="B8494">
            <v>0</v>
          </cell>
        </row>
        <row r="8495">
          <cell r="A8495">
            <v>0</v>
          </cell>
          <cell r="B8495">
            <v>0</v>
          </cell>
        </row>
        <row r="8496">
          <cell r="A8496">
            <v>0</v>
          </cell>
          <cell r="B8496">
            <v>0</v>
          </cell>
        </row>
        <row r="8497">
          <cell r="A8497">
            <v>0</v>
          </cell>
          <cell r="B8497">
            <v>0</v>
          </cell>
        </row>
        <row r="8498">
          <cell r="A8498">
            <v>0</v>
          </cell>
          <cell r="B8498">
            <v>0</v>
          </cell>
        </row>
        <row r="8499">
          <cell r="A8499">
            <v>0</v>
          </cell>
          <cell r="B8499">
            <v>0</v>
          </cell>
        </row>
        <row r="8500">
          <cell r="A8500">
            <v>0</v>
          </cell>
          <cell r="B8500">
            <v>0</v>
          </cell>
        </row>
        <row r="8501">
          <cell r="A8501">
            <v>0</v>
          </cell>
          <cell r="B8501">
            <v>0</v>
          </cell>
        </row>
        <row r="8502">
          <cell r="A8502">
            <v>0</v>
          </cell>
          <cell r="B8502">
            <v>0</v>
          </cell>
        </row>
        <row r="8503">
          <cell r="A8503">
            <v>0</v>
          </cell>
          <cell r="B8503">
            <v>0</v>
          </cell>
        </row>
        <row r="8504">
          <cell r="A8504">
            <v>0</v>
          </cell>
          <cell r="B8504">
            <v>0</v>
          </cell>
        </row>
        <row r="8505">
          <cell r="A8505">
            <v>0</v>
          </cell>
          <cell r="B8505">
            <v>0</v>
          </cell>
        </row>
        <row r="8506">
          <cell r="A8506">
            <v>0</v>
          </cell>
          <cell r="B8506">
            <v>0</v>
          </cell>
        </row>
        <row r="8507">
          <cell r="A8507">
            <v>0</v>
          </cell>
          <cell r="B8507">
            <v>0</v>
          </cell>
        </row>
        <row r="8508">
          <cell r="A8508">
            <v>0</v>
          </cell>
          <cell r="B8508">
            <v>0</v>
          </cell>
        </row>
        <row r="8509">
          <cell r="A8509">
            <v>0</v>
          </cell>
          <cell r="B8509">
            <v>0</v>
          </cell>
        </row>
        <row r="8510">
          <cell r="A8510">
            <v>0</v>
          </cell>
          <cell r="B8510">
            <v>0</v>
          </cell>
        </row>
        <row r="8511">
          <cell r="A8511">
            <v>0</v>
          </cell>
          <cell r="B8511">
            <v>0</v>
          </cell>
        </row>
        <row r="8512">
          <cell r="A8512">
            <v>0</v>
          </cell>
          <cell r="B8512">
            <v>0</v>
          </cell>
        </row>
        <row r="8513">
          <cell r="A8513">
            <v>0</v>
          </cell>
          <cell r="B8513">
            <v>0</v>
          </cell>
        </row>
        <row r="8514">
          <cell r="A8514">
            <v>0</v>
          </cell>
          <cell r="B8514">
            <v>0</v>
          </cell>
        </row>
        <row r="8515">
          <cell r="A8515">
            <v>0</v>
          </cell>
          <cell r="B8515">
            <v>0</v>
          </cell>
        </row>
        <row r="8516">
          <cell r="A8516">
            <v>0</v>
          </cell>
          <cell r="B8516">
            <v>0</v>
          </cell>
        </row>
        <row r="8517">
          <cell r="A8517">
            <v>0</v>
          </cell>
          <cell r="B8517">
            <v>0</v>
          </cell>
        </row>
        <row r="8518">
          <cell r="A8518">
            <v>0</v>
          </cell>
          <cell r="B8518">
            <v>0</v>
          </cell>
        </row>
        <row r="8519">
          <cell r="A8519">
            <v>0</v>
          </cell>
          <cell r="B8519">
            <v>0</v>
          </cell>
        </row>
        <row r="8520">
          <cell r="A8520">
            <v>0</v>
          </cell>
          <cell r="B8520">
            <v>0</v>
          </cell>
        </row>
        <row r="8521">
          <cell r="A8521">
            <v>0</v>
          </cell>
          <cell r="B8521">
            <v>0</v>
          </cell>
        </row>
        <row r="8522">
          <cell r="A8522">
            <v>0</v>
          </cell>
          <cell r="B8522">
            <v>0</v>
          </cell>
        </row>
        <row r="8523">
          <cell r="A8523">
            <v>0</v>
          </cell>
          <cell r="B8523">
            <v>0</v>
          </cell>
        </row>
        <row r="8524">
          <cell r="A8524">
            <v>0</v>
          </cell>
          <cell r="B8524">
            <v>0</v>
          </cell>
        </row>
        <row r="8525">
          <cell r="A8525">
            <v>0</v>
          </cell>
          <cell r="B8525">
            <v>0</v>
          </cell>
        </row>
        <row r="8526">
          <cell r="A8526">
            <v>0</v>
          </cell>
          <cell r="B8526">
            <v>0</v>
          </cell>
        </row>
        <row r="8527">
          <cell r="A8527">
            <v>0</v>
          </cell>
          <cell r="B8527">
            <v>0</v>
          </cell>
        </row>
        <row r="8528">
          <cell r="A8528">
            <v>0</v>
          </cell>
          <cell r="B8528">
            <v>0</v>
          </cell>
        </row>
        <row r="8529">
          <cell r="A8529">
            <v>0</v>
          </cell>
          <cell r="B8529">
            <v>0</v>
          </cell>
        </row>
        <row r="8530">
          <cell r="A8530">
            <v>0</v>
          </cell>
          <cell r="B8530">
            <v>0</v>
          </cell>
        </row>
        <row r="8531">
          <cell r="A8531">
            <v>0</v>
          </cell>
          <cell r="B8531">
            <v>0</v>
          </cell>
        </row>
        <row r="8532">
          <cell r="A8532">
            <v>0</v>
          </cell>
          <cell r="B8532">
            <v>0</v>
          </cell>
        </row>
        <row r="8533">
          <cell r="A8533">
            <v>0</v>
          </cell>
          <cell r="B8533">
            <v>0</v>
          </cell>
        </row>
        <row r="8534">
          <cell r="A8534">
            <v>0</v>
          </cell>
          <cell r="B8534">
            <v>0</v>
          </cell>
        </row>
        <row r="8535">
          <cell r="A8535">
            <v>0</v>
          </cell>
          <cell r="B8535">
            <v>0</v>
          </cell>
        </row>
        <row r="8536">
          <cell r="A8536">
            <v>0</v>
          </cell>
          <cell r="B8536">
            <v>0</v>
          </cell>
        </row>
        <row r="8537">
          <cell r="A8537">
            <v>0</v>
          </cell>
          <cell r="B8537">
            <v>0</v>
          </cell>
        </row>
        <row r="8538">
          <cell r="A8538">
            <v>0</v>
          </cell>
          <cell r="B8538">
            <v>0</v>
          </cell>
        </row>
        <row r="8539">
          <cell r="A8539">
            <v>0</v>
          </cell>
          <cell r="B8539">
            <v>0</v>
          </cell>
        </row>
        <row r="8540">
          <cell r="A8540">
            <v>0</v>
          </cell>
          <cell r="B8540">
            <v>0</v>
          </cell>
        </row>
        <row r="8541">
          <cell r="A8541">
            <v>0</v>
          </cell>
          <cell r="B8541">
            <v>0</v>
          </cell>
        </row>
        <row r="8542">
          <cell r="A8542">
            <v>0</v>
          </cell>
          <cell r="B8542">
            <v>0</v>
          </cell>
        </row>
        <row r="8543">
          <cell r="A8543">
            <v>0</v>
          </cell>
          <cell r="B8543">
            <v>0</v>
          </cell>
        </row>
        <row r="8544">
          <cell r="A8544">
            <v>0</v>
          </cell>
          <cell r="B8544">
            <v>0</v>
          </cell>
        </row>
        <row r="8545">
          <cell r="A8545">
            <v>0</v>
          </cell>
          <cell r="B8545">
            <v>0</v>
          </cell>
        </row>
        <row r="8546">
          <cell r="A8546">
            <v>0</v>
          </cell>
          <cell r="B8546">
            <v>0</v>
          </cell>
        </row>
        <row r="8547">
          <cell r="A8547">
            <v>0</v>
          </cell>
          <cell r="B8547">
            <v>0</v>
          </cell>
        </row>
        <row r="8548">
          <cell r="A8548">
            <v>0</v>
          </cell>
          <cell r="B8548">
            <v>0</v>
          </cell>
        </row>
        <row r="8549">
          <cell r="A8549">
            <v>0</v>
          </cell>
          <cell r="B8549">
            <v>0</v>
          </cell>
        </row>
        <row r="8550">
          <cell r="A8550">
            <v>0</v>
          </cell>
          <cell r="B8550">
            <v>0</v>
          </cell>
        </row>
        <row r="8551">
          <cell r="A8551">
            <v>0</v>
          </cell>
          <cell r="B8551">
            <v>0</v>
          </cell>
        </row>
        <row r="8552">
          <cell r="A8552">
            <v>0</v>
          </cell>
          <cell r="B8552">
            <v>0</v>
          </cell>
        </row>
        <row r="8553">
          <cell r="A8553">
            <v>0</v>
          </cell>
          <cell r="B8553">
            <v>0</v>
          </cell>
        </row>
        <row r="8554">
          <cell r="A8554">
            <v>0</v>
          </cell>
          <cell r="B8554">
            <v>0</v>
          </cell>
        </row>
        <row r="8555">
          <cell r="A8555">
            <v>0</v>
          </cell>
          <cell r="B8555">
            <v>0</v>
          </cell>
        </row>
        <row r="8556">
          <cell r="A8556">
            <v>0</v>
          </cell>
          <cell r="B8556">
            <v>0</v>
          </cell>
        </row>
        <row r="8557">
          <cell r="A8557">
            <v>0</v>
          </cell>
          <cell r="B8557">
            <v>0</v>
          </cell>
        </row>
        <row r="8558">
          <cell r="A8558">
            <v>0</v>
          </cell>
          <cell r="B8558">
            <v>0</v>
          </cell>
        </row>
        <row r="8559">
          <cell r="A8559">
            <v>0</v>
          </cell>
          <cell r="B8559">
            <v>0</v>
          </cell>
        </row>
        <row r="8560">
          <cell r="A8560">
            <v>0</v>
          </cell>
          <cell r="B8560">
            <v>0</v>
          </cell>
        </row>
        <row r="8561">
          <cell r="A8561">
            <v>0</v>
          </cell>
          <cell r="B8561">
            <v>0</v>
          </cell>
        </row>
        <row r="8562">
          <cell r="A8562">
            <v>0</v>
          </cell>
          <cell r="B8562">
            <v>0</v>
          </cell>
        </row>
        <row r="8563">
          <cell r="A8563">
            <v>0</v>
          </cell>
          <cell r="B8563">
            <v>0</v>
          </cell>
        </row>
        <row r="8564">
          <cell r="A8564">
            <v>0</v>
          </cell>
          <cell r="B8564">
            <v>0</v>
          </cell>
        </row>
        <row r="8565">
          <cell r="A8565">
            <v>0</v>
          </cell>
          <cell r="B8565">
            <v>0</v>
          </cell>
        </row>
        <row r="8566">
          <cell r="A8566">
            <v>0</v>
          </cell>
          <cell r="B8566">
            <v>0</v>
          </cell>
        </row>
        <row r="8567">
          <cell r="A8567">
            <v>0</v>
          </cell>
          <cell r="B8567">
            <v>0</v>
          </cell>
        </row>
        <row r="8568">
          <cell r="A8568">
            <v>0</v>
          </cell>
          <cell r="B8568">
            <v>0</v>
          </cell>
        </row>
        <row r="8569">
          <cell r="A8569">
            <v>0</v>
          </cell>
          <cell r="B8569">
            <v>0</v>
          </cell>
        </row>
        <row r="8570">
          <cell r="A8570">
            <v>0</v>
          </cell>
          <cell r="B8570">
            <v>0</v>
          </cell>
        </row>
        <row r="8571">
          <cell r="A8571">
            <v>0</v>
          </cell>
          <cell r="B8571">
            <v>0</v>
          </cell>
        </row>
        <row r="8572">
          <cell r="A8572">
            <v>0</v>
          </cell>
          <cell r="B8572">
            <v>0</v>
          </cell>
        </row>
        <row r="8573">
          <cell r="A8573">
            <v>0</v>
          </cell>
          <cell r="B8573">
            <v>0</v>
          </cell>
        </row>
        <row r="8574">
          <cell r="A8574">
            <v>0</v>
          </cell>
          <cell r="B8574">
            <v>0</v>
          </cell>
        </row>
        <row r="8575">
          <cell r="A8575">
            <v>0</v>
          </cell>
          <cell r="B8575">
            <v>0</v>
          </cell>
        </row>
        <row r="8576">
          <cell r="A8576">
            <v>0</v>
          </cell>
          <cell r="B8576">
            <v>0</v>
          </cell>
        </row>
        <row r="8577">
          <cell r="A8577">
            <v>0</v>
          </cell>
          <cell r="B8577">
            <v>0</v>
          </cell>
        </row>
        <row r="8578">
          <cell r="A8578">
            <v>0</v>
          </cell>
          <cell r="B8578">
            <v>0</v>
          </cell>
        </row>
        <row r="8579">
          <cell r="A8579">
            <v>0</v>
          </cell>
          <cell r="B8579">
            <v>0</v>
          </cell>
        </row>
        <row r="8580">
          <cell r="A8580">
            <v>0</v>
          </cell>
          <cell r="B8580">
            <v>0</v>
          </cell>
        </row>
        <row r="8581">
          <cell r="A8581">
            <v>0</v>
          </cell>
          <cell r="B8581">
            <v>0</v>
          </cell>
        </row>
        <row r="8582">
          <cell r="A8582">
            <v>0</v>
          </cell>
          <cell r="B8582">
            <v>0</v>
          </cell>
        </row>
        <row r="8583">
          <cell r="A8583">
            <v>0</v>
          </cell>
          <cell r="B8583">
            <v>0</v>
          </cell>
        </row>
        <row r="8584">
          <cell r="A8584">
            <v>0</v>
          </cell>
          <cell r="B8584">
            <v>0</v>
          </cell>
        </row>
        <row r="8585">
          <cell r="A8585">
            <v>0</v>
          </cell>
          <cell r="B8585">
            <v>0</v>
          </cell>
        </row>
        <row r="8586">
          <cell r="A8586">
            <v>0</v>
          </cell>
          <cell r="B8586">
            <v>0</v>
          </cell>
        </row>
        <row r="8587">
          <cell r="A8587">
            <v>0</v>
          </cell>
          <cell r="B8587">
            <v>0</v>
          </cell>
        </row>
        <row r="8588">
          <cell r="A8588">
            <v>0</v>
          </cell>
          <cell r="B8588">
            <v>0</v>
          </cell>
        </row>
        <row r="8589">
          <cell r="A8589">
            <v>0</v>
          </cell>
          <cell r="B8589">
            <v>0</v>
          </cell>
        </row>
        <row r="8590">
          <cell r="A8590">
            <v>0</v>
          </cell>
          <cell r="B8590">
            <v>0</v>
          </cell>
        </row>
        <row r="8591">
          <cell r="A8591">
            <v>0</v>
          </cell>
          <cell r="B8591">
            <v>0</v>
          </cell>
        </row>
        <row r="8592">
          <cell r="A8592">
            <v>0</v>
          </cell>
          <cell r="B8592">
            <v>0</v>
          </cell>
        </row>
        <row r="8593">
          <cell r="A8593">
            <v>0</v>
          </cell>
          <cell r="B8593">
            <v>0</v>
          </cell>
        </row>
        <row r="8594">
          <cell r="A8594">
            <v>0</v>
          </cell>
          <cell r="B8594">
            <v>0</v>
          </cell>
        </row>
        <row r="8595">
          <cell r="A8595">
            <v>0</v>
          </cell>
          <cell r="B8595">
            <v>0</v>
          </cell>
        </row>
        <row r="8596">
          <cell r="A8596">
            <v>0</v>
          </cell>
          <cell r="B8596">
            <v>0</v>
          </cell>
        </row>
        <row r="8597">
          <cell r="A8597">
            <v>0</v>
          </cell>
          <cell r="B8597">
            <v>0</v>
          </cell>
        </row>
        <row r="8598">
          <cell r="A8598">
            <v>0</v>
          </cell>
          <cell r="B8598">
            <v>0</v>
          </cell>
        </row>
        <row r="8599">
          <cell r="A8599">
            <v>0</v>
          </cell>
          <cell r="B8599">
            <v>0</v>
          </cell>
        </row>
        <row r="8600">
          <cell r="A8600">
            <v>0</v>
          </cell>
          <cell r="B8600">
            <v>0</v>
          </cell>
        </row>
        <row r="8601">
          <cell r="A8601">
            <v>0</v>
          </cell>
          <cell r="B8601">
            <v>0</v>
          </cell>
        </row>
        <row r="8602">
          <cell r="A8602">
            <v>0</v>
          </cell>
          <cell r="B8602">
            <v>0</v>
          </cell>
        </row>
        <row r="8603">
          <cell r="A8603">
            <v>0</v>
          </cell>
          <cell r="B8603">
            <v>0</v>
          </cell>
        </row>
        <row r="8604">
          <cell r="A8604">
            <v>0</v>
          </cell>
          <cell r="B8604">
            <v>0</v>
          </cell>
        </row>
        <row r="8605">
          <cell r="A8605">
            <v>0</v>
          </cell>
          <cell r="B8605">
            <v>0</v>
          </cell>
        </row>
        <row r="8606">
          <cell r="A8606">
            <v>0</v>
          </cell>
          <cell r="B8606">
            <v>0</v>
          </cell>
        </row>
        <row r="8607">
          <cell r="A8607">
            <v>0</v>
          </cell>
          <cell r="B8607">
            <v>0</v>
          </cell>
        </row>
        <row r="8608">
          <cell r="A8608">
            <v>0</v>
          </cell>
          <cell r="B8608">
            <v>0</v>
          </cell>
        </row>
        <row r="8609">
          <cell r="A8609">
            <v>0</v>
          </cell>
          <cell r="B8609">
            <v>0</v>
          </cell>
        </row>
        <row r="8610">
          <cell r="A8610">
            <v>0</v>
          </cell>
          <cell r="B8610">
            <v>0</v>
          </cell>
        </row>
        <row r="8611">
          <cell r="A8611">
            <v>0</v>
          </cell>
          <cell r="B8611">
            <v>0</v>
          </cell>
        </row>
        <row r="8612">
          <cell r="A8612">
            <v>0</v>
          </cell>
          <cell r="B8612">
            <v>0</v>
          </cell>
        </row>
        <row r="8613">
          <cell r="A8613">
            <v>0</v>
          </cell>
          <cell r="B8613">
            <v>0</v>
          </cell>
        </row>
        <row r="8614">
          <cell r="A8614">
            <v>0</v>
          </cell>
          <cell r="B8614">
            <v>0</v>
          </cell>
        </row>
        <row r="8615">
          <cell r="A8615">
            <v>0</v>
          </cell>
          <cell r="B8615">
            <v>0</v>
          </cell>
        </row>
        <row r="8616">
          <cell r="A8616">
            <v>0</v>
          </cell>
          <cell r="B8616">
            <v>0</v>
          </cell>
        </row>
        <row r="8617">
          <cell r="A8617">
            <v>0</v>
          </cell>
          <cell r="B8617">
            <v>0</v>
          </cell>
        </row>
        <row r="8618">
          <cell r="A8618">
            <v>0</v>
          </cell>
          <cell r="B8618">
            <v>0</v>
          </cell>
        </row>
        <row r="8619">
          <cell r="A8619">
            <v>0</v>
          </cell>
          <cell r="B8619">
            <v>0</v>
          </cell>
        </row>
        <row r="8620">
          <cell r="A8620">
            <v>0</v>
          </cell>
          <cell r="B8620">
            <v>0</v>
          </cell>
        </row>
        <row r="8621">
          <cell r="A8621">
            <v>0</v>
          </cell>
          <cell r="B8621">
            <v>0</v>
          </cell>
        </row>
        <row r="8622">
          <cell r="A8622">
            <v>0</v>
          </cell>
          <cell r="B8622">
            <v>0</v>
          </cell>
        </row>
        <row r="8623">
          <cell r="A8623">
            <v>0</v>
          </cell>
          <cell r="B8623">
            <v>0</v>
          </cell>
        </row>
        <row r="8624">
          <cell r="A8624">
            <v>0</v>
          </cell>
          <cell r="B8624">
            <v>0</v>
          </cell>
        </row>
        <row r="8625">
          <cell r="A8625">
            <v>0</v>
          </cell>
          <cell r="B8625">
            <v>0</v>
          </cell>
        </row>
        <row r="8626">
          <cell r="A8626">
            <v>0</v>
          </cell>
          <cell r="B8626">
            <v>0</v>
          </cell>
        </row>
        <row r="8627">
          <cell r="A8627">
            <v>0</v>
          </cell>
          <cell r="B8627">
            <v>0</v>
          </cell>
        </row>
        <row r="8628">
          <cell r="A8628">
            <v>0</v>
          </cell>
          <cell r="B8628">
            <v>0</v>
          </cell>
        </row>
        <row r="8629">
          <cell r="A8629">
            <v>0</v>
          </cell>
          <cell r="B8629">
            <v>0</v>
          </cell>
        </row>
        <row r="8630">
          <cell r="A8630">
            <v>0</v>
          </cell>
          <cell r="B8630">
            <v>0</v>
          </cell>
        </row>
        <row r="8631">
          <cell r="A8631">
            <v>0</v>
          </cell>
          <cell r="B8631">
            <v>0</v>
          </cell>
        </row>
        <row r="8632">
          <cell r="A8632">
            <v>0</v>
          </cell>
          <cell r="B8632">
            <v>0</v>
          </cell>
        </row>
        <row r="8633">
          <cell r="A8633">
            <v>0</v>
          </cell>
          <cell r="B8633">
            <v>0</v>
          </cell>
        </row>
        <row r="8634">
          <cell r="A8634">
            <v>0</v>
          </cell>
          <cell r="B8634">
            <v>0</v>
          </cell>
        </row>
        <row r="8635">
          <cell r="A8635">
            <v>0</v>
          </cell>
          <cell r="B8635">
            <v>0</v>
          </cell>
        </row>
        <row r="8636">
          <cell r="A8636">
            <v>0</v>
          </cell>
          <cell r="B8636">
            <v>0</v>
          </cell>
        </row>
        <row r="8637">
          <cell r="A8637">
            <v>0</v>
          </cell>
          <cell r="B8637">
            <v>0</v>
          </cell>
        </row>
        <row r="8638">
          <cell r="A8638">
            <v>0</v>
          </cell>
          <cell r="B8638">
            <v>0</v>
          </cell>
        </row>
        <row r="8639">
          <cell r="A8639">
            <v>0</v>
          </cell>
          <cell r="B8639">
            <v>0</v>
          </cell>
        </row>
        <row r="8640">
          <cell r="A8640">
            <v>0</v>
          </cell>
          <cell r="B8640">
            <v>0</v>
          </cell>
        </row>
        <row r="8641">
          <cell r="A8641">
            <v>0</v>
          </cell>
          <cell r="B8641">
            <v>0</v>
          </cell>
        </row>
        <row r="8642">
          <cell r="A8642">
            <v>0</v>
          </cell>
          <cell r="B8642">
            <v>0</v>
          </cell>
        </row>
        <row r="8643">
          <cell r="A8643">
            <v>0</v>
          </cell>
          <cell r="B8643">
            <v>0</v>
          </cell>
        </row>
        <row r="8644">
          <cell r="A8644">
            <v>0</v>
          </cell>
          <cell r="B8644">
            <v>0</v>
          </cell>
        </row>
        <row r="8645">
          <cell r="A8645">
            <v>0</v>
          </cell>
          <cell r="B8645">
            <v>0</v>
          </cell>
        </row>
        <row r="8646">
          <cell r="A8646">
            <v>0</v>
          </cell>
          <cell r="B8646">
            <v>0</v>
          </cell>
        </row>
        <row r="8647">
          <cell r="A8647">
            <v>0</v>
          </cell>
          <cell r="B8647">
            <v>0</v>
          </cell>
        </row>
        <row r="8648">
          <cell r="A8648">
            <v>0</v>
          </cell>
          <cell r="B8648">
            <v>0</v>
          </cell>
        </row>
        <row r="8649">
          <cell r="A8649">
            <v>0</v>
          </cell>
          <cell r="B8649">
            <v>0</v>
          </cell>
        </row>
        <row r="8650">
          <cell r="A8650">
            <v>0</v>
          </cell>
          <cell r="B8650">
            <v>0</v>
          </cell>
        </row>
        <row r="8651">
          <cell r="A8651">
            <v>0</v>
          </cell>
          <cell r="B8651">
            <v>0</v>
          </cell>
        </row>
        <row r="8652">
          <cell r="A8652">
            <v>0</v>
          </cell>
          <cell r="B8652">
            <v>0</v>
          </cell>
        </row>
        <row r="8653">
          <cell r="A8653">
            <v>0</v>
          </cell>
          <cell r="B8653">
            <v>0</v>
          </cell>
        </row>
        <row r="8654">
          <cell r="A8654">
            <v>0</v>
          </cell>
          <cell r="B8654">
            <v>0</v>
          </cell>
        </row>
        <row r="8655">
          <cell r="A8655">
            <v>0</v>
          </cell>
          <cell r="B8655">
            <v>0</v>
          </cell>
        </row>
        <row r="8656">
          <cell r="A8656">
            <v>0</v>
          </cell>
          <cell r="B8656">
            <v>0</v>
          </cell>
        </row>
        <row r="8657">
          <cell r="A8657">
            <v>0</v>
          </cell>
          <cell r="B8657">
            <v>0</v>
          </cell>
        </row>
        <row r="8658">
          <cell r="A8658">
            <v>0</v>
          </cell>
          <cell r="B8658">
            <v>0</v>
          </cell>
        </row>
        <row r="8659">
          <cell r="A8659">
            <v>0</v>
          </cell>
          <cell r="B8659">
            <v>0</v>
          </cell>
        </row>
        <row r="8660">
          <cell r="A8660">
            <v>0</v>
          </cell>
          <cell r="B8660">
            <v>0</v>
          </cell>
        </row>
        <row r="8661">
          <cell r="A8661">
            <v>0</v>
          </cell>
          <cell r="B8661">
            <v>0</v>
          </cell>
        </row>
        <row r="8662">
          <cell r="A8662">
            <v>0</v>
          </cell>
          <cell r="B8662">
            <v>0</v>
          </cell>
        </row>
        <row r="8663">
          <cell r="A8663">
            <v>0</v>
          </cell>
          <cell r="B8663">
            <v>0</v>
          </cell>
        </row>
        <row r="8664">
          <cell r="A8664">
            <v>0</v>
          </cell>
          <cell r="B8664">
            <v>0</v>
          </cell>
        </row>
        <row r="8665">
          <cell r="A8665">
            <v>0</v>
          </cell>
          <cell r="B8665">
            <v>0</v>
          </cell>
        </row>
        <row r="8666">
          <cell r="A8666">
            <v>0</v>
          </cell>
          <cell r="B8666">
            <v>0</v>
          </cell>
        </row>
        <row r="8667">
          <cell r="A8667">
            <v>0</v>
          </cell>
          <cell r="B8667">
            <v>0</v>
          </cell>
        </row>
        <row r="8668">
          <cell r="A8668">
            <v>0</v>
          </cell>
          <cell r="B8668">
            <v>0</v>
          </cell>
        </row>
        <row r="8669">
          <cell r="A8669">
            <v>0</v>
          </cell>
          <cell r="B8669">
            <v>0</v>
          </cell>
        </row>
        <row r="8670">
          <cell r="A8670">
            <v>0</v>
          </cell>
          <cell r="B8670">
            <v>0</v>
          </cell>
        </row>
        <row r="8671">
          <cell r="A8671">
            <v>0</v>
          </cell>
          <cell r="B8671">
            <v>0</v>
          </cell>
        </row>
        <row r="8672">
          <cell r="A8672">
            <v>0</v>
          </cell>
          <cell r="B8672">
            <v>0</v>
          </cell>
        </row>
        <row r="8673">
          <cell r="A8673">
            <v>0</v>
          </cell>
          <cell r="B8673">
            <v>0</v>
          </cell>
        </row>
        <row r="8674">
          <cell r="A8674">
            <v>0</v>
          </cell>
          <cell r="B8674">
            <v>0</v>
          </cell>
        </row>
        <row r="8675">
          <cell r="A8675">
            <v>0</v>
          </cell>
          <cell r="B8675">
            <v>0</v>
          </cell>
        </row>
        <row r="8676">
          <cell r="A8676">
            <v>0</v>
          </cell>
          <cell r="B8676">
            <v>0</v>
          </cell>
        </row>
        <row r="8677">
          <cell r="A8677">
            <v>0</v>
          </cell>
          <cell r="B8677">
            <v>0</v>
          </cell>
        </row>
        <row r="8678">
          <cell r="A8678">
            <v>0</v>
          </cell>
          <cell r="B8678">
            <v>0</v>
          </cell>
        </row>
        <row r="8679">
          <cell r="A8679">
            <v>0</v>
          </cell>
          <cell r="B8679">
            <v>0</v>
          </cell>
        </row>
        <row r="8680">
          <cell r="A8680">
            <v>0</v>
          </cell>
          <cell r="B8680">
            <v>0</v>
          </cell>
        </row>
        <row r="8681">
          <cell r="A8681">
            <v>0</v>
          </cell>
          <cell r="B8681">
            <v>0</v>
          </cell>
        </row>
        <row r="8682">
          <cell r="A8682">
            <v>0</v>
          </cell>
          <cell r="B8682">
            <v>0</v>
          </cell>
        </row>
        <row r="8683">
          <cell r="A8683">
            <v>0</v>
          </cell>
          <cell r="B8683">
            <v>0</v>
          </cell>
        </row>
        <row r="8684">
          <cell r="A8684">
            <v>0</v>
          </cell>
          <cell r="B8684">
            <v>0</v>
          </cell>
        </row>
        <row r="8685">
          <cell r="A8685">
            <v>0</v>
          </cell>
          <cell r="B8685">
            <v>0</v>
          </cell>
        </row>
        <row r="8686">
          <cell r="A8686">
            <v>0</v>
          </cell>
          <cell r="B8686">
            <v>0</v>
          </cell>
        </row>
        <row r="8687">
          <cell r="A8687">
            <v>0</v>
          </cell>
          <cell r="B8687">
            <v>0</v>
          </cell>
        </row>
        <row r="8688">
          <cell r="A8688">
            <v>0</v>
          </cell>
          <cell r="B8688">
            <v>0</v>
          </cell>
        </row>
        <row r="8689">
          <cell r="A8689">
            <v>0</v>
          </cell>
          <cell r="B8689">
            <v>0</v>
          </cell>
        </row>
        <row r="8690">
          <cell r="A8690">
            <v>0</v>
          </cell>
          <cell r="B8690">
            <v>0</v>
          </cell>
        </row>
        <row r="8691">
          <cell r="A8691">
            <v>0</v>
          </cell>
          <cell r="B8691">
            <v>0</v>
          </cell>
        </row>
        <row r="8692">
          <cell r="A8692">
            <v>0</v>
          </cell>
          <cell r="B8692">
            <v>0</v>
          </cell>
        </row>
        <row r="8693">
          <cell r="A8693">
            <v>0</v>
          </cell>
          <cell r="B8693">
            <v>0</v>
          </cell>
        </row>
        <row r="8694">
          <cell r="A8694">
            <v>0</v>
          </cell>
          <cell r="B8694">
            <v>0</v>
          </cell>
        </row>
        <row r="8695">
          <cell r="A8695">
            <v>0</v>
          </cell>
          <cell r="B8695">
            <v>0</v>
          </cell>
        </row>
        <row r="8696">
          <cell r="A8696">
            <v>0</v>
          </cell>
          <cell r="B8696">
            <v>0</v>
          </cell>
        </row>
        <row r="8697">
          <cell r="A8697">
            <v>0</v>
          </cell>
          <cell r="B8697">
            <v>0</v>
          </cell>
        </row>
        <row r="8698">
          <cell r="A8698">
            <v>0</v>
          </cell>
          <cell r="B8698">
            <v>0</v>
          </cell>
        </row>
        <row r="8699">
          <cell r="A8699">
            <v>0</v>
          </cell>
          <cell r="B8699">
            <v>0</v>
          </cell>
        </row>
        <row r="8700">
          <cell r="A8700">
            <v>0</v>
          </cell>
          <cell r="B8700">
            <v>0</v>
          </cell>
        </row>
        <row r="8701">
          <cell r="A8701">
            <v>0</v>
          </cell>
          <cell r="B8701">
            <v>0</v>
          </cell>
        </row>
        <row r="8702">
          <cell r="A8702">
            <v>0</v>
          </cell>
          <cell r="B8702">
            <v>0</v>
          </cell>
        </row>
        <row r="8703">
          <cell r="A8703">
            <v>0</v>
          </cell>
          <cell r="B8703">
            <v>0</v>
          </cell>
        </row>
        <row r="8704">
          <cell r="A8704">
            <v>0</v>
          </cell>
          <cell r="B8704">
            <v>0</v>
          </cell>
        </row>
        <row r="8705">
          <cell r="A8705">
            <v>0</v>
          </cell>
          <cell r="B8705">
            <v>0</v>
          </cell>
        </row>
        <row r="8706">
          <cell r="A8706">
            <v>0</v>
          </cell>
          <cell r="B8706">
            <v>0</v>
          </cell>
        </row>
        <row r="8707">
          <cell r="A8707">
            <v>0</v>
          </cell>
          <cell r="B8707">
            <v>0</v>
          </cell>
        </row>
        <row r="8708">
          <cell r="A8708">
            <v>0</v>
          </cell>
          <cell r="B8708">
            <v>0</v>
          </cell>
        </row>
        <row r="8709">
          <cell r="A8709">
            <v>0</v>
          </cell>
          <cell r="B8709">
            <v>0</v>
          </cell>
        </row>
        <row r="8710">
          <cell r="A8710">
            <v>0</v>
          </cell>
          <cell r="B8710">
            <v>0</v>
          </cell>
        </row>
        <row r="8711">
          <cell r="A8711">
            <v>0</v>
          </cell>
          <cell r="B8711">
            <v>0</v>
          </cell>
        </row>
        <row r="8712">
          <cell r="A8712">
            <v>0</v>
          </cell>
          <cell r="B8712">
            <v>0</v>
          </cell>
        </row>
        <row r="8713">
          <cell r="A8713">
            <v>0</v>
          </cell>
          <cell r="B8713">
            <v>0</v>
          </cell>
        </row>
        <row r="8714">
          <cell r="A8714">
            <v>0</v>
          </cell>
          <cell r="B8714">
            <v>0</v>
          </cell>
        </row>
        <row r="8715">
          <cell r="A8715">
            <v>0</v>
          </cell>
          <cell r="B8715">
            <v>0</v>
          </cell>
        </row>
        <row r="8716">
          <cell r="A8716">
            <v>0</v>
          </cell>
          <cell r="B8716">
            <v>0</v>
          </cell>
        </row>
        <row r="8717">
          <cell r="A8717">
            <v>0</v>
          </cell>
          <cell r="B8717">
            <v>0</v>
          </cell>
        </row>
        <row r="8718">
          <cell r="A8718">
            <v>0</v>
          </cell>
          <cell r="B8718">
            <v>0</v>
          </cell>
        </row>
        <row r="8719">
          <cell r="A8719">
            <v>0</v>
          </cell>
          <cell r="B8719">
            <v>0</v>
          </cell>
        </row>
        <row r="8720">
          <cell r="A8720">
            <v>0</v>
          </cell>
          <cell r="B8720">
            <v>0</v>
          </cell>
        </row>
        <row r="8721">
          <cell r="A8721">
            <v>0</v>
          </cell>
          <cell r="B8721">
            <v>0</v>
          </cell>
        </row>
        <row r="8722">
          <cell r="A8722">
            <v>0</v>
          </cell>
          <cell r="B8722">
            <v>0</v>
          </cell>
        </row>
        <row r="8723">
          <cell r="A8723">
            <v>0</v>
          </cell>
          <cell r="B8723">
            <v>0</v>
          </cell>
        </row>
        <row r="8724">
          <cell r="A8724">
            <v>0</v>
          </cell>
          <cell r="B8724">
            <v>0</v>
          </cell>
        </row>
        <row r="8725">
          <cell r="A8725">
            <v>0</v>
          </cell>
          <cell r="B8725">
            <v>0</v>
          </cell>
        </row>
        <row r="8726">
          <cell r="A8726">
            <v>0</v>
          </cell>
          <cell r="B8726">
            <v>0</v>
          </cell>
        </row>
        <row r="8727">
          <cell r="A8727">
            <v>0</v>
          </cell>
          <cell r="B8727">
            <v>0</v>
          </cell>
        </row>
        <row r="8728">
          <cell r="A8728">
            <v>0</v>
          </cell>
          <cell r="B8728">
            <v>0</v>
          </cell>
        </row>
        <row r="8729">
          <cell r="A8729">
            <v>0</v>
          </cell>
          <cell r="B8729">
            <v>0</v>
          </cell>
        </row>
        <row r="8730">
          <cell r="A8730">
            <v>0</v>
          </cell>
          <cell r="B8730">
            <v>0</v>
          </cell>
        </row>
        <row r="8731">
          <cell r="A8731">
            <v>0</v>
          </cell>
          <cell r="B8731">
            <v>0</v>
          </cell>
        </row>
        <row r="8732">
          <cell r="A8732">
            <v>0</v>
          </cell>
          <cell r="B8732">
            <v>0</v>
          </cell>
        </row>
        <row r="8733">
          <cell r="A8733">
            <v>0</v>
          </cell>
          <cell r="B8733">
            <v>0</v>
          </cell>
        </row>
        <row r="8734">
          <cell r="A8734">
            <v>0</v>
          </cell>
          <cell r="B8734">
            <v>0</v>
          </cell>
        </row>
        <row r="8735">
          <cell r="A8735">
            <v>0</v>
          </cell>
          <cell r="B8735">
            <v>0</v>
          </cell>
        </row>
        <row r="8736">
          <cell r="A8736">
            <v>0</v>
          </cell>
          <cell r="B8736">
            <v>0</v>
          </cell>
        </row>
        <row r="8737">
          <cell r="A8737">
            <v>0</v>
          </cell>
          <cell r="B8737">
            <v>0</v>
          </cell>
        </row>
        <row r="8738">
          <cell r="A8738">
            <v>0</v>
          </cell>
          <cell r="B8738">
            <v>0</v>
          </cell>
        </row>
        <row r="8739">
          <cell r="A8739">
            <v>0</v>
          </cell>
          <cell r="B8739">
            <v>0</v>
          </cell>
        </row>
        <row r="8740">
          <cell r="A8740">
            <v>0</v>
          </cell>
          <cell r="B8740">
            <v>0</v>
          </cell>
        </row>
        <row r="8741">
          <cell r="A8741">
            <v>0</v>
          </cell>
          <cell r="B8741">
            <v>0</v>
          </cell>
        </row>
        <row r="8742">
          <cell r="A8742">
            <v>0</v>
          </cell>
          <cell r="B8742">
            <v>0</v>
          </cell>
        </row>
        <row r="8743">
          <cell r="A8743">
            <v>0</v>
          </cell>
          <cell r="B8743">
            <v>0</v>
          </cell>
        </row>
        <row r="8744">
          <cell r="A8744">
            <v>0</v>
          </cell>
          <cell r="B8744">
            <v>0</v>
          </cell>
        </row>
        <row r="8745">
          <cell r="A8745">
            <v>0</v>
          </cell>
          <cell r="B8745">
            <v>0</v>
          </cell>
        </row>
        <row r="8746">
          <cell r="A8746">
            <v>0</v>
          </cell>
          <cell r="B8746">
            <v>0</v>
          </cell>
        </row>
        <row r="8747">
          <cell r="A8747">
            <v>0</v>
          </cell>
          <cell r="B8747">
            <v>0</v>
          </cell>
        </row>
        <row r="8748">
          <cell r="A8748">
            <v>0</v>
          </cell>
          <cell r="B8748">
            <v>0</v>
          </cell>
        </row>
        <row r="8749">
          <cell r="A8749">
            <v>0</v>
          </cell>
          <cell r="B8749">
            <v>0</v>
          </cell>
        </row>
        <row r="8750">
          <cell r="A8750">
            <v>0</v>
          </cell>
          <cell r="B8750">
            <v>0</v>
          </cell>
        </row>
        <row r="8751">
          <cell r="A8751">
            <v>0</v>
          </cell>
          <cell r="B8751">
            <v>0</v>
          </cell>
        </row>
        <row r="8752">
          <cell r="A8752">
            <v>0</v>
          </cell>
          <cell r="B8752">
            <v>0</v>
          </cell>
        </row>
        <row r="8753">
          <cell r="A8753">
            <v>0</v>
          </cell>
          <cell r="B8753">
            <v>0</v>
          </cell>
        </row>
        <row r="8754">
          <cell r="A8754">
            <v>0</v>
          </cell>
          <cell r="B8754">
            <v>0</v>
          </cell>
        </row>
        <row r="8755">
          <cell r="A8755">
            <v>0</v>
          </cell>
          <cell r="B8755">
            <v>0</v>
          </cell>
        </row>
        <row r="8756">
          <cell r="A8756">
            <v>0</v>
          </cell>
          <cell r="B8756">
            <v>0</v>
          </cell>
        </row>
        <row r="8757">
          <cell r="A8757">
            <v>0</v>
          </cell>
          <cell r="B8757">
            <v>0</v>
          </cell>
        </row>
        <row r="8758">
          <cell r="A8758">
            <v>0</v>
          </cell>
          <cell r="B8758">
            <v>0</v>
          </cell>
        </row>
        <row r="8759">
          <cell r="A8759">
            <v>0</v>
          </cell>
          <cell r="B8759">
            <v>0</v>
          </cell>
        </row>
        <row r="8760">
          <cell r="A8760">
            <v>0</v>
          </cell>
          <cell r="B8760">
            <v>0</v>
          </cell>
        </row>
        <row r="8761">
          <cell r="A8761">
            <v>0</v>
          </cell>
          <cell r="B8761">
            <v>0</v>
          </cell>
        </row>
        <row r="8762">
          <cell r="A8762">
            <v>0</v>
          </cell>
          <cell r="B8762">
            <v>0</v>
          </cell>
        </row>
        <row r="8763">
          <cell r="A8763">
            <v>0</v>
          </cell>
          <cell r="B8763">
            <v>0</v>
          </cell>
        </row>
        <row r="8764">
          <cell r="A8764">
            <v>0</v>
          </cell>
          <cell r="B8764">
            <v>0</v>
          </cell>
        </row>
        <row r="8765">
          <cell r="A8765">
            <v>0</v>
          </cell>
          <cell r="B8765">
            <v>0</v>
          </cell>
        </row>
        <row r="8766">
          <cell r="A8766">
            <v>0</v>
          </cell>
          <cell r="B8766">
            <v>0</v>
          </cell>
        </row>
        <row r="8767">
          <cell r="A8767">
            <v>0</v>
          </cell>
          <cell r="B8767">
            <v>0</v>
          </cell>
        </row>
        <row r="8768">
          <cell r="A8768">
            <v>0</v>
          </cell>
          <cell r="B8768">
            <v>0</v>
          </cell>
        </row>
        <row r="8769">
          <cell r="A8769">
            <v>0</v>
          </cell>
          <cell r="B8769">
            <v>0</v>
          </cell>
        </row>
        <row r="8770">
          <cell r="A8770">
            <v>0</v>
          </cell>
          <cell r="B8770">
            <v>0</v>
          </cell>
        </row>
        <row r="8771">
          <cell r="A8771">
            <v>0</v>
          </cell>
          <cell r="B8771">
            <v>0</v>
          </cell>
        </row>
        <row r="8772">
          <cell r="A8772">
            <v>0</v>
          </cell>
          <cell r="B8772">
            <v>0</v>
          </cell>
        </row>
        <row r="8773">
          <cell r="A8773">
            <v>0</v>
          </cell>
          <cell r="B8773">
            <v>0</v>
          </cell>
        </row>
        <row r="8774">
          <cell r="A8774">
            <v>0</v>
          </cell>
          <cell r="B8774">
            <v>0</v>
          </cell>
        </row>
        <row r="8775">
          <cell r="A8775">
            <v>0</v>
          </cell>
          <cell r="B8775">
            <v>0</v>
          </cell>
        </row>
        <row r="8776">
          <cell r="A8776">
            <v>0</v>
          </cell>
          <cell r="B8776">
            <v>0</v>
          </cell>
        </row>
        <row r="8777">
          <cell r="A8777">
            <v>0</v>
          </cell>
          <cell r="B8777">
            <v>0</v>
          </cell>
        </row>
        <row r="8778">
          <cell r="A8778">
            <v>0</v>
          </cell>
          <cell r="B8778">
            <v>0</v>
          </cell>
        </row>
        <row r="8779">
          <cell r="A8779">
            <v>0</v>
          </cell>
          <cell r="B8779">
            <v>0</v>
          </cell>
        </row>
        <row r="8780">
          <cell r="A8780">
            <v>0</v>
          </cell>
          <cell r="B8780">
            <v>0</v>
          </cell>
        </row>
        <row r="8781">
          <cell r="A8781">
            <v>0</v>
          </cell>
          <cell r="B8781">
            <v>0</v>
          </cell>
        </row>
        <row r="8782">
          <cell r="A8782">
            <v>0</v>
          </cell>
          <cell r="B8782">
            <v>0</v>
          </cell>
        </row>
        <row r="8783">
          <cell r="A8783">
            <v>0</v>
          </cell>
          <cell r="B8783">
            <v>0</v>
          </cell>
        </row>
        <row r="8784">
          <cell r="A8784">
            <v>0</v>
          </cell>
          <cell r="B8784">
            <v>0</v>
          </cell>
        </row>
        <row r="8785">
          <cell r="A8785">
            <v>0</v>
          </cell>
          <cell r="B8785">
            <v>0</v>
          </cell>
        </row>
        <row r="8786">
          <cell r="A8786">
            <v>0</v>
          </cell>
          <cell r="B8786">
            <v>0</v>
          </cell>
        </row>
        <row r="8787">
          <cell r="A8787">
            <v>0</v>
          </cell>
          <cell r="B8787">
            <v>0</v>
          </cell>
        </row>
        <row r="8788">
          <cell r="A8788">
            <v>0</v>
          </cell>
          <cell r="B8788">
            <v>0</v>
          </cell>
        </row>
        <row r="8789">
          <cell r="A8789">
            <v>0</v>
          </cell>
          <cell r="B8789">
            <v>0</v>
          </cell>
        </row>
        <row r="8790">
          <cell r="A8790">
            <v>0</v>
          </cell>
          <cell r="B8790">
            <v>0</v>
          </cell>
        </row>
        <row r="8791">
          <cell r="A8791">
            <v>0</v>
          </cell>
          <cell r="B8791">
            <v>0</v>
          </cell>
        </row>
        <row r="8792">
          <cell r="A8792">
            <v>0</v>
          </cell>
          <cell r="B8792">
            <v>0</v>
          </cell>
        </row>
        <row r="8793">
          <cell r="A8793">
            <v>0</v>
          </cell>
          <cell r="B8793">
            <v>0</v>
          </cell>
        </row>
        <row r="8794">
          <cell r="A8794">
            <v>0</v>
          </cell>
          <cell r="B8794">
            <v>0</v>
          </cell>
        </row>
        <row r="8795">
          <cell r="A8795">
            <v>0</v>
          </cell>
          <cell r="B8795">
            <v>0</v>
          </cell>
        </row>
        <row r="8796">
          <cell r="A8796">
            <v>0</v>
          </cell>
          <cell r="B8796">
            <v>0</v>
          </cell>
        </row>
        <row r="8797">
          <cell r="A8797">
            <v>0</v>
          </cell>
          <cell r="B8797">
            <v>0</v>
          </cell>
        </row>
        <row r="8798">
          <cell r="A8798">
            <v>0</v>
          </cell>
          <cell r="B8798">
            <v>0</v>
          </cell>
        </row>
        <row r="8799">
          <cell r="A8799">
            <v>0</v>
          </cell>
          <cell r="B8799">
            <v>0</v>
          </cell>
        </row>
        <row r="8800">
          <cell r="A8800">
            <v>0</v>
          </cell>
          <cell r="B8800">
            <v>0</v>
          </cell>
        </row>
        <row r="8801">
          <cell r="A8801">
            <v>0</v>
          </cell>
          <cell r="B8801">
            <v>0</v>
          </cell>
        </row>
        <row r="8802">
          <cell r="A8802">
            <v>0</v>
          </cell>
          <cell r="B8802">
            <v>0</v>
          </cell>
        </row>
        <row r="8803">
          <cell r="A8803">
            <v>0</v>
          </cell>
          <cell r="B8803">
            <v>0</v>
          </cell>
        </row>
        <row r="8804">
          <cell r="A8804">
            <v>0</v>
          </cell>
          <cell r="B8804">
            <v>0</v>
          </cell>
        </row>
        <row r="8805">
          <cell r="A8805">
            <v>0</v>
          </cell>
          <cell r="B8805">
            <v>0</v>
          </cell>
        </row>
        <row r="8806">
          <cell r="A8806">
            <v>0</v>
          </cell>
          <cell r="B8806">
            <v>0</v>
          </cell>
        </row>
        <row r="8807">
          <cell r="A8807">
            <v>0</v>
          </cell>
          <cell r="B8807">
            <v>0</v>
          </cell>
        </row>
        <row r="8808">
          <cell r="A8808">
            <v>0</v>
          </cell>
          <cell r="B8808">
            <v>0</v>
          </cell>
        </row>
        <row r="8809">
          <cell r="A8809">
            <v>0</v>
          </cell>
          <cell r="B8809">
            <v>0</v>
          </cell>
        </row>
        <row r="8810">
          <cell r="A8810">
            <v>0</v>
          </cell>
          <cell r="B8810">
            <v>0</v>
          </cell>
        </row>
        <row r="8811">
          <cell r="A8811">
            <v>0</v>
          </cell>
          <cell r="B8811">
            <v>0</v>
          </cell>
        </row>
        <row r="8812">
          <cell r="A8812">
            <v>0</v>
          </cell>
          <cell r="B8812">
            <v>0</v>
          </cell>
        </row>
        <row r="8813">
          <cell r="A8813">
            <v>0</v>
          </cell>
          <cell r="B8813">
            <v>0</v>
          </cell>
        </row>
        <row r="8814">
          <cell r="A8814">
            <v>0</v>
          </cell>
          <cell r="B8814">
            <v>0</v>
          </cell>
        </row>
        <row r="8815">
          <cell r="A8815">
            <v>0</v>
          </cell>
          <cell r="B8815">
            <v>0</v>
          </cell>
        </row>
        <row r="8816">
          <cell r="A8816">
            <v>0</v>
          </cell>
          <cell r="B8816">
            <v>0</v>
          </cell>
        </row>
        <row r="8817">
          <cell r="A8817">
            <v>0</v>
          </cell>
          <cell r="B8817">
            <v>0</v>
          </cell>
        </row>
        <row r="8818">
          <cell r="A8818">
            <v>0</v>
          </cell>
          <cell r="B8818">
            <v>0</v>
          </cell>
        </row>
        <row r="8819">
          <cell r="A8819">
            <v>0</v>
          </cell>
          <cell r="B8819">
            <v>0</v>
          </cell>
        </row>
        <row r="8820">
          <cell r="A8820">
            <v>0</v>
          </cell>
          <cell r="B8820">
            <v>0</v>
          </cell>
        </row>
        <row r="8821">
          <cell r="A8821">
            <v>0</v>
          </cell>
          <cell r="B8821">
            <v>0</v>
          </cell>
        </row>
        <row r="8822">
          <cell r="A8822">
            <v>0</v>
          </cell>
          <cell r="B8822">
            <v>0</v>
          </cell>
        </row>
        <row r="8823">
          <cell r="A8823">
            <v>0</v>
          </cell>
          <cell r="B8823">
            <v>0</v>
          </cell>
        </row>
        <row r="8824">
          <cell r="A8824">
            <v>0</v>
          </cell>
          <cell r="B8824">
            <v>0</v>
          </cell>
        </row>
        <row r="8825">
          <cell r="A8825">
            <v>0</v>
          </cell>
          <cell r="B8825">
            <v>0</v>
          </cell>
        </row>
        <row r="8826">
          <cell r="A8826">
            <v>0</v>
          </cell>
          <cell r="B8826">
            <v>0</v>
          </cell>
        </row>
        <row r="8827">
          <cell r="A8827">
            <v>0</v>
          </cell>
          <cell r="B8827">
            <v>0</v>
          </cell>
        </row>
        <row r="8828">
          <cell r="A8828">
            <v>0</v>
          </cell>
          <cell r="B8828">
            <v>0</v>
          </cell>
        </row>
        <row r="8829">
          <cell r="A8829">
            <v>0</v>
          </cell>
          <cell r="B8829">
            <v>0</v>
          </cell>
        </row>
        <row r="8830">
          <cell r="A8830">
            <v>0</v>
          </cell>
          <cell r="B8830">
            <v>0</v>
          </cell>
        </row>
        <row r="8831">
          <cell r="A8831">
            <v>0</v>
          </cell>
          <cell r="B8831">
            <v>0</v>
          </cell>
        </row>
        <row r="8832">
          <cell r="A8832">
            <v>0</v>
          </cell>
          <cell r="B8832">
            <v>0</v>
          </cell>
        </row>
        <row r="8833">
          <cell r="A8833">
            <v>0</v>
          </cell>
          <cell r="B8833">
            <v>0</v>
          </cell>
        </row>
        <row r="8834">
          <cell r="A8834">
            <v>0</v>
          </cell>
          <cell r="B8834">
            <v>0</v>
          </cell>
        </row>
        <row r="8835">
          <cell r="A8835">
            <v>0</v>
          </cell>
          <cell r="B8835">
            <v>0</v>
          </cell>
        </row>
        <row r="8836">
          <cell r="A8836">
            <v>0</v>
          </cell>
          <cell r="B8836">
            <v>0</v>
          </cell>
        </row>
        <row r="8837">
          <cell r="A8837">
            <v>0</v>
          </cell>
          <cell r="B8837">
            <v>0</v>
          </cell>
        </row>
        <row r="8838">
          <cell r="A8838">
            <v>0</v>
          </cell>
          <cell r="B8838">
            <v>0</v>
          </cell>
        </row>
        <row r="8839">
          <cell r="A8839">
            <v>0</v>
          </cell>
          <cell r="B8839">
            <v>0</v>
          </cell>
        </row>
        <row r="8840">
          <cell r="A8840">
            <v>0</v>
          </cell>
          <cell r="B8840">
            <v>0</v>
          </cell>
        </row>
        <row r="8841">
          <cell r="A8841">
            <v>0</v>
          </cell>
          <cell r="B8841">
            <v>0</v>
          </cell>
        </row>
        <row r="8842">
          <cell r="A8842">
            <v>0</v>
          </cell>
          <cell r="B8842">
            <v>0</v>
          </cell>
        </row>
        <row r="8843">
          <cell r="A8843">
            <v>0</v>
          </cell>
          <cell r="B8843">
            <v>0</v>
          </cell>
        </row>
        <row r="8844">
          <cell r="A8844">
            <v>0</v>
          </cell>
          <cell r="B8844">
            <v>0</v>
          </cell>
        </row>
        <row r="8845">
          <cell r="A8845">
            <v>0</v>
          </cell>
          <cell r="B8845">
            <v>0</v>
          </cell>
        </row>
        <row r="8846">
          <cell r="A8846">
            <v>0</v>
          </cell>
          <cell r="B8846">
            <v>0</v>
          </cell>
        </row>
        <row r="8847">
          <cell r="A8847">
            <v>0</v>
          </cell>
          <cell r="B8847">
            <v>0</v>
          </cell>
        </row>
        <row r="8848">
          <cell r="A8848">
            <v>0</v>
          </cell>
          <cell r="B8848">
            <v>0</v>
          </cell>
        </row>
        <row r="8849">
          <cell r="A8849">
            <v>0</v>
          </cell>
          <cell r="B8849">
            <v>0</v>
          </cell>
        </row>
        <row r="8850">
          <cell r="A8850">
            <v>0</v>
          </cell>
          <cell r="B8850">
            <v>0</v>
          </cell>
        </row>
        <row r="8851">
          <cell r="A8851">
            <v>0</v>
          </cell>
          <cell r="B8851">
            <v>0</v>
          </cell>
        </row>
        <row r="8852">
          <cell r="A8852">
            <v>0</v>
          </cell>
          <cell r="B8852">
            <v>0</v>
          </cell>
        </row>
        <row r="8853">
          <cell r="A8853">
            <v>0</v>
          </cell>
          <cell r="B8853">
            <v>0</v>
          </cell>
        </row>
        <row r="8854">
          <cell r="A8854">
            <v>0</v>
          </cell>
          <cell r="B8854">
            <v>0</v>
          </cell>
        </row>
        <row r="8855">
          <cell r="A8855">
            <v>0</v>
          </cell>
          <cell r="B8855">
            <v>0</v>
          </cell>
        </row>
        <row r="8856">
          <cell r="A8856">
            <v>0</v>
          </cell>
          <cell r="B8856">
            <v>0</v>
          </cell>
        </row>
        <row r="8857">
          <cell r="A8857">
            <v>0</v>
          </cell>
          <cell r="B8857">
            <v>0</v>
          </cell>
        </row>
        <row r="8858">
          <cell r="A8858">
            <v>0</v>
          </cell>
          <cell r="B8858">
            <v>0</v>
          </cell>
        </row>
        <row r="8859">
          <cell r="A8859">
            <v>0</v>
          </cell>
          <cell r="B8859">
            <v>0</v>
          </cell>
        </row>
        <row r="8860">
          <cell r="A8860">
            <v>0</v>
          </cell>
          <cell r="B8860">
            <v>0</v>
          </cell>
        </row>
        <row r="8861">
          <cell r="A8861">
            <v>0</v>
          </cell>
          <cell r="B8861">
            <v>0</v>
          </cell>
        </row>
        <row r="8862">
          <cell r="A8862">
            <v>0</v>
          </cell>
          <cell r="B8862">
            <v>0</v>
          </cell>
        </row>
        <row r="8863">
          <cell r="A8863">
            <v>0</v>
          </cell>
          <cell r="B8863">
            <v>0</v>
          </cell>
        </row>
        <row r="8864">
          <cell r="A8864">
            <v>0</v>
          </cell>
          <cell r="B8864">
            <v>0</v>
          </cell>
        </row>
        <row r="8865">
          <cell r="A8865">
            <v>0</v>
          </cell>
          <cell r="B8865">
            <v>0</v>
          </cell>
        </row>
        <row r="8866">
          <cell r="A8866">
            <v>0</v>
          </cell>
          <cell r="B8866">
            <v>0</v>
          </cell>
        </row>
        <row r="8867">
          <cell r="A8867">
            <v>0</v>
          </cell>
          <cell r="B8867">
            <v>0</v>
          </cell>
        </row>
        <row r="8868">
          <cell r="A8868">
            <v>0</v>
          </cell>
          <cell r="B8868">
            <v>0</v>
          </cell>
        </row>
        <row r="8869">
          <cell r="A8869">
            <v>0</v>
          </cell>
          <cell r="B8869">
            <v>0</v>
          </cell>
        </row>
        <row r="8870">
          <cell r="A8870">
            <v>0</v>
          </cell>
          <cell r="B8870">
            <v>0</v>
          </cell>
        </row>
        <row r="8871">
          <cell r="A8871">
            <v>0</v>
          </cell>
          <cell r="B8871">
            <v>0</v>
          </cell>
        </row>
        <row r="8872">
          <cell r="A8872">
            <v>0</v>
          </cell>
          <cell r="B8872">
            <v>0</v>
          </cell>
        </row>
        <row r="8873">
          <cell r="A8873">
            <v>0</v>
          </cell>
          <cell r="B8873">
            <v>0</v>
          </cell>
        </row>
        <row r="8874">
          <cell r="A8874">
            <v>0</v>
          </cell>
          <cell r="B8874">
            <v>0</v>
          </cell>
        </row>
        <row r="8875">
          <cell r="A8875">
            <v>0</v>
          </cell>
          <cell r="B8875">
            <v>0</v>
          </cell>
        </row>
        <row r="8876">
          <cell r="A8876">
            <v>0</v>
          </cell>
          <cell r="B8876">
            <v>0</v>
          </cell>
        </row>
        <row r="8877">
          <cell r="A8877">
            <v>0</v>
          </cell>
          <cell r="B8877">
            <v>0</v>
          </cell>
        </row>
        <row r="8878">
          <cell r="A8878">
            <v>0</v>
          </cell>
          <cell r="B8878">
            <v>0</v>
          </cell>
        </row>
        <row r="8879">
          <cell r="A8879">
            <v>0</v>
          </cell>
          <cell r="B8879">
            <v>0</v>
          </cell>
        </row>
        <row r="8880">
          <cell r="A8880">
            <v>0</v>
          </cell>
          <cell r="B8880">
            <v>0</v>
          </cell>
        </row>
        <row r="8881">
          <cell r="A8881">
            <v>0</v>
          </cell>
          <cell r="B8881">
            <v>0</v>
          </cell>
        </row>
        <row r="8882">
          <cell r="A8882">
            <v>0</v>
          </cell>
          <cell r="B8882">
            <v>0</v>
          </cell>
        </row>
        <row r="8883">
          <cell r="A8883">
            <v>0</v>
          </cell>
          <cell r="B8883">
            <v>0</v>
          </cell>
        </row>
        <row r="8884">
          <cell r="A8884">
            <v>0</v>
          </cell>
          <cell r="B8884">
            <v>0</v>
          </cell>
        </row>
        <row r="8885">
          <cell r="A8885">
            <v>0</v>
          </cell>
          <cell r="B8885">
            <v>0</v>
          </cell>
        </row>
        <row r="8886">
          <cell r="A8886">
            <v>0</v>
          </cell>
          <cell r="B8886">
            <v>0</v>
          </cell>
        </row>
        <row r="8887">
          <cell r="A8887">
            <v>0</v>
          </cell>
          <cell r="B8887">
            <v>0</v>
          </cell>
        </row>
        <row r="8888">
          <cell r="A8888">
            <v>0</v>
          </cell>
          <cell r="B8888">
            <v>0</v>
          </cell>
        </row>
        <row r="8889">
          <cell r="A8889">
            <v>0</v>
          </cell>
          <cell r="B8889">
            <v>0</v>
          </cell>
        </row>
        <row r="8890">
          <cell r="A8890">
            <v>0</v>
          </cell>
          <cell r="B8890">
            <v>0</v>
          </cell>
        </row>
        <row r="8891">
          <cell r="A8891">
            <v>0</v>
          </cell>
          <cell r="B8891">
            <v>0</v>
          </cell>
        </row>
        <row r="8892">
          <cell r="A8892">
            <v>0</v>
          </cell>
          <cell r="B8892">
            <v>0</v>
          </cell>
        </row>
        <row r="8893">
          <cell r="A8893">
            <v>0</v>
          </cell>
          <cell r="B8893">
            <v>0</v>
          </cell>
        </row>
        <row r="8894">
          <cell r="A8894">
            <v>0</v>
          </cell>
          <cell r="B8894">
            <v>0</v>
          </cell>
        </row>
        <row r="8895">
          <cell r="A8895">
            <v>0</v>
          </cell>
          <cell r="B8895">
            <v>0</v>
          </cell>
        </row>
        <row r="8896">
          <cell r="A8896">
            <v>0</v>
          </cell>
          <cell r="B8896">
            <v>0</v>
          </cell>
        </row>
        <row r="8897">
          <cell r="A8897">
            <v>0</v>
          </cell>
          <cell r="B8897">
            <v>0</v>
          </cell>
        </row>
        <row r="8898">
          <cell r="A8898">
            <v>0</v>
          </cell>
          <cell r="B8898">
            <v>0</v>
          </cell>
        </row>
        <row r="8899">
          <cell r="A8899">
            <v>0</v>
          </cell>
          <cell r="B8899">
            <v>0</v>
          </cell>
        </row>
        <row r="8900">
          <cell r="A8900">
            <v>0</v>
          </cell>
          <cell r="B8900">
            <v>0</v>
          </cell>
        </row>
        <row r="8901">
          <cell r="A8901">
            <v>0</v>
          </cell>
          <cell r="B8901">
            <v>0</v>
          </cell>
        </row>
        <row r="8902">
          <cell r="A8902">
            <v>0</v>
          </cell>
          <cell r="B8902">
            <v>0</v>
          </cell>
        </row>
        <row r="8903">
          <cell r="A8903">
            <v>0</v>
          </cell>
          <cell r="B8903">
            <v>0</v>
          </cell>
        </row>
        <row r="8904">
          <cell r="A8904">
            <v>0</v>
          </cell>
          <cell r="B8904">
            <v>0</v>
          </cell>
        </row>
        <row r="8905">
          <cell r="A8905">
            <v>0</v>
          </cell>
          <cell r="B8905">
            <v>0</v>
          </cell>
        </row>
        <row r="8906">
          <cell r="A8906">
            <v>0</v>
          </cell>
          <cell r="B8906">
            <v>0</v>
          </cell>
        </row>
        <row r="8907">
          <cell r="A8907">
            <v>0</v>
          </cell>
          <cell r="B8907">
            <v>0</v>
          </cell>
        </row>
        <row r="8908">
          <cell r="A8908">
            <v>0</v>
          </cell>
          <cell r="B8908">
            <v>0</v>
          </cell>
        </row>
        <row r="8909">
          <cell r="A8909">
            <v>0</v>
          </cell>
          <cell r="B8909">
            <v>0</v>
          </cell>
        </row>
        <row r="8910">
          <cell r="A8910">
            <v>0</v>
          </cell>
          <cell r="B8910">
            <v>0</v>
          </cell>
        </row>
        <row r="8911">
          <cell r="A8911">
            <v>0</v>
          </cell>
          <cell r="B8911">
            <v>0</v>
          </cell>
        </row>
        <row r="8912">
          <cell r="A8912">
            <v>0</v>
          </cell>
          <cell r="B8912">
            <v>0</v>
          </cell>
        </row>
        <row r="8913">
          <cell r="A8913">
            <v>0</v>
          </cell>
          <cell r="B8913">
            <v>0</v>
          </cell>
        </row>
        <row r="8914">
          <cell r="A8914">
            <v>0</v>
          </cell>
          <cell r="B8914">
            <v>0</v>
          </cell>
        </row>
        <row r="8915">
          <cell r="A8915">
            <v>0</v>
          </cell>
          <cell r="B8915">
            <v>0</v>
          </cell>
        </row>
        <row r="8916">
          <cell r="A8916">
            <v>0</v>
          </cell>
          <cell r="B8916">
            <v>0</v>
          </cell>
        </row>
        <row r="8917">
          <cell r="A8917">
            <v>0</v>
          </cell>
          <cell r="B8917">
            <v>0</v>
          </cell>
        </row>
        <row r="8918">
          <cell r="A8918">
            <v>0</v>
          </cell>
          <cell r="B8918">
            <v>0</v>
          </cell>
        </row>
        <row r="8919">
          <cell r="A8919">
            <v>0</v>
          </cell>
          <cell r="B8919">
            <v>0</v>
          </cell>
        </row>
        <row r="8920">
          <cell r="A8920">
            <v>0</v>
          </cell>
          <cell r="B8920">
            <v>0</v>
          </cell>
        </row>
        <row r="8921">
          <cell r="A8921">
            <v>0</v>
          </cell>
          <cell r="B8921">
            <v>0</v>
          </cell>
        </row>
        <row r="8922">
          <cell r="A8922">
            <v>0</v>
          </cell>
          <cell r="B8922">
            <v>0</v>
          </cell>
        </row>
        <row r="8923">
          <cell r="A8923">
            <v>0</v>
          </cell>
          <cell r="B8923">
            <v>0</v>
          </cell>
        </row>
        <row r="8924">
          <cell r="A8924">
            <v>0</v>
          </cell>
          <cell r="B8924">
            <v>0</v>
          </cell>
        </row>
        <row r="8925">
          <cell r="A8925">
            <v>0</v>
          </cell>
          <cell r="B8925">
            <v>0</v>
          </cell>
        </row>
        <row r="8926">
          <cell r="A8926">
            <v>0</v>
          </cell>
          <cell r="B8926">
            <v>0</v>
          </cell>
        </row>
        <row r="8927">
          <cell r="A8927">
            <v>0</v>
          </cell>
          <cell r="B8927">
            <v>0</v>
          </cell>
        </row>
        <row r="8928">
          <cell r="A8928">
            <v>0</v>
          </cell>
          <cell r="B8928">
            <v>0</v>
          </cell>
        </row>
        <row r="8929">
          <cell r="A8929">
            <v>0</v>
          </cell>
          <cell r="B8929">
            <v>0</v>
          </cell>
        </row>
        <row r="8930">
          <cell r="A8930">
            <v>0</v>
          </cell>
          <cell r="B8930">
            <v>0</v>
          </cell>
        </row>
        <row r="8931">
          <cell r="A8931">
            <v>0</v>
          </cell>
          <cell r="B8931">
            <v>0</v>
          </cell>
        </row>
        <row r="8932">
          <cell r="A8932">
            <v>0</v>
          </cell>
          <cell r="B8932">
            <v>0</v>
          </cell>
        </row>
        <row r="8933">
          <cell r="A8933">
            <v>0</v>
          </cell>
          <cell r="B8933">
            <v>0</v>
          </cell>
        </row>
        <row r="8934">
          <cell r="A8934">
            <v>0</v>
          </cell>
          <cell r="B8934">
            <v>0</v>
          </cell>
        </row>
        <row r="8935">
          <cell r="A8935">
            <v>0</v>
          </cell>
          <cell r="B8935">
            <v>0</v>
          </cell>
        </row>
        <row r="8936">
          <cell r="A8936">
            <v>0</v>
          </cell>
          <cell r="B8936">
            <v>0</v>
          </cell>
        </row>
        <row r="8937">
          <cell r="A8937">
            <v>0</v>
          </cell>
          <cell r="B8937">
            <v>0</v>
          </cell>
        </row>
        <row r="8938">
          <cell r="A8938">
            <v>0</v>
          </cell>
          <cell r="B8938">
            <v>0</v>
          </cell>
        </row>
        <row r="8939">
          <cell r="A8939">
            <v>0</v>
          </cell>
          <cell r="B8939">
            <v>0</v>
          </cell>
        </row>
        <row r="8940">
          <cell r="A8940">
            <v>0</v>
          </cell>
          <cell r="B8940">
            <v>0</v>
          </cell>
        </row>
        <row r="8941">
          <cell r="A8941">
            <v>0</v>
          </cell>
          <cell r="B8941">
            <v>0</v>
          </cell>
        </row>
        <row r="8942">
          <cell r="A8942">
            <v>0</v>
          </cell>
          <cell r="B8942">
            <v>0</v>
          </cell>
        </row>
        <row r="8943">
          <cell r="A8943">
            <v>0</v>
          </cell>
          <cell r="B8943">
            <v>0</v>
          </cell>
        </row>
        <row r="8944">
          <cell r="A8944">
            <v>0</v>
          </cell>
          <cell r="B8944">
            <v>0</v>
          </cell>
        </row>
        <row r="8945">
          <cell r="A8945">
            <v>0</v>
          </cell>
          <cell r="B8945">
            <v>0</v>
          </cell>
        </row>
        <row r="8946">
          <cell r="A8946">
            <v>0</v>
          </cell>
          <cell r="B8946">
            <v>0</v>
          </cell>
        </row>
        <row r="8947">
          <cell r="A8947">
            <v>0</v>
          </cell>
          <cell r="B8947">
            <v>0</v>
          </cell>
        </row>
        <row r="8948">
          <cell r="A8948">
            <v>0</v>
          </cell>
          <cell r="B8948">
            <v>0</v>
          </cell>
        </row>
        <row r="8949">
          <cell r="A8949">
            <v>0</v>
          </cell>
          <cell r="B8949">
            <v>0</v>
          </cell>
        </row>
        <row r="8950">
          <cell r="A8950">
            <v>0</v>
          </cell>
          <cell r="B8950">
            <v>0</v>
          </cell>
        </row>
        <row r="8951">
          <cell r="A8951">
            <v>0</v>
          </cell>
          <cell r="B8951">
            <v>0</v>
          </cell>
        </row>
        <row r="8952">
          <cell r="A8952">
            <v>0</v>
          </cell>
          <cell r="B8952">
            <v>0</v>
          </cell>
        </row>
        <row r="8953">
          <cell r="A8953">
            <v>0</v>
          </cell>
          <cell r="B8953">
            <v>0</v>
          </cell>
        </row>
        <row r="8954">
          <cell r="A8954">
            <v>0</v>
          </cell>
          <cell r="B8954">
            <v>0</v>
          </cell>
        </row>
        <row r="8955">
          <cell r="A8955">
            <v>0</v>
          </cell>
          <cell r="B8955">
            <v>0</v>
          </cell>
        </row>
        <row r="8956">
          <cell r="A8956">
            <v>0</v>
          </cell>
          <cell r="B8956">
            <v>0</v>
          </cell>
        </row>
        <row r="8957">
          <cell r="A8957">
            <v>0</v>
          </cell>
          <cell r="B8957">
            <v>0</v>
          </cell>
        </row>
        <row r="8958">
          <cell r="A8958">
            <v>0</v>
          </cell>
          <cell r="B8958">
            <v>0</v>
          </cell>
        </row>
        <row r="8959">
          <cell r="A8959">
            <v>0</v>
          </cell>
          <cell r="B8959">
            <v>0</v>
          </cell>
        </row>
        <row r="8960">
          <cell r="A8960">
            <v>0</v>
          </cell>
          <cell r="B8960">
            <v>0</v>
          </cell>
        </row>
        <row r="8961">
          <cell r="A8961">
            <v>0</v>
          </cell>
          <cell r="B8961">
            <v>0</v>
          </cell>
        </row>
        <row r="8962">
          <cell r="A8962">
            <v>0</v>
          </cell>
          <cell r="B8962">
            <v>0</v>
          </cell>
        </row>
        <row r="8963">
          <cell r="A8963">
            <v>0</v>
          </cell>
          <cell r="B8963">
            <v>0</v>
          </cell>
        </row>
        <row r="8964">
          <cell r="A8964">
            <v>0</v>
          </cell>
          <cell r="B8964">
            <v>0</v>
          </cell>
        </row>
        <row r="8965">
          <cell r="A8965">
            <v>0</v>
          </cell>
          <cell r="B8965">
            <v>0</v>
          </cell>
        </row>
        <row r="8966">
          <cell r="A8966">
            <v>0</v>
          </cell>
          <cell r="B8966">
            <v>0</v>
          </cell>
        </row>
        <row r="8967">
          <cell r="A8967">
            <v>0</v>
          </cell>
          <cell r="B8967">
            <v>0</v>
          </cell>
        </row>
        <row r="8968">
          <cell r="A8968">
            <v>0</v>
          </cell>
          <cell r="B8968">
            <v>0</v>
          </cell>
        </row>
        <row r="8969">
          <cell r="A8969">
            <v>0</v>
          </cell>
          <cell r="B8969">
            <v>0</v>
          </cell>
        </row>
        <row r="8970">
          <cell r="A8970">
            <v>0</v>
          </cell>
          <cell r="B8970">
            <v>0</v>
          </cell>
        </row>
        <row r="8971">
          <cell r="A8971">
            <v>0</v>
          </cell>
          <cell r="B8971">
            <v>0</v>
          </cell>
        </row>
        <row r="8972">
          <cell r="A8972">
            <v>0</v>
          </cell>
          <cell r="B8972">
            <v>0</v>
          </cell>
        </row>
        <row r="8973">
          <cell r="A8973">
            <v>0</v>
          </cell>
          <cell r="B8973">
            <v>0</v>
          </cell>
        </row>
        <row r="8974">
          <cell r="A8974">
            <v>0</v>
          </cell>
          <cell r="B8974">
            <v>0</v>
          </cell>
        </row>
        <row r="8975">
          <cell r="A8975">
            <v>0</v>
          </cell>
          <cell r="B8975">
            <v>0</v>
          </cell>
        </row>
        <row r="8976">
          <cell r="A8976">
            <v>0</v>
          </cell>
          <cell r="B8976">
            <v>0</v>
          </cell>
        </row>
        <row r="8977">
          <cell r="A8977">
            <v>0</v>
          </cell>
          <cell r="B8977">
            <v>0</v>
          </cell>
        </row>
        <row r="8978">
          <cell r="A8978">
            <v>0</v>
          </cell>
          <cell r="B8978">
            <v>0</v>
          </cell>
        </row>
        <row r="8979">
          <cell r="A8979">
            <v>0</v>
          </cell>
          <cell r="B8979">
            <v>0</v>
          </cell>
        </row>
        <row r="8980">
          <cell r="A8980">
            <v>0</v>
          </cell>
          <cell r="B8980">
            <v>0</v>
          </cell>
        </row>
        <row r="8981">
          <cell r="A8981">
            <v>0</v>
          </cell>
          <cell r="B8981">
            <v>0</v>
          </cell>
        </row>
        <row r="8982">
          <cell r="A8982">
            <v>0</v>
          </cell>
          <cell r="B8982">
            <v>0</v>
          </cell>
        </row>
        <row r="8983">
          <cell r="A8983">
            <v>0</v>
          </cell>
          <cell r="B8983">
            <v>0</v>
          </cell>
        </row>
        <row r="8984">
          <cell r="A8984">
            <v>0</v>
          </cell>
          <cell r="B8984">
            <v>0</v>
          </cell>
        </row>
        <row r="8985">
          <cell r="A8985">
            <v>0</v>
          </cell>
          <cell r="B8985">
            <v>0</v>
          </cell>
        </row>
        <row r="8986">
          <cell r="A8986">
            <v>0</v>
          </cell>
          <cell r="B8986">
            <v>0</v>
          </cell>
        </row>
        <row r="8987">
          <cell r="A8987">
            <v>0</v>
          </cell>
          <cell r="B8987">
            <v>0</v>
          </cell>
        </row>
        <row r="8988">
          <cell r="A8988">
            <v>0</v>
          </cell>
          <cell r="B8988">
            <v>0</v>
          </cell>
        </row>
        <row r="8989">
          <cell r="A8989">
            <v>0</v>
          </cell>
          <cell r="B8989">
            <v>0</v>
          </cell>
        </row>
        <row r="8990">
          <cell r="A8990">
            <v>0</v>
          </cell>
          <cell r="B8990">
            <v>0</v>
          </cell>
        </row>
        <row r="8991">
          <cell r="A8991">
            <v>0</v>
          </cell>
          <cell r="B8991">
            <v>0</v>
          </cell>
        </row>
        <row r="8992">
          <cell r="A8992">
            <v>0</v>
          </cell>
          <cell r="B8992">
            <v>0</v>
          </cell>
        </row>
        <row r="8993">
          <cell r="A8993">
            <v>0</v>
          </cell>
          <cell r="B8993">
            <v>0</v>
          </cell>
        </row>
        <row r="8994">
          <cell r="A8994">
            <v>0</v>
          </cell>
          <cell r="B8994">
            <v>0</v>
          </cell>
        </row>
        <row r="8995">
          <cell r="A8995">
            <v>0</v>
          </cell>
          <cell r="B8995">
            <v>0</v>
          </cell>
        </row>
        <row r="8996">
          <cell r="A8996">
            <v>0</v>
          </cell>
          <cell r="B8996">
            <v>0</v>
          </cell>
        </row>
        <row r="8997">
          <cell r="A8997">
            <v>0</v>
          </cell>
          <cell r="B8997">
            <v>0</v>
          </cell>
        </row>
        <row r="8998">
          <cell r="A8998">
            <v>0</v>
          </cell>
          <cell r="B8998">
            <v>0</v>
          </cell>
        </row>
        <row r="8999">
          <cell r="A8999">
            <v>0</v>
          </cell>
          <cell r="B8999">
            <v>0</v>
          </cell>
        </row>
        <row r="9000">
          <cell r="A9000">
            <v>0</v>
          </cell>
          <cell r="B9000">
            <v>0</v>
          </cell>
        </row>
        <row r="9001">
          <cell r="A9001">
            <v>0</v>
          </cell>
          <cell r="B9001">
            <v>0</v>
          </cell>
        </row>
        <row r="9002">
          <cell r="A9002">
            <v>0</v>
          </cell>
          <cell r="B9002">
            <v>0</v>
          </cell>
        </row>
        <row r="9003">
          <cell r="A9003">
            <v>0</v>
          </cell>
          <cell r="B9003">
            <v>0</v>
          </cell>
        </row>
        <row r="9004">
          <cell r="A9004">
            <v>0</v>
          </cell>
          <cell r="B9004">
            <v>0</v>
          </cell>
        </row>
        <row r="9005">
          <cell r="A9005">
            <v>0</v>
          </cell>
          <cell r="B9005">
            <v>0</v>
          </cell>
        </row>
        <row r="9006">
          <cell r="A9006">
            <v>0</v>
          </cell>
          <cell r="B9006">
            <v>0</v>
          </cell>
        </row>
        <row r="9007">
          <cell r="A9007">
            <v>0</v>
          </cell>
          <cell r="B9007">
            <v>0</v>
          </cell>
        </row>
        <row r="9008">
          <cell r="A9008">
            <v>0</v>
          </cell>
          <cell r="B9008">
            <v>0</v>
          </cell>
        </row>
        <row r="9009">
          <cell r="A9009">
            <v>0</v>
          </cell>
          <cell r="B9009">
            <v>0</v>
          </cell>
        </row>
        <row r="9010">
          <cell r="A9010">
            <v>0</v>
          </cell>
          <cell r="B9010">
            <v>0</v>
          </cell>
        </row>
        <row r="9011">
          <cell r="A9011">
            <v>0</v>
          </cell>
          <cell r="B9011">
            <v>0</v>
          </cell>
        </row>
        <row r="9012">
          <cell r="A9012">
            <v>0</v>
          </cell>
          <cell r="B9012">
            <v>0</v>
          </cell>
        </row>
        <row r="9013">
          <cell r="A9013">
            <v>0</v>
          </cell>
          <cell r="B9013">
            <v>0</v>
          </cell>
        </row>
        <row r="9014">
          <cell r="A9014">
            <v>0</v>
          </cell>
          <cell r="B9014">
            <v>0</v>
          </cell>
        </row>
        <row r="9015">
          <cell r="A9015">
            <v>0</v>
          </cell>
          <cell r="B9015">
            <v>0</v>
          </cell>
        </row>
        <row r="9016">
          <cell r="A9016">
            <v>0</v>
          </cell>
          <cell r="B9016">
            <v>0</v>
          </cell>
        </row>
        <row r="9017">
          <cell r="A9017">
            <v>0</v>
          </cell>
          <cell r="B9017">
            <v>0</v>
          </cell>
        </row>
        <row r="9018">
          <cell r="A9018">
            <v>0</v>
          </cell>
          <cell r="B9018">
            <v>0</v>
          </cell>
        </row>
        <row r="9019">
          <cell r="A9019">
            <v>0</v>
          </cell>
          <cell r="B9019">
            <v>0</v>
          </cell>
        </row>
        <row r="9020">
          <cell r="A9020">
            <v>0</v>
          </cell>
          <cell r="B9020">
            <v>0</v>
          </cell>
        </row>
        <row r="9021">
          <cell r="A9021">
            <v>0</v>
          </cell>
          <cell r="B9021">
            <v>0</v>
          </cell>
        </row>
        <row r="9022">
          <cell r="A9022">
            <v>0</v>
          </cell>
          <cell r="B9022">
            <v>0</v>
          </cell>
        </row>
        <row r="9023">
          <cell r="A9023">
            <v>0</v>
          </cell>
          <cell r="B9023">
            <v>0</v>
          </cell>
        </row>
        <row r="9024">
          <cell r="A9024">
            <v>0</v>
          </cell>
          <cell r="B9024">
            <v>0</v>
          </cell>
        </row>
        <row r="9025">
          <cell r="A9025">
            <v>0</v>
          </cell>
          <cell r="B9025">
            <v>0</v>
          </cell>
        </row>
        <row r="9026">
          <cell r="A9026">
            <v>0</v>
          </cell>
          <cell r="B9026">
            <v>0</v>
          </cell>
        </row>
        <row r="9027">
          <cell r="A9027">
            <v>0</v>
          </cell>
          <cell r="B9027">
            <v>0</v>
          </cell>
        </row>
        <row r="9028">
          <cell r="A9028">
            <v>0</v>
          </cell>
          <cell r="B9028">
            <v>0</v>
          </cell>
        </row>
        <row r="9029">
          <cell r="A9029">
            <v>0</v>
          </cell>
          <cell r="B9029">
            <v>0</v>
          </cell>
        </row>
        <row r="9030">
          <cell r="A9030">
            <v>0</v>
          </cell>
          <cell r="B9030">
            <v>0</v>
          </cell>
        </row>
        <row r="9031">
          <cell r="A9031">
            <v>0</v>
          </cell>
          <cell r="B9031">
            <v>0</v>
          </cell>
        </row>
        <row r="9032">
          <cell r="A9032">
            <v>0</v>
          </cell>
          <cell r="B9032">
            <v>0</v>
          </cell>
        </row>
        <row r="9033">
          <cell r="A9033">
            <v>0</v>
          </cell>
          <cell r="B9033">
            <v>0</v>
          </cell>
        </row>
        <row r="9034">
          <cell r="A9034">
            <v>0</v>
          </cell>
          <cell r="B9034">
            <v>0</v>
          </cell>
        </row>
        <row r="9035">
          <cell r="A9035">
            <v>0</v>
          </cell>
          <cell r="B9035">
            <v>0</v>
          </cell>
        </row>
        <row r="9036">
          <cell r="A9036">
            <v>0</v>
          </cell>
          <cell r="B9036">
            <v>0</v>
          </cell>
        </row>
        <row r="9037">
          <cell r="A9037">
            <v>0</v>
          </cell>
          <cell r="B9037">
            <v>0</v>
          </cell>
        </row>
        <row r="9038">
          <cell r="A9038">
            <v>0</v>
          </cell>
          <cell r="B9038">
            <v>0</v>
          </cell>
        </row>
        <row r="9039">
          <cell r="A9039">
            <v>0</v>
          </cell>
          <cell r="B9039">
            <v>0</v>
          </cell>
        </row>
        <row r="9040">
          <cell r="A9040">
            <v>0</v>
          </cell>
          <cell r="B9040">
            <v>0</v>
          </cell>
        </row>
        <row r="9041">
          <cell r="A9041">
            <v>0</v>
          </cell>
          <cell r="B9041">
            <v>0</v>
          </cell>
        </row>
        <row r="9042">
          <cell r="A9042">
            <v>0</v>
          </cell>
          <cell r="B9042">
            <v>0</v>
          </cell>
        </row>
        <row r="9043">
          <cell r="A9043">
            <v>0</v>
          </cell>
          <cell r="B9043">
            <v>0</v>
          </cell>
        </row>
        <row r="9044">
          <cell r="A9044">
            <v>0</v>
          </cell>
          <cell r="B9044">
            <v>0</v>
          </cell>
        </row>
        <row r="9045">
          <cell r="A9045">
            <v>0</v>
          </cell>
          <cell r="B9045">
            <v>0</v>
          </cell>
        </row>
        <row r="9046">
          <cell r="A9046">
            <v>0</v>
          </cell>
          <cell r="B9046">
            <v>0</v>
          </cell>
        </row>
        <row r="9047">
          <cell r="A9047">
            <v>0</v>
          </cell>
          <cell r="B9047">
            <v>0</v>
          </cell>
        </row>
        <row r="9048">
          <cell r="A9048">
            <v>0</v>
          </cell>
          <cell r="B9048">
            <v>0</v>
          </cell>
        </row>
        <row r="9049">
          <cell r="A9049">
            <v>0</v>
          </cell>
          <cell r="B9049">
            <v>0</v>
          </cell>
        </row>
        <row r="9050">
          <cell r="A9050">
            <v>0</v>
          </cell>
          <cell r="B9050">
            <v>0</v>
          </cell>
        </row>
        <row r="9051">
          <cell r="A9051">
            <v>0</v>
          </cell>
          <cell r="B9051">
            <v>0</v>
          </cell>
        </row>
        <row r="9052">
          <cell r="A9052">
            <v>0</v>
          </cell>
          <cell r="B9052">
            <v>0</v>
          </cell>
        </row>
        <row r="9053">
          <cell r="A9053">
            <v>0</v>
          </cell>
          <cell r="B9053">
            <v>0</v>
          </cell>
        </row>
        <row r="9054">
          <cell r="A9054">
            <v>0</v>
          </cell>
          <cell r="B9054">
            <v>0</v>
          </cell>
        </row>
        <row r="9055">
          <cell r="A9055">
            <v>0</v>
          </cell>
          <cell r="B9055">
            <v>0</v>
          </cell>
        </row>
        <row r="9056">
          <cell r="A9056">
            <v>0</v>
          </cell>
          <cell r="B9056">
            <v>0</v>
          </cell>
        </row>
        <row r="9057">
          <cell r="A9057">
            <v>0</v>
          </cell>
          <cell r="B9057">
            <v>0</v>
          </cell>
        </row>
        <row r="9058">
          <cell r="A9058">
            <v>0</v>
          </cell>
          <cell r="B9058">
            <v>0</v>
          </cell>
        </row>
        <row r="9059">
          <cell r="A9059">
            <v>0</v>
          </cell>
          <cell r="B9059">
            <v>0</v>
          </cell>
        </row>
        <row r="9060">
          <cell r="A9060">
            <v>0</v>
          </cell>
          <cell r="B9060">
            <v>0</v>
          </cell>
        </row>
        <row r="9061">
          <cell r="A9061">
            <v>0</v>
          </cell>
          <cell r="B9061">
            <v>0</v>
          </cell>
        </row>
        <row r="9062">
          <cell r="A9062">
            <v>0</v>
          </cell>
          <cell r="B9062">
            <v>0</v>
          </cell>
        </row>
        <row r="9063">
          <cell r="A9063">
            <v>0</v>
          </cell>
          <cell r="B9063">
            <v>0</v>
          </cell>
        </row>
        <row r="9064">
          <cell r="A9064">
            <v>0</v>
          </cell>
          <cell r="B9064">
            <v>0</v>
          </cell>
        </row>
        <row r="9065">
          <cell r="A9065">
            <v>0</v>
          </cell>
          <cell r="B9065">
            <v>0</v>
          </cell>
        </row>
        <row r="9066">
          <cell r="A9066">
            <v>0</v>
          </cell>
          <cell r="B9066">
            <v>0</v>
          </cell>
        </row>
        <row r="9067">
          <cell r="A9067">
            <v>0</v>
          </cell>
          <cell r="B9067">
            <v>0</v>
          </cell>
        </row>
        <row r="9068">
          <cell r="A9068">
            <v>0</v>
          </cell>
          <cell r="B9068">
            <v>0</v>
          </cell>
        </row>
        <row r="9069">
          <cell r="A9069">
            <v>0</v>
          </cell>
          <cell r="B9069">
            <v>0</v>
          </cell>
        </row>
        <row r="9070">
          <cell r="A9070">
            <v>0</v>
          </cell>
          <cell r="B9070">
            <v>0</v>
          </cell>
        </row>
        <row r="9071">
          <cell r="A9071">
            <v>0</v>
          </cell>
          <cell r="B9071">
            <v>0</v>
          </cell>
        </row>
        <row r="9072">
          <cell r="A9072">
            <v>0</v>
          </cell>
          <cell r="B9072">
            <v>0</v>
          </cell>
        </row>
        <row r="9073">
          <cell r="A9073">
            <v>0</v>
          </cell>
          <cell r="B9073">
            <v>0</v>
          </cell>
        </row>
        <row r="9074">
          <cell r="A9074">
            <v>0</v>
          </cell>
          <cell r="B9074">
            <v>0</v>
          </cell>
        </row>
        <row r="9075">
          <cell r="A9075">
            <v>0</v>
          </cell>
          <cell r="B9075">
            <v>0</v>
          </cell>
        </row>
        <row r="9076">
          <cell r="A9076">
            <v>0</v>
          </cell>
          <cell r="B9076">
            <v>0</v>
          </cell>
        </row>
        <row r="9077">
          <cell r="A9077">
            <v>0</v>
          </cell>
          <cell r="B9077">
            <v>0</v>
          </cell>
        </row>
        <row r="9078">
          <cell r="A9078">
            <v>0</v>
          </cell>
          <cell r="B9078">
            <v>0</v>
          </cell>
        </row>
        <row r="9079">
          <cell r="A9079">
            <v>0</v>
          </cell>
          <cell r="B9079">
            <v>0</v>
          </cell>
        </row>
        <row r="9080">
          <cell r="A9080">
            <v>0</v>
          </cell>
          <cell r="B9080">
            <v>0</v>
          </cell>
        </row>
        <row r="9081">
          <cell r="A9081">
            <v>0</v>
          </cell>
          <cell r="B9081">
            <v>0</v>
          </cell>
        </row>
        <row r="9082">
          <cell r="A9082">
            <v>0</v>
          </cell>
          <cell r="B9082">
            <v>0</v>
          </cell>
        </row>
        <row r="9083">
          <cell r="A9083">
            <v>0</v>
          </cell>
          <cell r="B9083">
            <v>0</v>
          </cell>
        </row>
        <row r="9084">
          <cell r="A9084">
            <v>0</v>
          </cell>
          <cell r="B9084">
            <v>0</v>
          </cell>
        </row>
        <row r="9085">
          <cell r="A9085">
            <v>0</v>
          </cell>
          <cell r="B9085">
            <v>0</v>
          </cell>
        </row>
        <row r="9086">
          <cell r="A9086">
            <v>0</v>
          </cell>
          <cell r="B9086">
            <v>0</v>
          </cell>
        </row>
        <row r="9087">
          <cell r="A9087">
            <v>0</v>
          </cell>
          <cell r="B9087">
            <v>0</v>
          </cell>
        </row>
        <row r="9088">
          <cell r="A9088">
            <v>0</v>
          </cell>
          <cell r="B9088">
            <v>0</v>
          </cell>
        </row>
        <row r="9089">
          <cell r="A9089">
            <v>0</v>
          </cell>
          <cell r="B9089">
            <v>0</v>
          </cell>
        </row>
        <row r="9090">
          <cell r="A9090">
            <v>0</v>
          </cell>
          <cell r="B9090">
            <v>0</v>
          </cell>
        </row>
        <row r="9091">
          <cell r="A9091">
            <v>0</v>
          </cell>
          <cell r="B9091">
            <v>0</v>
          </cell>
        </row>
        <row r="9092">
          <cell r="A9092">
            <v>0</v>
          </cell>
          <cell r="B9092">
            <v>0</v>
          </cell>
        </row>
        <row r="9093">
          <cell r="A9093">
            <v>0</v>
          </cell>
          <cell r="B9093">
            <v>0</v>
          </cell>
        </row>
        <row r="9094">
          <cell r="A9094">
            <v>0</v>
          </cell>
          <cell r="B9094">
            <v>0</v>
          </cell>
        </row>
        <row r="9095">
          <cell r="A9095">
            <v>0</v>
          </cell>
          <cell r="B9095">
            <v>0</v>
          </cell>
        </row>
        <row r="9096">
          <cell r="A9096">
            <v>0</v>
          </cell>
          <cell r="B9096">
            <v>0</v>
          </cell>
        </row>
        <row r="9097">
          <cell r="A9097">
            <v>0</v>
          </cell>
          <cell r="B9097">
            <v>0</v>
          </cell>
        </row>
        <row r="9098">
          <cell r="A9098">
            <v>0</v>
          </cell>
          <cell r="B9098">
            <v>0</v>
          </cell>
        </row>
        <row r="9099">
          <cell r="A9099">
            <v>0</v>
          </cell>
          <cell r="B9099">
            <v>0</v>
          </cell>
        </row>
        <row r="9100">
          <cell r="A9100">
            <v>0</v>
          </cell>
          <cell r="B9100">
            <v>0</v>
          </cell>
        </row>
        <row r="9101">
          <cell r="A9101">
            <v>0</v>
          </cell>
          <cell r="B9101">
            <v>0</v>
          </cell>
        </row>
        <row r="9102">
          <cell r="A9102">
            <v>0</v>
          </cell>
          <cell r="B9102">
            <v>0</v>
          </cell>
        </row>
        <row r="9103">
          <cell r="A9103">
            <v>0</v>
          </cell>
          <cell r="B9103">
            <v>0</v>
          </cell>
        </row>
        <row r="9104">
          <cell r="A9104">
            <v>0</v>
          </cell>
          <cell r="B9104">
            <v>0</v>
          </cell>
        </row>
        <row r="9105">
          <cell r="A9105">
            <v>0</v>
          </cell>
          <cell r="B9105">
            <v>0</v>
          </cell>
        </row>
        <row r="9106">
          <cell r="A9106">
            <v>0</v>
          </cell>
          <cell r="B9106">
            <v>0</v>
          </cell>
        </row>
        <row r="9107">
          <cell r="A9107">
            <v>0</v>
          </cell>
          <cell r="B9107">
            <v>0</v>
          </cell>
        </row>
        <row r="9108">
          <cell r="A9108">
            <v>0</v>
          </cell>
          <cell r="B9108">
            <v>0</v>
          </cell>
        </row>
        <row r="9109">
          <cell r="A9109">
            <v>0</v>
          </cell>
          <cell r="B9109">
            <v>0</v>
          </cell>
        </row>
        <row r="9110">
          <cell r="A9110">
            <v>0</v>
          </cell>
          <cell r="B9110">
            <v>0</v>
          </cell>
        </row>
        <row r="9111">
          <cell r="A9111">
            <v>0</v>
          </cell>
          <cell r="B9111">
            <v>0</v>
          </cell>
        </row>
        <row r="9112">
          <cell r="A9112">
            <v>0</v>
          </cell>
          <cell r="B9112">
            <v>0</v>
          </cell>
        </row>
        <row r="9113">
          <cell r="A9113">
            <v>0</v>
          </cell>
          <cell r="B9113">
            <v>0</v>
          </cell>
        </row>
        <row r="9114">
          <cell r="A9114">
            <v>0</v>
          </cell>
          <cell r="B9114">
            <v>0</v>
          </cell>
        </row>
        <row r="9115">
          <cell r="A9115">
            <v>0</v>
          </cell>
          <cell r="B9115">
            <v>0</v>
          </cell>
        </row>
        <row r="9116">
          <cell r="A9116">
            <v>0</v>
          </cell>
          <cell r="B9116">
            <v>0</v>
          </cell>
        </row>
        <row r="9117">
          <cell r="A9117">
            <v>0</v>
          </cell>
          <cell r="B9117">
            <v>0</v>
          </cell>
        </row>
        <row r="9118">
          <cell r="A9118">
            <v>0</v>
          </cell>
          <cell r="B9118">
            <v>0</v>
          </cell>
        </row>
        <row r="9119">
          <cell r="A9119">
            <v>0</v>
          </cell>
          <cell r="B9119">
            <v>0</v>
          </cell>
        </row>
        <row r="9120">
          <cell r="A9120">
            <v>0</v>
          </cell>
          <cell r="B9120">
            <v>0</v>
          </cell>
        </row>
        <row r="9121">
          <cell r="A9121">
            <v>0</v>
          </cell>
          <cell r="B9121">
            <v>0</v>
          </cell>
        </row>
        <row r="9122">
          <cell r="A9122">
            <v>0</v>
          </cell>
          <cell r="B9122">
            <v>0</v>
          </cell>
        </row>
        <row r="9123">
          <cell r="A9123">
            <v>0</v>
          </cell>
          <cell r="B9123">
            <v>0</v>
          </cell>
        </row>
        <row r="9124">
          <cell r="A9124">
            <v>0</v>
          </cell>
          <cell r="B9124">
            <v>0</v>
          </cell>
        </row>
        <row r="9125">
          <cell r="A9125">
            <v>0</v>
          </cell>
          <cell r="B9125">
            <v>0</v>
          </cell>
        </row>
        <row r="9126">
          <cell r="A9126">
            <v>0</v>
          </cell>
          <cell r="B9126">
            <v>0</v>
          </cell>
        </row>
        <row r="9127">
          <cell r="A9127">
            <v>0</v>
          </cell>
          <cell r="B9127">
            <v>0</v>
          </cell>
        </row>
        <row r="9128">
          <cell r="A9128">
            <v>0</v>
          </cell>
          <cell r="B9128">
            <v>0</v>
          </cell>
        </row>
        <row r="9129">
          <cell r="A9129">
            <v>0</v>
          </cell>
          <cell r="B9129">
            <v>0</v>
          </cell>
        </row>
        <row r="9130">
          <cell r="A9130">
            <v>0</v>
          </cell>
          <cell r="B9130">
            <v>0</v>
          </cell>
        </row>
        <row r="9131">
          <cell r="A9131">
            <v>0</v>
          </cell>
          <cell r="B9131">
            <v>0</v>
          </cell>
        </row>
        <row r="9132">
          <cell r="A9132">
            <v>0</v>
          </cell>
          <cell r="B9132">
            <v>0</v>
          </cell>
        </row>
        <row r="9133">
          <cell r="A9133">
            <v>0</v>
          </cell>
          <cell r="B9133">
            <v>0</v>
          </cell>
        </row>
        <row r="9134">
          <cell r="A9134">
            <v>0</v>
          </cell>
          <cell r="B9134">
            <v>0</v>
          </cell>
        </row>
        <row r="9135">
          <cell r="A9135">
            <v>0</v>
          </cell>
          <cell r="B9135">
            <v>0</v>
          </cell>
        </row>
        <row r="9136">
          <cell r="A9136">
            <v>0</v>
          </cell>
          <cell r="B9136">
            <v>0</v>
          </cell>
        </row>
        <row r="9137">
          <cell r="A9137">
            <v>0</v>
          </cell>
          <cell r="B9137">
            <v>0</v>
          </cell>
        </row>
        <row r="9138">
          <cell r="A9138">
            <v>0</v>
          </cell>
          <cell r="B9138">
            <v>0</v>
          </cell>
        </row>
        <row r="9139">
          <cell r="A9139">
            <v>0</v>
          </cell>
          <cell r="B9139">
            <v>0</v>
          </cell>
        </row>
        <row r="9140">
          <cell r="A9140">
            <v>0</v>
          </cell>
          <cell r="B9140">
            <v>0</v>
          </cell>
        </row>
        <row r="9141">
          <cell r="A9141">
            <v>0</v>
          </cell>
          <cell r="B9141">
            <v>0</v>
          </cell>
        </row>
        <row r="9142">
          <cell r="A9142">
            <v>0</v>
          </cell>
          <cell r="B9142">
            <v>0</v>
          </cell>
        </row>
        <row r="9143">
          <cell r="A9143">
            <v>0</v>
          </cell>
          <cell r="B9143">
            <v>0</v>
          </cell>
        </row>
        <row r="9144">
          <cell r="A9144">
            <v>0</v>
          </cell>
          <cell r="B9144">
            <v>0</v>
          </cell>
        </row>
        <row r="9145">
          <cell r="A9145">
            <v>0</v>
          </cell>
          <cell r="B9145">
            <v>0</v>
          </cell>
        </row>
        <row r="9146">
          <cell r="A9146">
            <v>0</v>
          </cell>
          <cell r="B9146">
            <v>0</v>
          </cell>
        </row>
        <row r="9147">
          <cell r="A9147">
            <v>0</v>
          </cell>
          <cell r="B9147">
            <v>0</v>
          </cell>
        </row>
        <row r="9148">
          <cell r="A9148">
            <v>0</v>
          </cell>
          <cell r="B9148">
            <v>0</v>
          </cell>
        </row>
        <row r="9149">
          <cell r="A9149">
            <v>0</v>
          </cell>
          <cell r="B9149">
            <v>0</v>
          </cell>
        </row>
        <row r="9150">
          <cell r="A9150">
            <v>0</v>
          </cell>
          <cell r="B9150">
            <v>0</v>
          </cell>
        </row>
        <row r="9151">
          <cell r="A9151">
            <v>0</v>
          </cell>
          <cell r="B9151">
            <v>0</v>
          </cell>
        </row>
        <row r="9152">
          <cell r="A9152">
            <v>0</v>
          </cell>
          <cell r="B9152">
            <v>0</v>
          </cell>
        </row>
        <row r="9153">
          <cell r="A9153">
            <v>0</v>
          </cell>
          <cell r="B9153">
            <v>0</v>
          </cell>
        </row>
        <row r="9154">
          <cell r="A9154">
            <v>0</v>
          </cell>
          <cell r="B9154">
            <v>0</v>
          </cell>
        </row>
        <row r="9155">
          <cell r="A9155">
            <v>0</v>
          </cell>
          <cell r="B9155">
            <v>0</v>
          </cell>
        </row>
        <row r="9156">
          <cell r="A9156">
            <v>0</v>
          </cell>
          <cell r="B9156">
            <v>0</v>
          </cell>
        </row>
        <row r="9157">
          <cell r="A9157">
            <v>0</v>
          </cell>
          <cell r="B9157">
            <v>0</v>
          </cell>
        </row>
        <row r="9158">
          <cell r="A9158">
            <v>0</v>
          </cell>
          <cell r="B9158">
            <v>0</v>
          </cell>
        </row>
        <row r="9159">
          <cell r="A9159">
            <v>0</v>
          </cell>
          <cell r="B9159">
            <v>0</v>
          </cell>
        </row>
        <row r="9160">
          <cell r="A9160">
            <v>0</v>
          </cell>
          <cell r="B9160">
            <v>0</v>
          </cell>
        </row>
        <row r="9161">
          <cell r="A9161">
            <v>0</v>
          </cell>
          <cell r="B9161">
            <v>0</v>
          </cell>
        </row>
        <row r="9162">
          <cell r="A9162">
            <v>0</v>
          </cell>
          <cell r="B9162">
            <v>0</v>
          </cell>
        </row>
        <row r="9163">
          <cell r="A9163">
            <v>0</v>
          </cell>
          <cell r="B9163">
            <v>0</v>
          </cell>
        </row>
        <row r="9164">
          <cell r="A9164">
            <v>0</v>
          </cell>
          <cell r="B9164">
            <v>0</v>
          </cell>
        </row>
        <row r="9165">
          <cell r="A9165">
            <v>0</v>
          </cell>
          <cell r="B9165">
            <v>0</v>
          </cell>
        </row>
        <row r="9166">
          <cell r="A9166">
            <v>0</v>
          </cell>
          <cell r="B9166">
            <v>0</v>
          </cell>
        </row>
        <row r="9167">
          <cell r="A9167">
            <v>0</v>
          </cell>
          <cell r="B9167">
            <v>0</v>
          </cell>
        </row>
        <row r="9168">
          <cell r="A9168">
            <v>0</v>
          </cell>
          <cell r="B9168">
            <v>0</v>
          </cell>
        </row>
        <row r="9169">
          <cell r="A9169">
            <v>0</v>
          </cell>
          <cell r="B9169">
            <v>0</v>
          </cell>
        </row>
        <row r="9170">
          <cell r="A9170">
            <v>0</v>
          </cell>
          <cell r="B9170">
            <v>0</v>
          </cell>
        </row>
        <row r="9171">
          <cell r="A9171">
            <v>0</v>
          </cell>
          <cell r="B9171">
            <v>0</v>
          </cell>
        </row>
        <row r="9172">
          <cell r="A9172">
            <v>0</v>
          </cell>
          <cell r="B9172">
            <v>0</v>
          </cell>
        </row>
        <row r="9173">
          <cell r="A9173">
            <v>0</v>
          </cell>
          <cell r="B9173">
            <v>0</v>
          </cell>
        </row>
        <row r="9174">
          <cell r="A9174">
            <v>0</v>
          </cell>
          <cell r="B9174">
            <v>0</v>
          </cell>
        </row>
        <row r="9175">
          <cell r="A9175">
            <v>0</v>
          </cell>
          <cell r="B9175">
            <v>0</v>
          </cell>
        </row>
        <row r="9176">
          <cell r="A9176">
            <v>0</v>
          </cell>
          <cell r="B9176">
            <v>0</v>
          </cell>
        </row>
        <row r="9177">
          <cell r="A9177">
            <v>0</v>
          </cell>
          <cell r="B9177">
            <v>0</v>
          </cell>
        </row>
        <row r="9178">
          <cell r="A9178">
            <v>0</v>
          </cell>
          <cell r="B9178">
            <v>0</v>
          </cell>
        </row>
        <row r="9179">
          <cell r="A9179">
            <v>0</v>
          </cell>
          <cell r="B9179">
            <v>0</v>
          </cell>
        </row>
        <row r="9180">
          <cell r="A9180">
            <v>0</v>
          </cell>
          <cell r="B9180">
            <v>0</v>
          </cell>
        </row>
        <row r="9181">
          <cell r="A9181">
            <v>0</v>
          </cell>
          <cell r="B9181">
            <v>0</v>
          </cell>
        </row>
        <row r="9182">
          <cell r="A9182">
            <v>0</v>
          </cell>
          <cell r="B9182">
            <v>0</v>
          </cell>
        </row>
        <row r="9183">
          <cell r="A9183">
            <v>0</v>
          </cell>
          <cell r="B9183">
            <v>0</v>
          </cell>
        </row>
        <row r="9184">
          <cell r="A9184">
            <v>0</v>
          </cell>
          <cell r="B9184">
            <v>0</v>
          </cell>
        </row>
        <row r="9185">
          <cell r="A9185">
            <v>0</v>
          </cell>
          <cell r="B9185">
            <v>0</v>
          </cell>
        </row>
        <row r="9186">
          <cell r="A9186">
            <v>0</v>
          </cell>
          <cell r="B9186">
            <v>0</v>
          </cell>
        </row>
        <row r="9187">
          <cell r="A9187">
            <v>0</v>
          </cell>
          <cell r="B9187">
            <v>0</v>
          </cell>
        </row>
        <row r="9188">
          <cell r="A9188">
            <v>0</v>
          </cell>
          <cell r="B9188">
            <v>0</v>
          </cell>
        </row>
        <row r="9189">
          <cell r="A9189">
            <v>0</v>
          </cell>
          <cell r="B9189">
            <v>0</v>
          </cell>
        </row>
        <row r="9190">
          <cell r="A9190">
            <v>0</v>
          </cell>
          <cell r="B9190">
            <v>0</v>
          </cell>
        </row>
        <row r="9191">
          <cell r="A9191">
            <v>0</v>
          </cell>
          <cell r="B9191">
            <v>0</v>
          </cell>
        </row>
        <row r="9192">
          <cell r="A9192">
            <v>0</v>
          </cell>
          <cell r="B9192">
            <v>0</v>
          </cell>
        </row>
        <row r="9193">
          <cell r="A9193">
            <v>0</v>
          </cell>
          <cell r="B9193">
            <v>0</v>
          </cell>
        </row>
        <row r="9194">
          <cell r="A9194">
            <v>0</v>
          </cell>
          <cell r="B9194">
            <v>0</v>
          </cell>
        </row>
        <row r="9195">
          <cell r="A9195">
            <v>0</v>
          </cell>
          <cell r="B9195">
            <v>0</v>
          </cell>
        </row>
        <row r="9196">
          <cell r="A9196">
            <v>0</v>
          </cell>
          <cell r="B9196">
            <v>0</v>
          </cell>
        </row>
        <row r="9197">
          <cell r="A9197">
            <v>0</v>
          </cell>
          <cell r="B9197">
            <v>0</v>
          </cell>
        </row>
        <row r="9198">
          <cell r="A9198">
            <v>0</v>
          </cell>
          <cell r="B9198">
            <v>0</v>
          </cell>
        </row>
        <row r="9199">
          <cell r="A9199">
            <v>0</v>
          </cell>
          <cell r="B9199">
            <v>0</v>
          </cell>
        </row>
        <row r="9200">
          <cell r="A9200">
            <v>0</v>
          </cell>
          <cell r="B9200">
            <v>0</v>
          </cell>
        </row>
        <row r="9201">
          <cell r="A9201">
            <v>0</v>
          </cell>
          <cell r="B9201">
            <v>0</v>
          </cell>
        </row>
        <row r="9202">
          <cell r="A9202">
            <v>0</v>
          </cell>
          <cell r="B9202">
            <v>0</v>
          </cell>
        </row>
        <row r="9203">
          <cell r="A9203">
            <v>0</v>
          </cell>
          <cell r="B9203">
            <v>0</v>
          </cell>
        </row>
        <row r="9204">
          <cell r="A9204">
            <v>0</v>
          </cell>
          <cell r="B9204">
            <v>0</v>
          </cell>
        </row>
        <row r="9205">
          <cell r="A9205">
            <v>0</v>
          </cell>
          <cell r="B9205">
            <v>0</v>
          </cell>
        </row>
        <row r="9206">
          <cell r="A9206">
            <v>0</v>
          </cell>
          <cell r="B9206">
            <v>0</v>
          </cell>
        </row>
        <row r="9207">
          <cell r="A9207">
            <v>0</v>
          </cell>
          <cell r="B9207">
            <v>0</v>
          </cell>
        </row>
        <row r="9208">
          <cell r="A9208">
            <v>0</v>
          </cell>
          <cell r="B9208">
            <v>0</v>
          </cell>
        </row>
        <row r="9209">
          <cell r="A9209">
            <v>0</v>
          </cell>
          <cell r="B9209">
            <v>0</v>
          </cell>
        </row>
        <row r="9210">
          <cell r="A9210">
            <v>0</v>
          </cell>
          <cell r="B9210">
            <v>0</v>
          </cell>
        </row>
        <row r="9211">
          <cell r="A9211">
            <v>0</v>
          </cell>
          <cell r="B9211">
            <v>0</v>
          </cell>
        </row>
        <row r="9212">
          <cell r="A9212">
            <v>0</v>
          </cell>
          <cell r="B9212">
            <v>0</v>
          </cell>
        </row>
        <row r="9213">
          <cell r="A9213">
            <v>0</v>
          </cell>
          <cell r="B9213">
            <v>0</v>
          </cell>
        </row>
        <row r="9214">
          <cell r="A9214">
            <v>0</v>
          </cell>
          <cell r="B9214">
            <v>0</v>
          </cell>
        </row>
        <row r="9215">
          <cell r="A9215">
            <v>0</v>
          </cell>
          <cell r="B9215">
            <v>0</v>
          </cell>
        </row>
        <row r="9216">
          <cell r="A9216">
            <v>0</v>
          </cell>
          <cell r="B9216">
            <v>0</v>
          </cell>
        </row>
        <row r="9217">
          <cell r="A9217">
            <v>0</v>
          </cell>
          <cell r="B9217">
            <v>0</v>
          </cell>
        </row>
        <row r="9218">
          <cell r="A9218">
            <v>0</v>
          </cell>
          <cell r="B9218">
            <v>0</v>
          </cell>
        </row>
        <row r="9219">
          <cell r="A9219">
            <v>0</v>
          </cell>
          <cell r="B9219">
            <v>0</v>
          </cell>
        </row>
        <row r="9220">
          <cell r="A9220">
            <v>0</v>
          </cell>
          <cell r="B9220">
            <v>0</v>
          </cell>
        </row>
        <row r="9221">
          <cell r="A9221">
            <v>0</v>
          </cell>
          <cell r="B9221">
            <v>0</v>
          </cell>
        </row>
        <row r="9222">
          <cell r="A9222">
            <v>0</v>
          </cell>
          <cell r="B9222">
            <v>0</v>
          </cell>
        </row>
        <row r="9223">
          <cell r="A9223">
            <v>0</v>
          </cell>
          <cell r="B9223">
            <v>0</v>
          </cell>
        </row>
        <row r="9224">
          <cell r="A9224">
            <v>0</v>
          </cell>
          <cell r="B9224">
            <v>0</v>
          </cell>
        </row>
        <row r="9225">
          <cell r="A9225">
            <v>0</v>
          </cell>
          <cell r="B9225">
            <v>0</v>
          </cell>
        </row>
        <row r="9226">
          <cell r="A9226">
            <v>0</v>
          </cell>
          <cell r="B9226">
            <v>0</v>
          </cell>
        </row>
        <row r="9227">
          <cell r="A9227">
            <v>0</v>
          </cell>
          <cell r="B9227">
            <v>0</v>
          </cell>
        </row>
        <row r="9228">
          <cell r="A9228">
            <v>0</v>
          </cell>
          <cell r="B9228">
            <v>0</v>
          </cell>
        </row>
        <row r="9229">
          <cell r="A9229">
            <v>0</v>
          </cell>
          <cell r="B9229">
            <v>0</v>
          </cell>
        </row>
        <row r="9230">
          <cell r="A9230">
            <v>0</v>
          </cell>
          <cell r="B9230">
            <v>0</v>
          </cell>
        </row>
        <row r="9231">
          <cell r="A9231">
            <v>0</v>
          </cell>
          <cell r="B9231">
            <v>0</v>
          </cell>
        </row>
        <row r="9232">
          <cell r="A9232">
            <v>0</v>
          </cell>
          <cell r="B9232">
            <v>0</v>
          </cell>
        </row>
        <row r="9233">
          <cell r="A9233">
            <v>0</v>
          </cell>
          <cell r="B9233">
            <v>0</v>
          </cell>
        </row>
        <row r="9234">
          <cell r="A9234">
            <v>0</v>
          </cell>
          <cell r="B9234">
            <v>0</v>
          </cell>
        </row>
        <row r="9235">
          <cell r="A9235">
            <v>0</v>
          </cell>
          <cell r="B9235">
            <v>0</v>
          </cell>
        </row>
        <row r="9236">
          <cell r="A9236">
            <v>0</v>
          </cell>
          <cell r="B9236">
            <v>0</v>
          </cell>
        </row>
        <row r="9237">
          <cell r="A9237">
            <v>0</v>
          </cell>
          <cell r="B9237">
            <v>0</v>
          </cell>
        </row>
        <row r="9238">
          <cell r="A9238">
            <v>0</v>
          </cell>
          <cell r="B9238">
            <v>0</v>
          </cell>
        </row>
        <row r="9239">
          <cell r="A9239">
            <v>0</v>
          </cell>
          <cell r="B9239">
            <v>0</v>
          </cell>
        </row>
        <row r="9240">
          <cell r="A9240">
            <v>0</v>
          </cell>
          <cell r="B9240">
            <v>0</v>
          </cell>
        </row>
        <row r="9241">
          <cell r="A9241">
            <v>0</v>
          </cell>
          <cell r="B9241">
            <v>0</v>
          </cell>
        </row>
        <row r="9242">
          <cell r="A9242">
            <v>0</v>
          </cell>
          <cell r="B9242">
            <v>0</v>
          </cell>
        </row>
        <row r="9243">
          <cell r="A9243">
            <v>0</v>
          </cell>
          <cell r="B9243">
            <v>0</v>
          </cell>
        </row>
        <row r="9244">
          <cell r="A9244">
            <v>0</v>
          </cell>
          <cell r="B9244">
            <v>0</v>
          </cell>
        </row>
        <row r="9245">
          <cell r="A9245">
            <v>0</v>
          </cell>
          <cell r="B9245">
            <v>0</v>
          </cell>
        </row>
        <row r="9246">
          <cell r="A9246">
            <v>0</v>
          </cell>
          <cell r="B9246">
            <v>0</v>
          </cell>
        </row>
        <row r="9247">
          <cell r="A9247">
            <v>0</v>
          </cell>
          <cell r="B9247">
            <v>0</v>
          </cell>
        </row>
        <row r="9248">
          <cell r="A9248">
            <v>0</v>
          </cell>
          <cell r="B9248">
            <v>0</v>
          </cell>
        </row>
        <row r="9249">
          <cell r="A9249">
            <v>0</v>
          </cell>
          <cell r="B9249">
            <v>0</v>
          </cell>
        </row>
        <row r="9250">
          <cell r="A9250">
            <v>0</v>
          </cell>
          <cell r="B9250">
            <v>0</v>
          </cell>
        </row>
        <row r="9251">
          <cell r="A9251">
            <v>0</v>
          </cell>
          <cell r="B9251">
            <v>0</v>
          </cell>
        </row>
        <row r="9252">
          <cell r="A9252">
            <v>0</v>
          </cell>
          <cell r="B9252">
            <v>0</v>
          </cell>
        </row>
        <row r="9253">
          <cell r="A9253">
            <v>0</v>
          </cell>
          <cell r="B9253">
            <v>0</v>
          </cell>
        </row>
        <row r="9254">
          <cell r="A9254">
            <v>0</v>
          </cell>
          <cell r="B9254">
            <v>0</v>
          </cell>
        </row>
        <row r="9255">
          <cell r="A9255">
            <v>0</v>
          </cell>
          <cell r="B9255">
            <v>0</v>
          </cell>
        </row>
        <row r="9256">
          <cell r="A9256">
            <v>0</v>
          </cell>
          <cell r="B9256">
            <v>0</v>
          </cell>
        </row>
        <row r="9257">
          <cell r="A9257">
            <v>0</v>
          </cell>
          <cell r="B9257">
            <v>0</v>
          </cell>
        </row>
        <row r="9258">
          <cell r="A9258">
            <v>0</v>
          </cell>
          <cell r="B9258">
            <v>0</v>
          </cell>
        </row>
        <row r="9259">
          <cell r="A9259">
            <v>0</v>
          </cell>
          <cell r="B9259">
            <v>0</v>
          </cell>
        </row>
        <row r="9260">
          <cell r="A9260">
            <v>0</v>
          </cell>
          <cell r="B9260">
            <v>0</v>
          </cell>
        </row>
        <row r="9261">
          <cell r="A9261">
            <v>0</v>
          </cell>
          <cell r="B9261">
            <v>0</v>
          </cell>
        </row>
        <row r="9262">
          <cell r="A9262">
            <v>0</v>
          </cell>
          <cell r="B9262">
            <v>0</v>
          </cell>
        </row>
        <row r="9263">
          <cell r="A9263">
            <v>0</v>
          </cell>
          <cell r="B9263">
            <v>0</v>
          </cell>
        </row>
        <row r="9264">
          <cell r="A9264">
            <v>0</v>
          </cell>
          <cell r="B9264">
            <v>0</v>
          </cell>
        </row>
        <row r="9265">
          <cell r="A9265">
            <v>0</v>
          </cell>
          <cell r="B9265">
            <v>0</v>
          </cell>
        </row>
        <row r="9266">
          <cell r="A9266">
            <v>0</v>
          </cell>
          <cell r="B9266">
            <v>0</v>
          </cell>
        </row>
        <row r="9267">
          <cell r="A9267">
            <v>0</v>
          </cell>
          <cell r="B9267">
            <v>0</v>
          </cell>
        </row>
        <row r="9268">
          <cell r="A9268">
            <v>0</v>
          </cell>
          <cell r="B9268">
            <v>0</v>
          </cell>
        </row>
        <row r="9269">
          <cell r="A9269">
            <v>0</v>
          </cell>
          <cell r="B9269">
            <v>0</v>
          </cell>
        </row>
        <row r="9270">
          <cell r="A9270">
            <v>0</v>
          </cell>
          <cell r="B9270">
            <v>0</v>
          </cell>
        </row>
        <row r="9271">
          <cell r="A9271">
            <v>0</v>
          </cell>
          <cell r="B9271">
            <v>0</v>
          </cell>
        </row>
        <row r="9272">
          <cell r="A9272">
            <v>0</v>
          </cell>
          <cell r="B9272">
            <v>0</v>
          </cell>
        </row>
        <row r="9273">
          <cell r="A9273">
            <v>0</v>
          </cell>
          <cell r="B9273">
            <v>0</v>
          </cell>
        </row>
        <row r="9274">
          <cell r="A9274">
            <v>0</v>
          </cell>
          <cell r="B9274">
            <v>0</v>
          </cell>
        </row>
        <row r="9275">
          <cell r="A9275">
            <v>0</v>
          </cell>
          <cell r="B9275">
            <v>0</v>
          </cell>
        </row>
        <row r="9276">
          <cell r="A9276">
            <v>0</v>
          </cell>
          <cell r="B9276">
            <v>0</v>
          </cell>
        </row>
        <row r="9277">
          <cell r="A9277">
            <v>0</v>
          </cell>
          <cell r="B9277">
            <v>0</v>
          </cell>
        </row>
        <row r="9278">
          <cell r="A9278">
            <v>0</v>
          </cell>
          <cell r="B9278">
            <v>0</v>
          </cell>
        </row>
        <row r="9279">
          <cell r="A9279">
            <v>0</v>
          </cell>
          <cell r="B9279">
            <v>0</v>
          </cell>
        </row>
        <row r="9280">
          <cell r="A9280">
            <v>0</v>
          </cell>
          <cell r="B9280">
            <v>0</v>
          </cell>
        </row>
        <row r="9281">
          <cell r="A9281">
            <v>0</v>
          </cell>
          <cell r="B9281">
            <v>0</v>
          </cell>
        </row>
        <row r="9282">
          <cell r="A9282">
            <v>0</v>
          </cell>
          <cell r="B9282">
            <v>0</v>
          </cell>
        </row>
        <row r="9283">
          <cell r="A9283">
            <v>0</v>
          </cell>
          <cell r="B9283">
            <v>0</v>
          </cell>
        </row>
        <row r="9284">
          <cell r="A9284">
            <v>0</v>
          </cell>
          <cell r="B9284">
            <v>0</v>
          </cell>
        </row>
        <row r="9285">
          <cell r="A9285">
            <v>0</v>
          </cell>
          <cell r="B9285">
            <v>0</v>
          </cell>
        </row>
        <row r="9286">
          <cell r="A9286">
            <v>0</v>
          </cell>
          <cell r="B9286">
            <v>0</v>
          </cell>
        </row>
        <row r="9287">
          <cell r="A9287">
            <v>0</v>
          </cell>
          <cell r="B9287">
            <v>0</v>
          </cell>
        </row>
        <row r="9288">
          <cell r="A9288">
            <v>0</v>
          </cell>
          <cell r="B9288">
            <v>0</v>
          </cell>
        </row>
        <row r="9289">
          <cell r="A9289">
            <v>0</v>
          </cell>
          <cell r="B9289">
            <v>0</v>
          </cell>
        </row>
        <row r="9290">
          <cell r="A9290">
            <v>0</v>
          </cell>
          <cell r="B9290">
            <v>0</v>
          </cell>
        </row>
        <row r="9291">
          <cell r="A9291">
            <v>0</v>
          </cell>
          <cell r="B9291">
            <v>0</v>
          </cell>
        </row>
        <row r="9292">
          <cell r="A9292">
            <v>0</v>
          </cell>
          <cell r="B9292">
            <v>0</v>
          </cell>
        </row>
        <row r="9293">
          <cell r="A9293">
            <v>0</v>
          </cell>
          <cell r="B9293">
            <v>0</v>
          </cell>
        </row>
        <row r="9294">
          <cell r="A9294">
            <v>0</v>
          </cell>
          <cell r="B9294">
            <v>0</v>
          </cell>
        </row>
        <row r="9295">
          <cell r="A9295">
            <v>0</v>
          </cell>
          <cell r="B9295">
            <v>0</v>
          </cell>
        </row>
        <row r="9296">
          <cell r="A9296">
            <v>0</v>
          </cell>
          <cell r="B9296">
            <v>0</v>
          </cell>
        </row>
        <row r="9297">
          <cell r="A9297">
            <v>0</v>
          </cell>
          <cell r="B9297">
            <v>0</v>
          </cell>
        </row>
        <row r="9298">
          <cell r="A9298">
            <v>0</v>
          </cell>
          <cell r="B9298">
            <v>0</v>
          </cell>
        </row>
        <row r="9299">
          <cell r="A9299">
            <v>0</v>
          </cell>
          <cell r="B9299">
            <v>0</v>
          </cell>
        </row>
        <row r="9300">
          <cell r="A9300">
            <v>0</v>
          </cell>
          <cell r="B9300">
            <v>0</v>
          </cell>
        </row>
        <row r="9301">
          <cell r="A9301">
            <v>0</v>
          </cell>
          <cell r="B9301">
            <v>0</v>
          </cell>
        </row>
        <row r="9302">
          <cell r="A9302">
            <v>0</v>
          </cell>
          <cell r="B9302">
            <v>0</v>
          </cell>
        </row>
        <row r="9303">
          <cell r="A9303">
            <v>0</v>
          </cell>
          <cell r="B9303">
            <v>0</v>
          </cell>
        </row>
        <row r="9304">
          <cell r="A9304">
            <v>0</v>
          </cell>
          <cell r="B9304">
            <v>0</v>
          </cell>
        </row>
        <row r="9305">
          <cell r="A9305">
            <v>0</v>
          </cell>
          <cell r="B9305">
            <v>0</v>
          </cell>
        </row>
        <row r="9306">
          <cell r="A9306">
            <v>0</v>
          </cell>
          <cell r="B9306">
            <v>0</v>
          </cell>
        </row>
        <row r="9307">
          <cell r="A9307">
            <v>0</v>
          </cell>
          <cell r="B9307">
            <v>0</v>
          </cell>
        </row>
        <row r="9308">
          <cell r="A9308">
            <v>0</v>
          </cell>
          <cell r="B9308">
            <v>0</v>
          </cell>
        </row>
        <row r="9309">
          <cell r="A9309">
            <v>0</v>
          </cell>
          <cell r="B9309">
            <v>0</v>
          </cell>
        </row>
        <row r="9310">
          <cell r="A9310">
            <v>0</v>
          </cell>
          <cell r="B9310">
            <v>0</v>
          </cell>
        </row>
        <row r="9311">
          <cell r="A9311">
            <v>0</v>
          </cell>
          <cell r="B9311">
            <v>0</v>
          </cell>
        </row>
        <row r="9312">
          <cell r="A9312">
            <v>0</v>
          </cell>
          <cell r="B9312">
            <v>0</v>
          </cell>
        </row>
        <row r="9313">
          <cell r="A9313">
            <v>0</v>
          </cell>
          <cell r="B9313">
            <v>0</v>
          </cell>
        </row>
        <row r="9314">
          <cell r="A9314">
            <v>0</v>
          </cell>
          <cell r="B9314">
            <v>0</v>
          </cell>
        </row>
        <row r="9315">
          <cell r="A9315">
            <v>0</v>
          </cell>
          <cell r="B9315">
            <v>0</v>
          </cell>
        </row>
        <row r="9316">
          <cell r="A9316">
            <v>0</v>
          </cell>
          <cell r="B9316">
            <v>0</v>
          </cell>
        </row>
        <row r="9317">
          <cell r="A9317">
            <v>0</v>
          </cell>
          <cell r="B9317">
            <v>0</v>
          </cell>
        </row>
        <row r="9318">
          <cell r="A9318">
            <v>0</v>
          </cell>
          <cell r="B9318">
            <v>0</v>
          </cell>
        </row>
        <row r="9319">
          <cell r="A9319">
            <v>0</v>
          </cell>
          <cell r="B9319">
            <v>0</v>
          </cell>
        </row>
        <row r="9320">
          <cell r="A9320">
            <v>0</v>
          </cell>
          <cell r="B9320">
            <v>0</v>
          </cell>
        </row>
        <row r="9321">
          <cell r="A9321">
            <v>0</v>
          </cell>
          <cell r="B9321">
            <v>0</v>
          </cell>
        </row>
        <row r="9322">
          <cell r="A9322">
            <v>0</v>
          </cell>
          <cell r="B9322">
            <v>0</v>
          </cell>
        </row>
        <row r="9323">
          <cell r="A9323">
            <v>0</v>
          </cell>
          <cell r="B9323">
            <v>0</v>
          </cell>
        </row>
        <row r="9324">
          <cell r="A9324">
            <v>0</v>
          </cell>
          <cell r="B9324">
            <v>0</v>
          </cell>
        </row>
        <row r="9325">
          <cell r="A9325">
            <v>0</v>
          </cell>
          <cell r="B9325">
            <v>0</v>
          </cell>
        </row>
        <row r="9326">
          <cell r="A9326">
            <v>0</v>
          </cell>
          <cell r="B9326">
            <v>0</v>
          </cell>
        </row>
        <row r="9327">
          <cell r="A9327">
            <v>0</v>
          </cell>
          <cell r="B9327">
            <v>0</v>
          </cell>
        </row>
        <row r="9328">
          <cell r="A9328">
            <v>0</v>
          </cell>
          <cell r="B9328">
            <v>0</v>
          </cell>
        </row>
        <row r="9329">
          <cell r="A9329">
            <v>0</v>
          </cell>
          <cell r="B9329">
            <v>0</v>
          </cell>
        </row>
        <row r="9330">
          <cell r="A9330">
            <v>0</v>
          </cell>
          <cell r="B9330">
            <v>0</v>
          </cell>
        </row>
        <row r="9331">
          <cell r="A9331">
            <v>0</v>
          </cell>
          <cell r="B9331">
            <v>0</v>
          </cell>
        </row>
        <row r="9332">
          <cell r="A9332">
            <v>0</v>
          </cell>
          <cell r="B9332">
            <v>0</v>
          </cell>
        </row>
        <row r="9333">
          <cell r="A9333">
            <v>0</v>
          </cell>
          <cell r="B9333">
            <v>0</v>
          </cell>
        </row>
        <row r="9334">
          <cell r="A9334">
            <v>0</v>
          </cell>
          <cell r="B9334">
            <v>0</v>
          </cell>
        </row>
        <row r="9335">
          <cell r="A9335">
            <v>0</v>
          </cell>
          <cell r="B9335">
            <v>0</v>
          </cell>
        </row>
        <row r="9336">
          <cell r="A9336">
            <v>0</v>
          </cell>
          <cell r="B9336">
            <v>0</v>
          </cell>
        </row>
        <row r="9337">
          <cell r="A9337">
            <v>0</v>
          </cell>
          <cell r="B9337">
            <v>0</v>
          </cell>
        </row>
        <row r="9338">
          <cell r="A9338">
            <v>0</v>
          </cell>
          <cell r="B9338">
            <v>0</v>
          </cell>
        </row>
        <row r="9339">
          <cell r="A9339">
            <v>0</v>
          </cell>
          <cell r="B9339">
            <v>0</v>
          </cell>
        </row>
        <row r="9340">
          <cell r="A9340">
            <v>0</v>
          </cell>
          <cell r="B9340">
            <v>0</v>
          </cell>
        </row>
        <row r="9341">
          <cell r="A9341">
            <v>0</v>
          </cell>
          <cell r="B9341">
            <v>0</v>
          </cell>
        </row>
        <row r="9342">
          <cell r="A9342">
            <v>0</v>
          </cell>
          <cell r="B9342">
            <v>0</v>
          </cell>
        </row>
        <row r="9343">
          <cell r="A9343">
            <v>0</v>
          </cell>
          <cell r="B9343">
            <v>0</v>
          </cell>
        </row>
        <row r="9344">
          <cell r="A9344">
            <v>0</v>
          </cell>
          <cell r="B9344">
            <v>0</v>
          </cell>
        </row>
        <row r="9345">
          <cell r="A9345">
            <v>0</v>
          </cell>
          <cell r="B9345">
            <v>0</v>
          </cell>
        </row>
        <row r="9346">
          <cell r="A9346">
            <v>0</v>
          </cell>
          <cell r="B9346">
            <v>0</v>
          </cell>
        </row>
        <row r="9347">
          <cell r="A9347">
            <v>0</v>
          </cell>
          <cell r="B9347">
            <v>0</v>
          </cell>
        </row>
        <row r="9348">
          <cell r="A9348">
            <v>0</v>
          </cell>
          <cell r="B9348">
            <v>0</v>
          </cell>
        </row>
        <row r="9349">
          <cell r="A9349">
            <v>0</v>
          </cell>
          <cell r="B9349">
            <v>0</v>
          </cell>
        </row>
        <row r="9350">
          <cell r="A9350">
            <v>0</v>
          </cell>
          <cell r="B9350">
            <v>0</v>
          </cell>
        </row>
        <row r="9351">
          <cell r="A9351">
            <v>0</v>
          </cell>
          <cell r="B9351">
            <v>0</v>
          </cell>
        </row>
        <row r="9352">
          <cell r="A9352">
            <v>0</v>
          </cell>
          <cell r="B9352">
            <v>0</v>
          </cell>
        </row>
        <row r="9353">
          <cell r="A9353">
            <v>0</v>
          </cell>
          <cell r="B9353">
            <v>0</v>
          </cell>
        </row>
        <row r="9354">
          <cell r="A9354">
            <v>0</v>
          </cell>
          <cell r="B9354">
            <v>0</v>
          </cell>
        </row>
        <row r="9355">
          <cell r="A9355">
            <v>0</v>
          </cell>
          <cell r="B9355">
            <v>0</v>
          </cell>
        </row>
        <row r="9356">
          <cell r="A9356">
            <v>0</v>
          </cell>
          <cell r="B9356">
            <v>0</v>
          </cell>
        </row>
        <row r="9357">
          <cell r="A9357">
            <v>0</v>
          </cell>
          <cell r="B9357">
            <v>0</v>
          </cell>
        </row>
        <row r="9358">
          <cell r="A9358">
            <v>0</v>
          </cell>
          <cell r="B9358">
            <v>0</v>
          </cell>
        </row>
        <row r="9359">
          <cell r="A9359">
            <v>0</v>
          </cell>
          <cell r="B9359">
            <v>0</v>
          </cell>
        </row>
        <row r="9360">
          <cell r="A9360">
            <v>0</v>
          </cell>
          <cell r="B9360">
            <v>0</v>
          </cell>
        </row>
        <row r="9361">
          <cell r="A9361">
            <v>0</v>
          </cell>
          <cell r="B9361">
            <v>0</v>
          </cell>
        </row>
        <row r="9362">
          <cell r="A9362">
            <v>0</v>
          </cell>
          <cell r="B9362">
            <v>0</v>
          </cell>
        </row>
        <row r="9363">
          <cell r="A9363">
            <v>0</v>
          </cell>
          <cell r="B9363">
            <v>0</v>
          </cell>
        </row>
        <row r="9364">
          <cell r="A9364">
            <v>0</v>
          </cell>
          <cell r="B9364">
            <v>0</v>
          </cell>
        </row>
        <row r="9365">
          <cell r="A9365">
            <v>0</v>
          </cell>
          <cell r="B9365">
            <v>0</v>
          </cell>
        </row>
        <row r="9366">
          <cell r="A9366">
            <v>0</v>
          </cell>
          <cell r="B9366">
            <v>0</v>
          </cell>
        </row>
        <row r="9367">
          <cell r="A9367">
            <v>0</v>
          </cell>
          <cell r="B9367">
            <v>0</v>
          </cell>
        </row>
        <row r="9368">
          <cell r="A9368">
            <v>0</v>
          </cell>
          <cell r="B9368">
            <v>0</v>
          </cell>
        </row>
        <row r="9369">
          <cell r="A9369">
            <v>0</v>
          </cell>
          <cell r="B9369">
            <v>0</v>
          </cell>
        </row>
        <row r="9370">
          <cell r="A9370">
            <v>0</v>
          </cell>
          <cell r="B9370">
            <v>0</v>
          </cell>
        </row>
        <row r="9371">
          <cell r="A9371">
            <v>0</v>
          </cell>
          <cell r="B9371">
            <v>0</v>
          </cell>
        </row>
        <row r="9372">
          <cell r="A9372">
            <v>0</v>
          </cell>
          <cell r="B9372">
            <v>0</v>
          </cell>
        </row>
        <row r="9373">
          <cell r="A9373">
            <v>0</v>
          </cell>
          <cell r="B9373">
            <v>0</v>
          </cell>
        </row>
        <row r="9374">
          <cell r="A9374">
            <v>0</v>
          </cell>
          <cell r="B9374">
            <v>0</v>
          </cell>
        </row>
        <row r="9375">
          <cell r="A9375">
            <v>0</v>
          </cell>
          <cell r="B9375">
            <v>0</v>
          </cell>
        </row>
        <row r="9376">
          <cell r="A9376">
            <v>0</v>
          </cell>
          <cell r="B9376">
            <v>0</v>
          </cell>
        </row>
        <row r="9377">
          <cell r="A9377">
            <v>0</v>
          </cell>
          <cell r="B9377">
            <v>0</v>
          </cell>
        </row>
        <row r="9378">
          <cell r="A9378">
            <v>0</v>
          </cell>
          <cell r="B9378">
            <v>0</v>
          </cell>
        </row>
        <row r="9379">
          <cell r="A9379">
            <v>0</v>
          </cell>
          <cell r="B9379">
            <v>0</v>
          </cell>
        </row>
        <row r="9380">
          <cell r="A9380">
            <v>0</v>
          </cell>
          <cell r="B9380">
            <v>0</v>
          </cell>
        </row>
        <row r="9381">
          <cell r="A9381">
            <v>0</v>
          </cell>
          <cell r="B9381">
            <v>0</v>
          </cell>
        </row>
        <row r="9382">
          <cell r="A9382">
            <v>0</v>
          </cell>
          <cell r="B9382">
            <v>0</v>
          </cell>
        </row>
        <row r="9383">
          <cell r="A9383">
            <v>0</v>
          </cell>
          <cell r="B9383">
            <v>0</v>
          </cell>
        </row>
        <row r="9384">
          <cell r="A9384">
            <v>0</v>
          </cell>
          <cell r="B9384">
            <v>0</v>
          </cell>
        </row>
        <row r="9385">
          <cell r="A9385">
            <v>0</v>
          </cell>
          <cell r="B9385">
            <v>0</v>
          </cell>
        </row>
        <row r="9386">
          <cell r="A9386">
            <v>0</v>
          </cell>
          <cell r="B9386">
            <v>0</v>
          </cell>
        </row>
        <row r="9387">
          <cell r="A9387">
            <v>0</v>
          </cell>
          <cell r="B9387">
            <v>0</v>
          </cell>
        </row>
        <row r="9388">
          <cell r="A9388">
            <v>0</v>
          </cell>
          <cell r="B9388">
            <v>0</v>
          </cell>
        </row>
        <row r="9389">
          <cell r="A9389">
            <v>0</v>
          </cell>
          <cell r="B9389">
            <v>0</v>
          </cell>
        </row>
        <row r="9390">
          <cell r="A9390">
            <v>0</v>
          </cell>
          <cell r="B9390">
            <v>0</v>
          </cell>
        </row>
        <row r="9391">
          <cell r="A9391">
            <v>0</v>
          </cell>
          <cell r="B9391">
            <v>0</v>
          </cell>
        </row>
        <row r="9392">
          <cell r="A9392">
            <v>0</v>
          </cell>
          <cell r="B9392">
            <v>0</v>
          </cell>
        </row>
        <row r="9393">
          <cell r="A9393">
            <v>0</v>
          </cell>
          <cell r="B9393">
            <v>0</v>
          </cell>
        </row>
        <row r="9394">
          <cell r="A9394">
            <v>0</v>
          </cell>
          <cell r="B9394">
            <v>0</v>
          </cell>
        </row>
        <row r="9395">
          <cell r="A9395">
            <v>0</v>
          </cell>
          <cell r="B9395">
            <v>0</v>
          </cell>
        </row>
        <row r="9396">
          <cell r="A9396">
            <v>0</v>
          </cell>
          <cell r="B9396">
            <v>0</v>
          </cell>
        </row>
        <row r="9397">
          <cell r="A9397">
            <v>0</v>
          </cell>
          <cell r="B9397">
            <v>0</v>
          </cell>
        </row>
        <row r="9398">
          <cell r="A9398">
            <v>0</v>
          </cell>
          <cell r="B9398">
            <v>0</v>
          </cell>
        </row>
        <row r="9399">
          <cell r="A9399">
            <v>0</v>
          </cell>
          <cell r="B9399">
            <v>0</v>
          </cell>
        </row>
        <row r="9400">
          <cell r="A9400">
            <v>0</v>
          </cell>
          <cell r="B9400">
            <v>0</v>
          </cell>
        </row>
        <row r="9401">
          <cell r="A9401">
            <v>0</v>
          </cell>
          <cell r="B9401">
            <v>0</v>
          </cell>
        </row>
        <row r="9402">
          <cell r="A9402">
            <v>0</v>
          </cell>
          <cell r="B9402">
            <v>0</v>
          </cell>
        </row>
        <row r="9403">
          <cell r="A9403">
            <v>0</v>
          </cell>
          <cell r="B9403">
            <v>0</v>
          </cell>
        </row>
        <row r="9404">
          <cell r="A9404">
            <v>0</v>
          </cell>
          <cell r="B9404">
            <v>0</v>
          </cell>
        </row>
        <row r="9405">
          <cell r="A9405">
            <v>0</v>
          </cell>
          <cell r="B9405">
            <v>0</v>
          </cell>
        </row>
        <row r="9406">
          <cell r="A9406">
            <v>0</v>
          </cell>
          <cell r="B9406">
            <v>0</v>
          </cell>
        </row>
        <row r="9407">
          <cell r="A9407">
            <v>0</v>
          </cell>
          <cell r="B9407">
            <v>0</v>
          </cell>
        </row>
        <row r="9408">
          <cell r="A9408">
            <v>0</v>
          </cell>
          <cell r="B9408">
            <v>0</v>
          </cell>
        </row>
        <row r="9409">
          <cell r="A9409">
            <v>0</v>
          </cell>
          <cell r="B9409">
            <v>0</v>
          </cell>
        </row>
        <row r="9410">
          <cell r="A9410">
            <v>0</v>
          </cell>
          <cell r="B9410">
            <v>0</v>
          </cell>
        </row>
        <row r="9411">
          <cell r="A9411">
            <v>0</v>
          </cell>
          <cell r="B9411">
            <v>0</v>
          </cell>
        </row>
        <row r="9412">
          <cell r="A9412">
            <v>0</v>
          </cell>
          <cell r="B9412">
            <v>0</v>
          </cell>
        </row>
        <row r="9413">
          <cell r="A9413">
            <v>0</v>
          </cell>
          <cell r="B9413">
            <v>0</v>
          </cell>
        </row>
        <row r="9414">
          <cell r="A9414">
            <v>0</v>
          </cell>
          <cell r="B9414">
            <v>0</v>
          </cell>
        </row>
        <row r="9415">
          <cell r="A9415">
            <v>0</v>
          </cell>
          <cell r="B9415">
            <v>0</v>
          </cell>
        </row>
        <row r="9416">
          <cell r="A9416">
            <v>0</v>
          </cell>
          <cell r="B9416">
            <v>0</v>
          </cell>
        </row>
        <row r="9417">
          <cell r="A9417">
            <v>0</v>
          </cell>
          <cell r="B9417">
            <v>0</v>
          </cell>
        </row>
        <row r="9418">
          <cell r="A9418">
            <v>0</v>
          </cell>
          <cell r="B9418">
            <v>0</v>
          </cell>
        </row>
        <row r="9419">
          <cell r="A9419">
            <v>0</v>
          </cell>
          <cell r="B9419">
            <v>0</v>
          </cell>
        </row>
        <row r="9420">
          <cell r="A9420">
            <v>0</v>
          </cell>
          <cell r="B9420">
            <v>0</v>
          </cell>
        </row>
        <row r="9421">
          <cell r="A9421">
            <v>0</v>
          </cell>
          <cell r="B9421">
            <v>0</v>
          </cell>
        </row>
        <row r="9422">
          <cell r="A9422">
            <v>0</v>
          </cell>
          <cell r="B9422">
            <v>0</v>
          </cell>
        </row>
        <row r="9423">
          <cell r="A9423">
            <v>0</v>
          </cell>
          <cell r="B9423">
            <v>0</v>
          </cell>
        </row>
        <row r="9424">
          <cell r="A9424">
            <v>0</v>
          </cell>
          <cell r="B9424">
            <v>0</v>
          </cell>
        </row>
        <row r="9425">
          <cell r="A9425">
            <v>0</v>
          </cell>
          <cell r="B9425">
            <v>0</v>
          </cell>
        </row>
        <row r="9426">
          <cell r="A9426">
            <v>0</v>
          </cell>
          <cell r="B9426">
            <v>0</v>
          </cell>
        </row>
        <row r="9427">
          <cell r="A9427">
            <v>0</v>
          </cell>
          <cell r="B9427">
            <v>0</v>
          </cell>
        </row>
        <row r="9428">
          <cell r="A9428">
            <v>0</v>
          </cell>
          <cell r="B9428">
            <v>0</v>
          </cell>
        </row>
        <row r="9429">
          <cell r="A9429">
            <v>0</v>
          </cell>
          <cell r="B9429">
            <v>0</v>
          </cell>
        </row>
        <row r="9430">
          <cell r="A9430">
            <v>0</v>
          </cell>
          <cell r="B9430">
            <v>0</v>
          </cell>
        </row>
        <row r="9431">
          <cell r="A9431">
            <v>0</v>
          </cell>
          <cell r="B9431">
            <v>0</v>
          </cell>
        </row>
        <row r="9432">
          <cell r="A9432">
            <v>0</v>
          </cell>
          <cell r="B9432">
            <v>0</v>
          </cell>
        </row>
        <row r="9433">
          <cell r="A9433">
            <v>0</v>
          </cell>
          <cell r="B9433">
            <v>0</v>
          </cell>
        </row>
        <row r="9434">
          <cell r="A9434">
            <v>0</v>
          </cell>
          <cell r="B9434">
            <v>0</v>
          </cell>
        </row>
        <row r="9435">
          <cell r="A9435">
            <v>0</v>
          </cell>
          <cell r="B9435">
            <v>0</v>
          </cell>
        </row>
        <row r="9436">
          <cell r="A9436">
            <v>0</v>
          </cell>
          <cell r="B9436">
            <v>0</v>
          </cell>
        </row>
        <row r="9437">
          <cell r="A9437">
            <v>0</v>
          </cell>
          <cell r="B9437">
            <v>0</v>
          </cell>
        </row>
        <row r="9438">
          <cell r="A9438">
            <v>0</v>
          </cell>
          <cell r="B9438">
            <v>0</v>
          </cell>
        </row>
        <row r="9439">
          <cell r="A9439">
            <v>0</v>
          </cell>
          <cell r="B9439">
            <v>0</v>
          </cell>
        </row>
        <row r="9440">
          <cell r="A9440">
            <v>0</v>
          </cell>
          <cell r="B9440">
            <v>0</v>
          </cell>
        </row>
        <row r="9441">
          <cell r="A9441">
            <v>0</v>
          </cell>
          <cell r="B9441">
            <v>0</v>
          </cell>
        </row>
        <row r="9442">
          <cell r="A9442">
            <v>0</v>
          </cell>
          <cell r="B9442">
            <v>0</v>
          </cell>
        </row>
        <row r="9443">
          <cell r="A9443">
            <v>0</v>
          </cell>
          <cell r="B9443">
            <v>0</v>
          </cell>
        </row>
        <row r="9444">
          <cell r="A9444">
            <v>0</v>
          </cell>
          <cell r="B9444">
            <v>0</v>
          </cell>
        </row>
        <row r="9445">
          <cell r="A9445">
            <v>0</v>
          </cell>
          <cell r="B9445">
            <v>0</v>
          </cell>
        </row>
        <row r="9446">
          <cell r="A9446">
            <v>0</v>
          </cell>
          <cell r="B9446">
            <v>0</v>
          </cell>
        </row>
        <row r="9447">
          <cell r="A9447">
            <v>0</v>
          </cell>
          <cell r="B9447">
            <v>0</v>
          </cell>
        </row>
        <row r="9448">
          <cell r="A9448">
            <v>0</v>
          </cell>
          <cell r="B9448">
            <v>0</v>
          </cell>
        </row>
        <row r="9449">
          <cell r="A9449">
            <v>0</v>
          </cell>
          <cell r="B9449">
            <v>0</v>
          </cell>
        </row>
        <row r="9450">
          <cell r="A9450">
            <v>0</v>
          </cell>
          <cell r="B9450">
            <v>0</v>
          </cell>
        </row>
        <row r="9451">
          <cell r="A9451">
            <v>0</v>
          </cell>
          <cell r="B9451">
            <v>0</v>
          </cell>
        </row>
        <row r="9452">
          <cell r="A9452">
            <v>0</v>
          </cell>
          <cell r="B9452">
            <v>0</v>
          </cell>
        </row>
        <row r="9453">
          <cell r="A9453">
            <v>0</v>
          </cell>
          <cell r="B9453">
            <v>0</v>
          </cell>
        </row>
        <row r="9454">
          <cell r="A9454">
            <v>0</v>
          </cell>
          <cell r="B9454">
            <v>0</v>
          </cell>
        </row>
        <row r="9455">
          <cell r="A9455">
            <v>0</v>
          </cell>
          <cell r="B9455">
            <v>0</v>
          </cell>
        </row>
        <row r="9456">
          <cell r="A9456">
            <v>0</v>
          </cell>
          <cell r="B9456">
            <v>0</v>
          </cell>
        </row>
        <row r="9457">
          <cell r="A9457">
            <v>0</v>
          </cell>
          <cell r="B9457">
            <v>0</v>
          </cell>
        </row>
        <row r="9458">
          <cell r="A9458">
            <v>0</v>
          </cell>
          <cell r="B9458">
            <v>0</v>
          </cell>
        </row>
        <row r="9459">
          <cell r="A9459">
            <v>0</v>
          </cell>
          <cell r="B9459">
            <v>0</v>
          </cell>
        </row>
        <row r="9460">
          <cell r="A9460">
            <v>0</v>
          </cell>
          <cell r="B9460">
            <v>0</v>
          </cell>
        </row>
        <row r="9461">
          <cell r="A9461">
            <v>0</v>
          </cell>
          <cell r="B9461">
            <v>0</v>
          </cell>
        </row>
        <row r="9462">
          <cell r="A9462">
            <v>0</v>
          </cell>
          <cell r="B9462">
            <v>0</v>
          </cell>
        </row>
        <row r="9463">
          <cell r="A9463">
            <v>0</v>
          </cell>
          <cell r="B9463">
            <v>0</v>
          </cell>
        </row>
        <row r="9464">
          <cell r="A9464">
            <v>0</v>
          </cell>
          <cell r="B9464">
            <v>0</v>
          </cell>
        </row>
        <row r="9465">
          <cell r="A9465">
            <v>0</v>
          </cell>
          <cell r="B9465">
            <v>0</v>
          </cell>
        </row>
        <row r="9466">
          <cell r="A9466">
            <v>0</v>
          </cell>
          <cell r="B9466">
            <v>0</v>
          </cell>
        </row>
        <row r="9467">
          <cell r="A9467">
            <v>0</v>
          </cell>
          <cell r="B9467">
            <v>0</v>
          </cell>
        </row>
        <row r="9468">
          <cell r="A9468">
            <v>0</v>
          </cell>
          <cell r="B9468">
            <v>0</v>
          </cell>
        </row>
        <row r="9469">
          <cell r="A9469">
            <v>0</v>
          </cell>
          <cell r="B9469">
            <v>0</v>
          </cell>
        </row>
        <row r="9470">
          <cell r="A9470">
            <v>0</v>
          </cell>
          <cell r="B9470">
            <v>0</v>
          </cell>
        </row>
        <row r="9471">
          <cell r="A9471">
            <v>0</v>
          </cell>
          <cell r="B9471">
            <v>0</v>
          </cell>
        </row>
        <row r="9472">
          <cell r="A9472">
            <v>0</v>
          </cell>
          <cell r="B9472">
            <v>0</v>
          </cell>
        </row>
        <row r="9473">
          <cell r="A9473">
            <v>0</v>
          </cell>
          <cell r="B9473">
            <v>0</v>
          </cell>
        </row>
        <row r="9474">
          <cell r="A9474">
            <v>0</v>
          </cell>
          <cell r="B9474">
            <v>0</v>
          </cell>
        </row>
        <row r="9475">
          <cell r="A9475">
            <v>0</v>
          </cell>
          <cell r="B9475">
            <v>0</v>
          </cell>
        </row>
        <row r="9476">
          <cell r="A9476">
            <v>0</v>
          </cell>
          <cell r="B9476">
            <v>0</v>
          </cell>
        </row>
        <row r="9477">
          <cell r="A9477">
            <v>0</v>
          </cell>
          <cell r="B9477">
            <v>0</v>
          </cell>
        </row>
        <row r="9478">
          <cell r="A9478">
            <v>0</v>
          </cell>
          <cell r="B9478">
            <v>0</v>
          </cell>
        </row>
        <row r="9479">
          <cell r="A9479">
            <v>0</v>
          </cell>
          <cell r="B9479">
            <v>0</v>
          </cell>
        </row>
        <row r="9480">
          <cell r="A9480">
            <v>0</v>
          </cell>
          <cell r="B9480">
            <v>0</v>
          </cell>
        </row>
        <row r="9481">
          <cell r="A9481">
            <v>0</v>
          </cell>
          <cell r="B9481">
            <v>0</v>
          </cell>
        </row>
        <row r="9482">
          <cell r="A9482">
            <v>0</v>
          </cell>
          <cell r="B9482">
            <v>0</v>
          </cell>
        </row>
        <row r="9483">
          <cell r="A9483">
            <v>0</v>
          </cell>
          <cell r="B9483">
            <v>0</v>
          </cell>
        </row>
        <row r="9484">
          <cell r="A9484">
            <v>0</v>
          </cell>
          <cell r="B9484">
            <v>0</v>
          </cell>
        </row>
        <row r="9485">
          <cell r="A9485">
            <v>0</v>
          </cell>
          <cell r="B9485">
            <v>0</v>
          </cell>
        </row>
        <row r="9486">
          <cell r="A9486">
            <v>0</v>
          </cell>
          <cell r="B9486">
            <v>0</v>
          </cell>
        </row>
        <row r="9487">
          <cell r="A9487">
            <v>0</v>
          </cell>
          <cell r="B9487">
            <v>0</v>
          </cell>
        </row>
        <row r="9488">
          <cell r="A9488">
            <v>0</v>
          </cell>
          <cell r="B9488">
            <v>0</v>
          </cell>
        </row>
        <row r="9489">
          <cell r="A9489">
            <v>0</v>
          </cell>
          <cell r="B9489">
            <v>0</v>
          </cell>
        </row>
        <row r="9490">
          <cell r="A9490">
            <v>0</v>
          </cell>
          <cell r="B9490">
            <v>0</v>
          </cell>
        </row>
        <row r="9491">
          <cell r="A9491">
            <v>0</v>
          </cell>
          <cell r="B9491">
            <v>0</v>
          </cell>
        </row>
        <row r="9492">
          <cell r="A9492">
            <v>0</v>
          </cell>
          <cell r="B9492">
            <v>0</v>
          </cell>
        </row>
        <row r="9493">
          <cell r="A9493">
            <v>0</v>
          </cell>
          <cell r="B9493">
            <v>0</v>
          </cell>
        </row>
        <row r="9494">
          <cell r="A9494">
            <v>0</v>
          </cell>
          <cell r="B9494">
            <v>0</v>
          </cell>
        </row>
        <row r="9495">
          <cell r="A9495">
            <v>0</v>
          </cell>
          <cell r="B9495">
            <v>0</v>
          </cell>
        </row>
        <row r="9496">
          <cell r="A9496">
            <v>0</v>
          </cell>
          <cell r="B9496">
            <v>0</v>
          </cell>
        </row>
        <row r="9497">
          <cell r="A9497">
            <v>0</v>
          </cell>
          <cell r="B9497">
            <v>0</v>
          </cell>
        </row>
        <row r="9498">
          <cell r="A9498">
            <v>0</v>
          </cell>
          <cell r="B9498">
            <v>0</v>
          </cell>
        </row>
        <row r="9499">
          <cell r="A9499">
            <v>0</v>
          </cell>
          <cell r="B9499">
            <v>0</v>
          </cell>
        </row>
        <row r="9500">
          <cell r="A9500">
            <v>0</v>
          </cell>
          <cell r="B9500">
            <v>0</v>
          </cell>
        </row>
        <row r="9501">
          <cell r="A9501">
            <v>0</v>
          </cell>
          <cell r="B9501">
            <v>0</v>
          </cell>
        </row>
        <row r="9502">
          <cell r="A9502">
            <v>0</v>
          </cell>
          <cell r="B9502">
            <v>0</v>
          </cell>
        </row>
        <row r="9503">
          <cell r="A9503">
            <v>0</v>
          </cell>
          <cell r="B9503">
            <v>0</v>
          </cell>
        </row>
        <row r="9504">
          <cell r="A9504">
            <v>0</v>
          </cell>
          <cell r="B9504">
            <v>0</v>
          </cell>
        </row>
        <row r="9505">
          <cell r="A9505">
            <v>0</v>
          </cell>
          <cell r="B9505">
            <v>0</v>
          </cell>
        </row>
        <row r="9506">
          <cell r="A9506">
            <v>0</v>
          </cell>
          <cell r="B9506">
            <v>0</v>
          </cell>
        </row>
        <row r="9507">
          <cell r="A9507">
            <v>0</v>
          </cell>
          <cell r="B9507">
            <v>0</v>
          </cell>
        </row>
        <row r="9508">
          <cell r="A9508">
            <v>0</v>
          </cell>
          <cell r="B9508">
            <v>0</v>
          </cell>
        </row>
        <row r="9509">
          <cell r="A9509">
            <v>0</v>
          </cell>
          <cell r="B9509">
            <v>0</v>
          </cell>
        </row>
        <row r="9510">
          <cell r="A9510">
            <v>0</v>
          </cell>
          <cell r="B9510">
            <v>0</v>
          </cell>
        </row>
        <row r="9511">
          <cell r="A9511">
            <v>0</v>
          </cell>
          <cell r="B9511">
            <v>0</v>
          </cell>
        </row>
        <row r="9512">
          <cell r="A9512">
            <v>0</v>
          </cell>
          <cell r="B9512">
            <v>0</v>
          </cell>
        </row>
        <row r="9513">
          <cell r="A9513">
            <v>0</v>
          </cell>
          <cell r="B9513">
            <v>0</v>
          </cell>
        </row>
        <row r="9514">
          <cell r="A9514">
            <v>0</v>
          </cell>
          <cell r="B9514">
            <v>0</v>
          </cell>
        </row>
        <row r="9515">
          <cell r="A9515">
            <v>0</v>
          </cell>
          <cell r="B9515">
            <v>0</v>
          </cell>
        </row>
        <row r="9516">
          <cell r="A9516">
            <v>0</v>
          </cell>
          <cell r="B9516">
            <v>0</v>
          </cell>
        </row>
        <row r="9517">
          <cell r="A9517">
            <v>0</v>
          </cell>
          <cell r="B9517">
            <v>0</v>
          </cell>
        </row>
        <row r="9518">
          <cell r="A9518">
            <v>0</v>
          </cell>
          <cell r="B9518">
            <v>0</v>
          </cell>
        </row>
        <row r="9519">
          <cell r="A9519">
            <v>0</v>
          </cell>
          <cell r="B9519">
            <v>0</v>
          </cell>
        </row>
        <row r="9520">
          <cell r="A9520">
            <v>0</v>
          </cell>
          <cell r="B9520">
            <v>0</v>
          </cell>
        </row>
        <row r="9521">
          <cell r="A9521">
            <v>0</v>
          </cell>
          <cell r="B9521">
            <v>0</v>
          </cell>
        </row>
        <row r="9522">
          <cell r="A9522">
            <v>0</v>
          </cell>
          <cell r="B9522">
            <v>0</v>
          </cell>
        </row>
        <row r="9523">
          <cell r="A9523">
            <v>0</v>
          </cell>
          <cell r="B9523">
            <v>0</v>
          </cell>
        </row>
        <row r="9524">
          <cell r="A9524">
            <v>0</v>
          </cell>
          <cell r="B9524">
            <v>0</v>
          </cell>
        </row>
        <row r="9525">
          <cell r="A9525">
            <v>0</v>
          </cell>
          <cell r="B9525">
            <v>0</v>
          </cell>
        </row>
        <row r="9526">
          <cell r="A9526">
            <v>0</v>
          </cell>
          <cell r="B9526">
            <v>0</v>
          </cell>
        </row>
        <row r="9527">
          <cell r="A9527">
            <v>0</v>
          </cell>
          <cell r="B9527">
            <v>0</v>
          </cell>
        </row>
        <row r="9528">
          <cell r="A9528">
            <v>0</v>
          </cell>
          <cell r="B9528">
            <v>0</v>
          </cell>
        </row>
        <row r="9529">
          <cell r="A9529">
            <v>0</v>
          </cell>
          <cell r="B9529">
            <v>0</v>
          </cell>
        </row>
        <row r="9530">
          <cell r="A9530">
            <v>0</v>
          </cell>
          <cell r="B9530">
            <v>0</v>
          </cell>
        </row>
        <row r="9531">
          <cell r="A9531">
            <v>0</v>
          </cell>
          <cell r="B9531">
            <v>0</v>
          </cell>
        </row>
        <row r="9532">
          <cell r="A9532">
            <v>0</v>
          </cell>
          <cell r="B9532">
            <v>0</v>
          </cell>
        </row>
        <row r="9533">
          <cell r="A9533">
            <v>0</v>
          </cell>
          <cell r="B9533">
            <v>0</v>
          </cell>
        </row>
        <row r="9534">
          <cell r="A9534">
            <v>0</v>
          </cell>
          <cell r="B9534">
            <v>0</v>
          </cell>
        </row>
        <row r="9535">
          <cell r="A9535">
            <v>0</v>
          </cell>
          <cell r="B9535">
            <v>0</v>
          </cell>
        </row>
        <row r="9536">
          <cell r="A9536">
            <v>0</v>
          </cell>
          <cell r="B9536">
            <v>0</v>
          </cell>
        </row>
        <row r="9537">
          <cell r="A9537">
            <v>0</v>
          </cell>
          <cell r="B9537">
            <v>0</v>
          </cell>
        </row>
        <row r="9538">
          <cell r="A9538">
            <v>0</v>
          </cell>
          <cell r="B9538">
            <v>0</v>
          </cell>
        </row>
        <row r="9539">
          <cell r="A9539">
            <v>0</v>
          </cell>
          <cell r="B9539">
            <v>0</v>
          </cell>
        </row>
        <row r="9540">
          <cell r="A9540">
            <v>0</v>
          </cell>
          <cell r="B9540">
            <v>0</v>
          </cell>
        </row>
        <row r="9541">
          <cell r="A9541">
            <v>0</v>
          </cell>
          <cell r="B9541">
            <v>0</v>
          </cell>
        </row>
        <row r="9542">
          <cell r="A9542">
            <v>0</v>
          </cell>
          <cell r="B9542">
            <v>0</v>
          </cell>
        </row>
        <row r="9543">
          <cell r="A9543">
            <v>0</v>
          </cell>
          <cell r="B9543">
            <v>0</v>
          </cell>
        </row>
        <row r="9544">
          <cell r="A9544">
            <v>0</v>
          </cell>
          <cell r="B9544">
            <v>0</v>
          </cell>
        </row>
        <row r="9545">
          <cell r="A9545">
            <v>0</v>
          </cell>
          <cell r="B9545">
            <v>0</v>
          </cell>
        </row>
        <row r="9546">
          <cell r="A9546">
            <v>0</v>
          </cell>
          <cell r="B9546">
            <v>0</v>
          </cell>
        </row>
        <row r="9547">
          <cell r="A9547">
            <v>0</v>
          </cell>
          <cell r="B9547">
            <v>0</v>
          </cell>
        </row>
        <row r="9548">
          <cell r="A9548">
            <v>0</v>
          </cell>
          <cell r="B9548">
            <v>0</v>
          </cell>
        </row>
        <row r="9549">
          <cell r="A9549">
            <v>0</v>
          </cell>
          <cell r="B9549">
            <v>0</v>
          </cell>
        </row>
        <row r="9550">
          <cell r="A9550">
            <v>0</v>
          </cell>
          <cell r="B9550">
            <v>0</v>
          </cell>
        </row>
        <row r="9551">
          <cell r="A9551">
            <v>0</v>
          </cell>
          <cell r="B9551">
            <v>0</v>
          </cell>
        </row>
        <row r="9552">
          <cell r="A9552">
            <v>0</v>
          </cell>
          <cell r="B9552">
            <v>0</v>
          </cell>
        </row>
        <row r="9553">
          <cell r="A9553">
            <v>0</v>
          </cell>
          <cell r="B9553">
            <v>0</v>
          </cell>
        </row>
        <row r="9554">
          <cell r="A9554">
            <v>0</v>
          </cell>
          <cell r="B9554">
            <v>0</v>
          </cell>
        </row>
        <row r="9555">
          <cell r="A9555">
            <v>0</v>
          </cell>
          <cell r="B9555">
            <v>0</v>
          </cell>
        </row>
        <row r="9556">
          <cell r="A9556">
            <v>0</v>
          </cell>
          <cell r="B9556">
            <v>0</v>
          </cell>
        </row>
        <row r="9557">
          <cell r="A9557">
            <v>0</v>
          </cell>
          <cell r="B9557">
            <v>0</v>
          </cell>
        </row>
        <row r="9558">
          <cell r="A9558">
            <v>0</v>
          </cell>
          <cell r="B9558">
            <v>0</v>
          </cell>
        </row>
        <row r="9559">
          <cell r="A9559">
            <v>0</v>
          </cell>
          <cell r="B9559">
            <v>0</v>
          </cell>
        </row>
        <row r="9560">
          <cell r="A9560">
            <v>0</v>
          </cell>
          <cell r="B9560">
            <v>0</v>
          </cell>
        </row>
        <row r="9561">
          <cell r="A9561">
            <v>0</v>
          </cell>
          <cell r="B9561">
            <v>0</v>
          </cell>
        </row>
        <row r="9562">
          <cell r="A9562">
            <v>0</v>
          </cell>
          <cell r="B9562">
            <v>0</v>
          </cell>
        </row>
        <row r="9563">
          <cell r="A9563">
            <v>0</v>
          </cell>
          <cell r="B9563">
            <v>0</v>
          </cell>
        </row>
        <row r="9564">
          <cell r="A9564">
            <v>0</v>
          </cell>
          <cell r="B9564">
            <v>0</v>
          </cell>
        </row>
        <row r="9565">
          <cell r="A9565">
            <v>0</v>
          </cell>
          <cell r="B9565">
            <v>0</v>
          </cell>
        </row>
        <row r="9566">
          <cell r="A9566">
            <v>0</v>
          </cell>
          <cell r="B9566">
            <v>0</v>
          </cell>
        </row>
        <row r="9567">
          <cell r="A9567">
            <v>0</v>
          </cell>
          <cell r="B9567">
            <v>0</v>
          </cell>
        </row>
        <row r="9568">
          <cell r="A9568">
            <v>0</v>
          </cell>
          <cell r="B9568">
            <v>0</v>
          </cell>
        </row>
        <row r="9569">
          <cell r="A9569">
            <v>0</v>
          </cell>
          <cell r="B9569">
            <v>0</v>
          </cell>
        </row>
        <row r="9570">
          <cell r="A9570">
            <v>0</v>
          </cell>
          <cell r="B9570">
            <v>0</v>
          </cell>
        </row>
        <row r="9571">
          <cell r="A9571">
            <v>0</v>
          </cell>
          <cell r="B9571">
            <v>0</v>
          </cell>
        </row>
        <row r="9572">
          <cell r="A9572">
            <v>0</v>
          </cell>
          <cell r="B9572">
            <v>0</v>
          </cell>
        </row>
        <row r="9573">
          <cell r="A9573">
            <v>0</v>
          </cell>
          <cell r="B9573">
            <v>0</v>
          </cell>
        </row>
        <row r="9574">
          <cell r="A9574">
            <v>0</v>
          </cell>
          <cell r="B9574">
            <v>0</v>
          </cell>
        </row>
        <row r="9575">
          <cell r="A9575">
            <v>0</v>
          </cell>
          <cell r="B9575">
            <v>0</v>
          </cell>
        </row>
        <row r="9576">
          <cell r="A9576">
            <v>0</v>
          </cell>
          <cell r="B9576">
            <v>0</v>
          </cell>
        </row>
        <row r="9577">
          <cell r="A9577">
            <v>0</v>
          </cell>
          <cell r="B9577">
            <v>0</v>
          </cell>
        </row>
        <row r="9578">
          <cell r="A9578">
            <v>0</v>
          </cell>
          <cell r="B9578">
            <v>0</v>
          </cell>
        </row>
        <row r="9579">
          <cell r="A9579">
            <v>0</v>
          </cell>
          <cell r="B9579">
            <v>0</v>
          </cell>
        </row>
        <row r="9580">
          <cell r="A9580">
            <v>0</v>
          </cell>
          <cell r="B9580">
            <v>0</v>
          </cell>
        </row>
        <row r="9581">
          <cell r="A9581">
            <v>0</v>
          </cell>
          <cell r="B9581">
            <v>0</v>
          </cell>
        </row>
        <row r="9582">
          <cell r="A9582">
            <v>0</v>
          </cell>
          <cell r="B9582">
            <v>0</v>
          </cell>
        </row>
        <row r="9583">
          <cell r="A9583">
            <v>0</v>
          </cell>
          <cell r="B9583">
            <v>0</v>
          </cell>
        </row>
        <row r="9584">
          <cell r="A9584">
            <v>0</v>
          </cell>
          <cell r="B9584">
            <v>0</v>
          </cell>
        </row>
        <row r="9585">
          <cell r="A9585">
            <v>0</v>
          </cell>
          <cell r="B9585">
            <v>0</v>
          </cell>
        </row>
        <row r="9586">
          <cell r="A9586">
            <v>0</v>
          </cell>
          <cell r="B9586">
            <v>0</v>
          </cell>
        </row>
        <row r="9587">
          <cell r="A9587">
            <v>0</v>
          </cell>
          <cell r="B9587">
            <v>0</v>
          </cell>
        </row>
        <row r="9588">
          <cell r="A9588">
            <v>0</v>
          </cell>
          <cell r="B9588">
            <v>0</v>
          </cell>
        </row>
        <row r="9589">
          <cell r="A9589">
            <v>0</v>
          </cell>
          <cell r="B9589">
            <v>0</v>
          </cell>
        </row>
        <row r="9590">
          <cell r="A9590">
            <v>0</v>
          </cell>
          <cell r="B9590">
            <v>0</v>
          </cell>
        </row>
        <row r="9591">
          <cell r="A9591">
            <v>0</v>
          </cell>
          <cell r="B9591">
            <v>0</v>
          </cell>
        </row>
        <row r="9592">
          <cell r="A9592">
            <v>0</v>
          </cell>
          <cell r="B9592">
            <v>0</v>
          </cell>
        </row>
        <row r="9593">
          <cell r="A9593">
            <v>0</v>
          </cell>
          <cell r="B9593">
            <v>0</v>
          </cell>
        </row>
        <row r="9594">
          <cell r="A9594">
            <v>0</v>
          </cell>
          <cell r="B9594">
            <v>0</v>
          </cell>
        </row>
        <row r="9595">
          <cell r="A9595">
            <v>0</v>
          </cell>
          <cell r="B9595">
            <v>0</v>
          </cell>
        </row>
        <row r="9596">
          <cell r="A9596">
            <v>0</v>
          </cell>
          <cell r="B9596">
            <v>0</v>
          </cell>
        </row>
        <row r="9597">
          <cell r="A9597">
            <v>0</v>
          </cell>
          <cell r="B9597">
            <v>0</v>
          </cell>
        </row>
        <row r="9598">
          <cell r="A9598">
            <v>0</v>
          </cell>
          <cell r="B9598">
            <v>0</v>
          </cell>
        </row>
        <row r="9599">
          <cell r="A9599">
            <v>0</v>
          </cell>
          <cell r="B9599">
            <v>0</v>
          </cell>
        </row>
        <row r="9600">
          <cell r="A9600">
            <v>0</v>
          </cell>
          <cell r="B9600">
            <v>0</v>
          </cell>
        </row>
        <row r="9601">
          <cell r="A9601">
            <v>0</v>
          </cell>
          <cell r="B9601">
            <v>0</v>
          </cell>
        </row>
        <row r="9602">
          <cell r="A9602">
            <v>0</v>
          </cell>
          <cell r="B9602">
            <v>0</v>
          </cell>
        </row>
        <row r="9603">
          <cell r="A9603">
            <v>0</v>
          </cell>
          <cell r="B9603">
            <v>0</v>
          </cell>
        </row>
        <row r="9604">
          <cell r="A9604">
            <v>0</v>
          </cell>
          <cell r="B9604">
            <v>0</v>
          </cell>
        </row>
        <row r="9605">
          <cell r="A9605">
            <v>0</v>
          </cell>
          <cell r="B9605">
            <v>0</v>
          </cell>
        </row>
        <row r="9606">
          <cell r="A9606">
            <v>0</v>
          </cell>
          <cell r="B9606">
            <v>0</v>
          </cell>
        </row>
        <row r="9607">
          <cell r="A9607">
            <v>0</v>
          </cell>
          <cell r="B9607">
            <v>0</v>
          </cell>
        </row>
        <row r="9608">
          <cell r="A9608">
            <v>0</v>
          </cell>
          <cell r="B9608">
            <v>0</v>
          </cell>
        </row>
        <row r="9609">
          <cell r="A9609">
            <v>0</v>
          </cell>
          <cell r="B9609">
            <v>0</v>
          </cell>
        </row>
        <row r="9610">
          <cell r="A9610">
            <v>0</v>
          </cell>
          <cell r="B9610">
            <v>0</v>
          </cell>
        </row>
        <row r="9611">
          <cell r="A9611">
            <v>0</v>
          </cell>
          <cell r="B9611">
            <v>0</v>
          </cell>
        </row>
        <row r="9612">
          <cell r="A9612">
            <v>0</v>
          </cell>
          <cell r="B9612">
            <v>0</v>
          </cell>
        </row>
        <row r="9613">
          <cell r="A9613">
            <v>0</v>
          </cell>
          <cell r="B9613">
            <v>0</v>
          </cell>
        </row>
        <row r="9614">
          <cell r="A9614">
            <v>0</v>
          </cell>
          <cell r="B9614">
            <v>0</v>
          </cell>
        </row>
        <row r="9615">
          <cell r="A9615">
            <v>0</v>
          </cell>
          <cell r="B9615">
            <v>0</v>
          </cell>
        </row>
        <row r="9616">
          <cell r="A9616">
            <v>0</v>
          </cell>
          <cell r="B9616">
            <v>0</v>
          </cell>
        </row>
        <row r="9617">
          <cell r="A9617">
            <v>0</v>
          </cell>
          <cell r="B9617">
            <v>0</v>
          </cell>
        </row>
        <row r="9618">
          <cell r="A9618">
            <v>0</v>
          </cell>
          <cell r="B9618">
            <v>0</v>
          </cell>
        </row>
        <row r="9619">
          <cell r="A9619">
            <v>0</v>
          </cell>
          <cell r="B9619">
            <v>0</v>
          </cell>
        </row>
        <row r="9620">
          <cell r="A9620">
            <v>0</v>
          </cell>
          <cell r="B9620">
            <v>0</v>
          </cell>
        </row>
        <row r="9621">
          <cell r="A9621">
            <v>0</v>
          </cell>
          <cell r="B9621">
            <v>0</v>
          </cell>
        </row>
        <row r="9622">
          <cell r="A9622">
            <v>0</v>
          </cell>
          <cell r="B9622">
            <v>0</v>
          </cell>
        </row>
        <row r="9623">
          <cell r="A9623">
            <v>0</v>
          </cell>
          <cell r="B9623">
            <v>0</v>
          </cell>
        </row>
        <row r="9624">
          <cell r="A9624">
            <v>0</v>
          </cell>
          <cell r="B9624">
            <v>0</v>
          </cell>
        </row>
        <row r="9625">
          <cell r="A9625">
            <v>0</v>
          </cell>
          <cell r="B9625">
            <v>0</v>
          </cell>
        </row>
        <row r="9626">
          <cell r="A9626">
            <v>0</v>
          </cell>
          <cell r="B9626">
            <v>0</v>
          </cell>
        </row>
        <row r="9627">
          <cell r="A9627">
            <v>0</v>
          </cell>
          <cell r="B9627">
            <v>0</v>
          </cell>
        </row>
        <row r="9628">
          <cell r="A9628">
            <v>0</v>
          </cell>
          <cell r="B9628">
            <v>0</v>
          </cell>
        </row>
        <row r="9629">
          <cell r="A9629">
            <v>0</v>
          </cell>
          <cell r="B9629">
            <v>0</v>
          </cell>
        </row>
        <row r="9630">
          <cell r="A9630">
            <v>0</v>
          </cell>
          <cell r="B9630">
            <v>0</v>
          </cell>
        </row>
        <row r="9631">
          <cell r="A9631">
            <v>0</v>
          </cell>
          <cell r="B9631">
            <v>0</v>
          </cell>
        </row>
        <row r="9632">
          <cell r="A9632">
            <v>0</v>
          </cell>
          <cell r="B9632">
            <v>0</v>
          </cell>
        </row>
        <row r="9633">
          <cell r="A9633">
            <v>0</v>
          </cell>
          <cell r="B9633">
            <v>0</v>
          </cell>
        </row>
        <row r="9634">
          <cell r="A9634">
            <v>0</v>
          </cell>
          <cell r="B9634">
            <v>0</v>
          </cell>
        </row>
        <row r="9635">
          <cell r="A9635">
            <v>0</v>
          </cell>
          <cell r="B9635">
            <v>0</v>
          </cell>
        </row>
        <row r="9636">
          <cell r="A9636">
            <v>0</v>
          </cell>
          <cell r="B9636">
            <v>0</v>
          </cell>
        </row>
        <row r="9637">
          <cell r="A9637">
            <v>0</v>
          </cell>
          <cell r="B9637">
            <v>0</v>
          </cell>
        </row>
        <row r="9638">
          <cell r="A9638">
            <v>0</v>
          </cell>
          <cell r="B9638">
            <v>0</v>
          </cell>
        </row>
        <row r="9639">
          <cell r="A9639">
            <v>0</v>
          </cell>
          <cell r="B9639">
            <v>0</v>
          </cell>
        </row>
        <row r="9640">
          <cell r="A9640">
            <v>0</v>
          </cell>
          <cell r="B9640">
            <v>0</v>
          </cell>
        </row>
        <row r="9641">
          <cell r="A9641">
            <v>0</v>
          </cell>
          <cell r="B9641">
            <v>0</v>
          </cell>
        </row>
        <row r="9642">
          <cell r="A9642">
            <v>0</v>
          </cell>
          <cell r="B9642">
            <v>0</v>
          </cell>
        </row>
        <row r="9643">
          <cell r="A9643">
            <v>0</v>
          </cell>
          <cell r="B9643">
            <v>0</v>
          </cell>
        </row>
        <row r="9644">
          <cell r="A9644">
            <v>0</v>
          </cell>
          <cell r="B9644">
            <v>0</v>
          </cell>
        </row>
        <row r="9645">
          <cell r="A9645">
            <v>0</v>
          </cell>
          <cell r="B9645">
            <v>0</v>
          </cell>
        </row>
        <row r="9646">
          <cell r="A9646">
            <v>0</v>
          </cell>
          <cell r="B9646">
            <v>0</v>
          </cell>
        </row>
        <row r="9647">
          <cell r="A9647">
            <v>0</v>
          </cell>
          <cell r="B9647">
            <v>0</v>
          </cell>
        </row>
        <row r="9648">
          <cell r="A9648">
            <v>0</v>
          </cell>
          <cell r="B9648">
            <v>0</v>
          </cell>
        </row>
        <row r="9649">
          <cell r="A9649">
            <v>0</v>
          </cell>
          <cell r="B9649">
            <v>0</v>
          </cell>
        </row>
        <row r="9650">
          <cell r="A9650">
            <v>0</v>
          </cell>
          <cell r="B9650">
            <v>0</v>
          </cell>
        </row>
        <row r="9651">
          <cell r="A9651">
            <v>0</v>
          </cell>
          <cell r="B9651">
            <v>0</v>
          </cell>
        </row>
        <row r="9652">
          <cell r="A9652">
            <v>0</v>
          </cell>
          <cell r="B9652">
            <v>0</v>
          </cell>
        </row>
        <row r="9653">
          <cell r="A9653">
            <v>0</v>
          </cell>
          <cell r="B9653">
            <v>0</v>
          </cell>
        </row>
        <row r="9654">
          <cell r="A9654">
            <v>0</v>
          </cell>
          <cell r="B9654">
            <v>0</v>
          </cell>
        </row>
        <row r="9655">
          <cell r="A9655">
            <v>0</v>
          </cell>
          <cell r="B9655">
            <v>0</v>
          </cell>
        </row>
        <row r="9656">
          <cell r="A9656">
            <v>0</v>
          </cell>
          <cell r="B9656">
            <v>0</v>
          </cell>
        </row>
        <row r="9657">
          <cell r="A9657">
            <v>0</v>
          </cell>
          <cell r="B9657">
            <v>0</v>
          </cell>
        </row>
        <row r="9658">
          <cell r="A9658">
            <v>0</v>
          </cell>
          <cell r="B9658">
            <v>0</v>
          </cell>
        </row>
        <row r="9659">
          <cell r="A9659">
            <v>0</v>
          </cell>
          <cell r="B9659">
            <v>0</v>
          </cell>
        </row>
        <row r="9660">
          <cell r="A9660">
            <v>0</v>
          </cell>
          <cell r="B9660">
            <v>0</v>
          </cell>
        </row>
        <row r="9661">
          <cell r="A9661">
            <v>0</v>
          </cell>
          <cell r="B9661">
            <v>0</v>
          </cell>
        </row>
        <row r="9662">
          <cell r="A9662">
            <v>0</v>
          </cell>
          <cell r="B9662">
            <v>0</v>
          </cell>
        </row>
        <row r="9663">
          <cell r="A9663">
            <v>0</v>
          </cell>
          <cell r="B9663">
            <v>0</v>
          </cell>
        </row>
        <row r="9664">
          <cell r="A9664">
            <v>0</v>
          </cell>
          <cell r="B9664">
            <v>0</v>
          </cell>
        </row>
        <row r="9665">
          <cell r="A9665">
            <v>0</v>
          </cell>
          <cell r="B9665">
            <v>0</v>
          </cell>
        </row>
        <row r="9666">
          <cell r="A9666">
            <v>0</v>
          </cell>
          <cell r="B9666">
            <v>0</v>
          </cell>
        </row>
        <row r="9667">
          <cell r="A9667">
            <v>0</v>
          </cell>
          <cell r="B9667">
            <v>0</v>
          </cell>
        </row>
        <row r="9668">
          <cell r="A9668">
            <v>0</v>
          </cell>
          <cell r="B9668">
            <v>0</v>
          </cell>
        </row>
        <row r="9669">
          <cell r="A9669">
            <v>0</v>
          </cell>
          <cell r="B9669">
            <v>0</v>
          </cell>
        </row>
        <row r="9670">
          <cell r="A9670">
            <v>0</v>
          </cell>
          <cell r="B9670">
            <v>0</v>
          </cell>
        </row>
        <row r="9671">
          <cell r="A9671">
            <v>0</v>
          </cell>
          <cell r="B9671">
            <v>0</v>
          </cell>
        </row>
        <row r="9672">
          <cell r="A9672">
            <v>0</v>
          </cell>
          <cell r="B9672">
            <v>0</v>
          </cell>
        </row>
        <row r="9673">
          <cell r="A9673">
            <v>0</v>
          </cell>
          <cell r="B9673">
            <v>0</v>
          </cell>
        </row>
        <row r="9674">
          <cell r="A9674">
            <v>0</v>
          </cell>
          <cell r="B9674">
            <v>0</v>
          </cell>
        </row>
        <row r="9675">
          <cell r="A9675">
            <v>0</v>
          </cell>
          <cell r="B9675">
            <v>0</v>
          </cell>
        </row>
        <row r="9676">
          <cell r="A9676">
            <v>0</v>
          </cell>
          <cell r="B9676">
            <v>0</v>
          </cell>
        </row>
        <row r="9677">
          <cell r="A9677">
            <v>0</v>
          </cell>
          <cell r="B9677">
            <v>0</v>
          </cell>
        </row>
        <row r="9678">
          <cell r="A9678">
            <v>0</v>
          </cell>
          <cell r="B9678">
            <v>0</v>
          </cell>
        </row>
        <row r="9679">
          <cell r="A9679">
            <v>0</v>
          </cell>
          <cell r="B9679">
            <v>0</v>
          </cell>
        </row>
        <row r="9680">
          <cell r="A9680">
            <v>0</v>
          </cell>
          <cell r="B9680">
            <v>0</v>
          </cell>
        </row>
        <row r="9681">
          <cell r="A9681">
            <v>0</v>
          </cell>
          <cell r="B9681">
            <v>0</v>
          </cell>
        </row>
        <row r="9682">
          <cell r="A9682">
            <v>0</v>
          </cell>
          <cell r="B9682">
            <v>0</v>
          </cell>
        </row>
        <row r="9683">
          <cell r="A9683">
            <v>0</v>
          </cell>
          <cell r="B9683">
            <v>0</v>
          </cell>
        </row>
        <row r="9684">
          <cell r="A9684">
            <v>0</v>
          </cell>
          <cell r="B9684">
            <v>0</v>
          </cell>
        </row>
        <row r="9685">
          <cell r="A9685">
            <v>0</v>
          </cell>
          <cell r="B9685">
            <v>0</v>
          </cell>
        </row>
        <row r="9686">
          <cell r="A9686">
            <v>0</v>
          </cell>
          <cell r="B9686">
            <v>0</v>
          </cell>
        </row>
        <row r="9687">
          <cell r="A9687">
            <v>0</v>
          </cell>
          <cell r="B9687">
            <v>0</v>
          </cell>
        </row>
        <row r="9688">
          <cell r="A9688">
            <v>0</v>
          </cell>
          <cell r="B9688">
            <v>0</v>
          </cell>
        </row>
        <row r="9689">
          <cell r="A9689">
            <v>0</v>
          </cell>
          <cell r="B9689">
            <v>0</v>
          </cell>
        </row>
        <row r="9690">
          <cell r="A9690">
            <v>0</v>
          </cell>
          <cell r="B9690">
            <v>0</v>
          </cell>
        </row>
        <row r="9691">
          <cell r="A9691">
            <v>0</v>
          </cell>
          <cell r="B9691">
            <v>0</v>
          </cell>
        </row>
        <row r="9692">
          <cell r="A9692">
            <v>0</v>
          </cell>
          <cell r="B9692">
            <v>0</v>
          </cell>
        </row>
        <row r="9693">
          <cell r="A9693">
            <v>0</v>
          </cell>
          <cell r="B9693">
            <v>0</v>
          </cell>
        </row>
        <row r="9694">
          <cell r="A9694">
            <v>0</v>
          </cell>
          <cell r="B9694">
            <v>0</v>
          </cell>
        </row>
        <row r="9695">
          <cell r="A9695">
            <v>0</v>
          </cell>
          <cell r="B9695">
            <v>0</v>
          </cell>
        </row>
        <row r="9696">
          <cell r="A9696">
            <v>0</v>
          </cell>
          <cell r="B9696">
            <v>0</v>
          </cell>
        </row>
        <row r="9697">
          <cell r="A9697">
            <v>0</v>
          </cell>
          <cell r="B9697">
            <v>0</v>
          </cell>
        </row>
        <row r="9698">
          <cell r="A9698">
            <v>0</v>
          </cell>
          <cell r="B9698">
            <v>0</v>
          </cell>
        </row>
        <row r="9699">
          <cell r="A9699">
            <v>0</v>
          </cell>
          <cell r="B9699">
            <v>0</v>
          </cell>
        </row>
        <row r="9700">
          <cell r="A9700">
            <v>0</v>
          </cell>
          <cell r="B9700">
            <v>0</v>
          </cell>
        </row>
        <row r="9701">
          <cell r="A9701">
            <v>0</v>
          </cell>
          <cell r="B9701">
            <v>0</v>
          </cell>
        </row>
        <row r="9702">
          <cell r="A9702">
            <v>0</v>
          </cell>
          <cell r="B9702">
            <v>0</v>
          </cell>
        </row>
        <row r="9703">
          <cell r="A9703">
            <v>0</v>
          </cell>
          <cell r="B9703">
            <v>0</v>
          </cell>
        </row>
        <row r="9704">
          <cell r="A9704">
            <v>0</v>
          </cell>
          <cell r="B9704">
            <v>0</v>
          </cell>
        </row>
        <row r="9705">
          <cell r="A9705">
            <v>0</v>
          </cell>
          <cell r="B9705">
            <v>0</v>
          </cell>
        </row>
        <row r="9706">
          <cell r="A9706">
            <v>0</v>
          </cell>
          <cell r="B9706">
            <v>0</v>
          </cell>
        </row>
        <row r="9707">
          <cell r="A9707">
            <v>0</v>
          </cell>
          <cell r="B9707">
            <v>0</v>
          </cell>
        </row>
        <row r="9708">
          <cell r="A9708">
            <v>0</v>
          </cell>
          <cell r="B9708">
            <v>0</v>
          </cell>
        </row>
        <row r="9709">
          <cell r="A9709">
            <v>0</v>
          </cell>
          <cell r="B9709">
            <v>0</v>
          </cell>
        </row>
        <row r="9710">
          <cell r="A9710">
            <v>0</v>
          </cell>
          <cell r="B9710">
            <v>0</v>
          </cell>
        </row>
        <row r="9711">
          <cell r="A9711">
            <v>0</v>
          </cell>
          <cell r="B9711">
            <v>0</v>
          </cell>
        </row>
        <row r="9712">
          <cell r="A9712">
            <v>0</v>
          </cell>
          <cell r="B9712">
            <v>0</v>
          </cell>
        </row>
        <row r="9713">
          <cell r="A9713">
            <v>0</v>
          </cell>
          <cell r="B9713">
            <v>0</v>
          </cell>
        </row>
        <row r="9714">
          <cell r="A9714">
            <v>0</v>
          </cell>
          <cell r="B9714">
            <v>0</v>
          </cell>
        </row>
        <row r="9715">
          <cell r="A9715">
            <v>0</v>
          </cell>
          <cell r="B9715">
            <v>0</v>
          </cell>
        </row>
        <row r="9716">
          <cell r="A9716">
            <v>0</v>
          </cell>
          <cell r="B9716">
            <v>0</v>
          </cell>
        </row>
        <row r="9717">
          <cell r="A9717">
            <v>0</v>
          </cell>
          <cell r="B9717">
            <v>0</v>
          </cell>
        </row>
        <row r="9718">
          <cell r="A9718">
            <v>0</v>
          </cell>
          <cell r="B9718">
            <v>0</v>
          </cell>
        </row>
        <row r="9719">
          <cell r="A9719">
            <v>0</v>
          </cell>
          <cell r="B9719">
            <v>0</v>
          </cell>
        </row>
        <row r="9720">
          <cell r="A9720">
            <v>0</v>
          </cell>
          <cell r="B9720">
            <v>0</v>
          </cell>
        </row>
        <row r="9721">
          <cell r="A9721">
            <v>0</v>
          </cell>
          <cell r="B9721">
            <v>0</v>
          </cell>
        </row>
        <row r="9722">
          <cell r="A9722">
            <v>0</v>
          </cell>
          <cell r="B9722">
            <v>0</v>
          </cell>
        </row>
        <row r="9723">
          <cell r="A9723">
            <v>0</v>
          </cell>
          <cell r="B9723">
            <v>0</v>
          </cell>
        </row>
        <row r="9724">
          <cell r="A9724">
            <v>0</v>
          </cell>
          <cell r="B9724">
            <v>0</v>
          </cell>
        </row>
        <row r="9725">
          <cell r="A9725">
            <v>0</v>
          </cell>
          <cell r="B9725">
            <v>0</v>
          </cell>
        </row>
        <row r="9726">
          <cell r="A9726">
            <v>0</v>
          </cell>
          <cell r="B9726">
            <v>0</v>
          </cell>
        </row>
        <row r="9727">
          <cell r="A9727">
            <v>0</v>
          </cell>
          <cell r="B9727">
            <v>0</v>
          </cell>
        </row>
        <row r="9728">
          <cell r="A9728">
            <v>0</v>
          </cell>
          <cell r="B9728">
            <v>0</v>
          </cell>
        </row>
        <row r="9729">
          <cell r="A9729">
            <v>0</v>
          </cell>
          <cell r="B9729">
            <v>0</v>
          </cell>
        </row>
        <row r="9730">
          <cell r="A9730">
            <v>0</v>
          </cell>
          <cell r="B9730">
            <v>0</v>
          </cell>
        </row>
        <row r="9731">
          <cell r="A9731">
            <v>0</v>
          </cell>
          <cell r="B9731">
            <v>0</v>
          </cell>
        </row>
        <row r="9732">
          <cell r="A9732">
            <v>0</v>
          </cell>
          <cell r="B9732">
            <v>0</v>
          </cell>
        </row>
        <row r="9733">
          <cell r="A9733">
            <v>0</v>
          </cell>
          <cell r="B9733">
            <v>0</v>
          </cell>
        </row>
        <row r="9734">
          <cell r="A9734">
            <v>0</v>
          </cell>
          <cell r="B9734">
            <v>0</v>
          </cell>
        </row>
        <row r="9735">
          <cell r="A9735">
            <v>0</v>
          </cell>
          <cell r="B9735">
            <v>0</v>
          </cell>
        </row>
        <row r="9736">
          <cell r="A9736">
            <v>0</v>
          </cell>
          <cell r="B9736">
            <v>0</v>
          </cell>
        </row>
        <row r="9737">
          <cell r="A9737">
            <v>0</v>
          </cell>
          <cell r="B9737">
            <v>0</v>
          </cell>
        </row>
        <row r="9738">
          <cell r="A9738">
            <v>0</v>
          </cell>
          <cell r="B9738">
            <v>0</v>
          </cell>
        </row>
        <row r="9739">
          <cell r="A9739">
            <v>0</v>
          </cell>
          <cell r="B9739">
            <v>0</v>
          </cell>
        </row>
        <row r="9740">
          <cell r="A9740">
            <v>0</v>
          </cell>
          <cell r="B9740">
            <v>0</v>
          </cell>
        </row>
        <row r="9741">
          <cell r="A9741">
            <v>0</v>
          </cell>
          <cell r="B9741">
            <v>0</v>
          </cell>
        </row>
        <row r="9742">
          <cell r="A9742">
            <v>0</v>
          </cell>
          <cell r="B9742">
            <v>0</v>
          </cell>
        </row>
        <row r="9743">
          <cell r="A9743">
            <v>0</v>
          </cell>
          <cell r="B9743">
            <v>0</v>
          </cell>
        </row>
        <row r="9744">
          <cell r="A9744">
            <v>0</v>
          </cell>
          <cell r="B9744">
            <v>0</v>
          </cell>
        </row>
        <row r="9745">
          <cell r="A9745">
            <v>0</v>
          </cell>
          <cell r="B9745">
            <v>0</v>
          </cell>
        </row>
        <row r="9746">
          <cell r="A9746">
            <v>0</v>
          </cell>
          <cell r="B9746">
            <v>0</v>
          </cell>
        </row>
        <row r="9747">
          <cell r="A9747">
            <v>0</v>
          </cell>
          <cell r="B9747">
            <v>0</v>
          </cell>
        </row>
        <row r="9748">
          <cell r="A9748">
            <v>0</v>
          </cell>
          <cell r="B9748">
            <v>0</v>
          </cell>
        </row>
        <row r="9749">
          <cell r="A9749">
            <v>0</v>
          </cell>
          <cell r="B9749">
            <v>0</v>
          </cell>
        </row>
        <row r="9750">
          <cell r="A9750">
            <v>0</v>
          </cell>
          <cell r="B9750">
            <v>0</v>
          </cell>
        </row>
        <row r="9751">
          <cell r="A9751">
            <v>0</v>
          </cell>
          <cell r="B9751">
            <v>0</v>
          </cell>
        </row>
        <row r="9752">
          <cell r="A9752">
            <v>0</v>
          </cell>
          <cell r="B9752">
            <v>0</v>
          </cell>
        </row>
        <row r="9753">
          <cell r="A9753">
            <v>0</v>
          </cell>
          <cell r="B9753">
            <v>0</v>
          </cell>
        </row>
        <row r="9754">
          <cell r="A9754">
            <v>0</v>
          </cell>
          <cell r="B9754">
            <v>0</v>
          </cell>
        </row>
        <row r="9755">
          <cell r="A9755">
            <v>0</v>
          </cell>
          <cell r="B9755">
            <v>0</v>
          </cell>
        </row>
        <row r="9756">
          <cell r="A9756">
            <v>0</v>
          </cell>
          <cell r="B9756">
            <v>0</v>
          </cell>
        </row>
        <row r="9757">
          <cell r="A9757">
            <v>0</v>
          </cell>
          <cell r="B9757">
            <v>0</v>
          </cell>
        </row>
        <row r="9758">
          <cell r="A9758">
            <v>0</v>
          </cell>
          <cell r="B9758">
            <v>0</v>
          </cell>
        </row>
        <row r="9759">
          <cell r="A9759">
            <v>0</v>
          </cell>
          <cell r="B9759">
            <v>0</v>
          </cell>
        </row>
        <row r="9760">
          <cell r="A9760">
            <v>0</v>
          </cell>
          <cell r="B9760">
            <v>0</v>
          </cell>
        </row>
        <row r="9761">
          <cell r="A9761">
            <v>0</v>
          </cell>
          <cell r="B9761">
            <v>0</v>
          </cell>
        </row>
        <row r="9762">
          <cell r="A9762">
            <v>0</v>
          </cell>
          <cell r="B9762">
            <v>0</v>
          </cell>
        </row>
        <row r="9763">
          <cell r="A9763">
            <v>0</v>
          </cell>
          <cell r="B9763">
            <v>0</v>
          </cell>
        </row>
        <row r="9764">
          <cell r="A9764">
            <v>0</v>
          </cell>
          <cell r="B9764">
            <v>0</v>
          </cell>
        </row>
        <row r="9765">
          <cell r="A9765">
            <v>0</v>
          </cell>
          <cell r="B9765">
            <v>0</v>
          </cell>
        </row>
        <row r="9766">
          <cell r="A9766">
            <v>0</v>
          </cell>
          <cell r="B9766">
            <v>0</v>
          </cell>
        </row>
        <row r="9767">
          <cell r="A9767">
            <v>0</v>
          </cell>
          <cell r="B9767">
            <v>0</v>
          </cell>
        </row>
        <row r="9768">
          <cell r="A9768">
            <v>0</v>
          </cell>
          <cell r="B9768">
            <v>0</v>
          </cell>
        </row>
        <row r="9769">
          <cell r="A9769">
            <v>0</v>
          </cell>
          <cell r="B9769">
            <v>0</v>
          </cell>
        </row>
        <row r="9770">
          <cell r="A9770">
            <v>0</v>
          </cell>
          <cell r="B9770">
            <v>0</v>
          </cell>
        </row>
        <row r="9771">
          <cell r="A9771">
            <v>0</v>
          </cell>
          <cell r="B9771">
            <v>0</v>
          </cell>
        </row>
        <row r="9772">
          <cell r="A9772">
            <v>0</v>
          </cell>
          <cell r="B9772">
            <v>0</v>
          </cell>
        </row>
        <row r="9773">
          <cell r="A9773">
            <v>0</v>
          </cell>
          <cell r="B9773">
            <v>0</v>
          </cell>
        </row>
        <row r="9774">
          <cell r="A9774">
            <v>0</v>
          </cell>
          <cell r="B9774">
            <v>0</v>
          </cell>
        </row>
        <row r="9775">
          <cell r="A9775">
            <v>0</v>
          </cell>
          <cell r="B9775">
            <v>0</v>
          </cell>
        </row>
        <row r="9776">
          <cell r="A9776">
            <v>0</v>
          </cell>
          <cell r="B9776">
            <v>0</v>
          </cell>
        </row>
        <row r="9777">
          <cell r="A9777">
            <v>0</v>
          </cell>
          <cell r="B9777">
            <v>0</v>
          </cell>
        </row>
        <row r="9778">
          <cell r="A9778">
            <v>0</v>
          </cell>
          <cell r="B9778">
            <v>0</v>
          </cell>
        </row>
        <row r="9779">
          <cell r="A9779">
            <v>0</v>
          </cell>
          <cell r="B9779">
            <v>0</v>
          </cell>
        </row>
        <row r="9780">
          <cell r="A9780">
            <v>0</v>
          </cell>
          <cell r="B9780">
            <v>0</v>
          </cell>
        </row>
        <row r="9781">
          <cell r="A9781">
            <v>0</v>
          </cell>
          <cell r="B9781">
            <v>0</v>
          </cell>
        </row>
        <row r="9782">
          <cell r="A9782">
            <v>0</v>
          </cell>
          <cell r="B9782">
            <v>0</v>
          </cell>
        </row>
        <row r="9783">
          <cell r="A9783">
            <v>0</v>
          </cell>
          <cell r="B9783">
            <v>0</v>
          </cell>
        </row>
        <row r="9784">
          <cell r="A9784">
            <v>0</v>
          </cell>
          <cell r="B9784">
            <v>0</v>
          </cell>
        </row>
        <row r="9785">
          <cell r="A9785">
            <v>0</v>
          </cell>
          <cell r="B9785">
            <v>0</v>
          </cell>
        </row>
        <row r="9786">
          <cell r="A9786">
            <v>0</v>
          </cell>
          <cell r="B9786">
            <v>0</v>
          </cell>
        </row>
        <row r="9787">
          <cell r="A9787">
            <v>0</v>
          </cell>
          <cell r="B9787">
            <v>0</v>
          </cell>
        </row>
        <row r="9788">
          <cell r="A9788">
            <v>0</v>
          </cell>
          <cell r="B9788">
            <v>0</v>
          </cell>
        </row>
        <row r="9789">
          <cell r="A9789">
            <v>0</v>
          </cell>
          <cell r="B9789">
            <v>0</v>
          </cell>
        </row>
        <row r="9790">
          <cell r="A9790">
            <v>0</v>
          </cell>
          <cell r="B9790">
            <v>0</v>
          </cell>
        </row>
        <row r="9791">
          <cell r="A9791">
            <v>0</v>
          </cell>
          <cell r="B9791">
            <v>0</v>
          </cell>
        </row>
        <row r="9792">
          <cell r="A9792">
            <v>0</v>
          </cell>
          <cell r="B9792">
            <v>0</v>
          </cell>
        </row>
        <row r="9793">
          <cell r="A9793">
            <v>0</v>
          </cell>
          <cell r="B9793">
            <v>0</v>
          </cell>
        </row>
        <row r="9794">
          <cell r="A9794">
            <v>0</v>
          </cell>
          <cell r="B9794">
            <v>0</v>
          </cell>
        </row>
        <row r="9795">
          <cell r="A9795">
            <v>0</v>
          </cell>
          <cell r="B9795">
            <v>0</v>
          </cell>
        </row>
        <row r="9796">
          <cell r="A9796">
            <v>0</v>
          </cell>
          <cell r="B9796">
            <v>0</v>
          </cell>
        </row>
        <row r="9797">
          <cell r="A9797">
            <v>0</v>
          </cell>
          <cell r="B9797">
            <v>0</v>
          </cell>
        </row>
        <row r="9798">
          <cell r="A9798">
            <v>0</v>
          </cell>
          <cell r="B9798">
            <v>0</v>
          </cell>
        </row>
        <row r="9799">
          <cell r="A9799">
            <v>0</v>
          </cell>
          <cell r="B9799">
            <v>0</v>
          </cell>
        </row>
        <row r="9800">
          <cell r="A9800">
            <v>0</v>
          </cell>
          <cell r="B9800">
            <v>0</v>
          </cell>
        </row>
        <row r="9801">
          <cell r="A9801">
            <v>0</v>
          </cell>
          <cell r="B9801">
            <v>0</v>
          </cell>
        </row>
        <row r="9802">
          <cell r="A9802">
            <v>0</v>
          </cell>
          <cell r="B9802">
            <v>0</v>
          </cell>
        </row>
        <row r="9803">
          <cell r="A9803">
            <v>0</v>
          </cell>
          <cell r="B9803">
            <v>0</v>
          </cell>
        </row>
        <row r="9804">
          <cell r="A9804">
            <v>0</v>
          </cell>
          <cell r="B9804">
            <v>0</v>
          </cell>
        </row>
        <row r="9805">
          <cell r="A9805">
            <v>0</v>
          </cell>
          <cell r="B9805">
            <v>0</v>
          </cell>
        </row>
        <row r="9806">
          <cell r="A9806">
            <v>0</v>
          </cell>
          <cell r="B9806">
            <v>0</v>
          </cell>
        </row>
        <row r="9807">
          <cell r="A9807">
            <v>0</v>
          </cell>
          <cell r="B9807">
            <v>0</v>
          </cell>
        </row>
        <row r="9808">
          <cell r="A9808">
            <v>0</v>
          </cell>
          <cell r="B9808">
            <v>0</v>
          </cell>
        </row>
        <row r="9809">
          <cell r="A9809">
            <v>0</v>
          </cell>
          <cell r="B9809">
            <v>0</v>
          </cell>
        </row>
        <row r="9810">
          <cell r="A9810">
            <v>0</v>
          </cell>
          <cell r="B9810">
            <v>0</v>
          </cell>
        </row>
        <row r="9811">
          <cell r="A9811">
            <v>0</v>
          </cell>
          <cell r="B9811">
            <v>0</v>
          </cell>
        </row>
        <row r="9812">
          <cell r="A9812">
            <v>0</v>
          </cell>
          <cell r="B9812">
            <v>0</v>
          </cell>
        </row>
        <row r="9813">
          <cell r="A9813">
            <v>0</v>
          </cell>
          <cell r="B9813">
            <v>0</v>
          </cell>
        </row>
        <row r="9814">
          <cell r="A9814">
            <v>0</v>
          </cell>
          <cell r="B9814">
            <v>0</v>
          </cell>
        </row>
        <row r="9815">
          <cell r="A9815">
            <v>0</v>
          </cell>
          <cell r="B9815">
            <v>0</v>
          </cell>
        </row>
        <row r="9816">
          <cell r="A9816">
            <v>0</v>
          </cell>
          <cell r="B9816">
            <v>0</v>
          </cell>
        </row>
        <row r="9817">
          <cell r="A9817">
            <v>0</v>
          </cell>
          <cell r="B9817">
            <v>0</v>
          </cell>
        </row>
        <row r="9818">
          <cell r="A9818">
            <v>0</v>
          </cell>
          <cell r="B9818">
            <v>0</v>
          </cell>
        </row>
        <row r="9819">
          <cell r="A9819">
            <v>0</v>
          </cell>
          <cell r="B9819">
            <v>0</v>
          </cell>
        </row>
        <row r="9820">
          <cell r="A9820">
            <v>0</v>
          </cell>
          <cell r="B9820">
            <v>0</v>
          </cell>
        </row>
        <row r="9821">
          <cell r="A9821">
            <v>0</v>
          </cell>
          <cell r="B9821">
            <v>0</v>
          </cell>
        </row>
        <row r="9822">
          <cell r="A9822">
            <v>0</v>
          </cell>
          <cell r="B9822">
            <v>0</v>
          </cell>
        </row>
        <row r="9823">
          <cell r="A9823">
            <v>0</v>
          </cell>
          <cell r="B9823">
            <v>0</v>
          </cell>
        </row>
        <row r="9824">
          <cell r="A9824">
            <v>0</v>
          </cell>
          <cell r="B9824">
            <v>0</v>
          </cell>
        </row>
        <row r="9825">
          <cell r="A9825">
            <v>0</v>
          </cell>
          <cell r="B9825">
            <v>0</v>
          </cell>
        </row>
        <row r="9826">
          <cell r="A9826">
            <v>0</v>
          </cell>
          <cell r="B9826">
            <v>0</v>
          </cell>
        </row>
        <row r="9827">
          <cell r="A9827">
            <v>0</v>
          </cell>
          <cell r="B9827">
            <v>0</v>
          </cell>
        </row>
        <row r="9828">
          <cell r="A9828">
            <v>0</v>
          </cell>
          <cell r="B9828">
            <v>0</v>
          </cell>
        </row>
        <row r="9829">
          <cell r="A9829">
            <v>0</v>
          </cell>
          <cell r="B9829">
            <v>0</v>
          </cell>
        </row>
        <row r="9830">
          <cell r="A9830">
            <v>0</v>
          </cell>
          <cell r="B9830">
            <v>0</v>
          </cell>
        </row>
        <row r="9831">
          <cell r="A9831">
            <v>0</v>
          </cell>
          <cell r="B9831">
            <v>0</v>
          </cell>
        </row>
        <row r="9832">
          <cell r="A9832">
            <v>0</v>
          </cell>
          <cell r="B9832">
            <v>0</v>
          </cell>
        </row>
        <row r="9833">
          <cell r="A9833">
            <v>0</v>
          </cell>
          <cell r="B9833">
            <v>0</v>
          </cell>
        </row>
        <row r="9834">
          <cell r="A9834">
            <v>0</v>
          </cell>
          <cell r="B9834">
            <v>0</v>
          </cell>
        </row>
        <row r="9835">
          <cell r="A9835">
            <v>0</v>
          </cell>
          <cell r="B9835">
            <v>0</v>
          </cell>
        </row>
        <row r="9836">
          <cell r="A9836">
            <v>0</v>
          </cell>
          <cell r="B9836">
            <v>0</v>
          </cell>
        </row>
        <row r="9837">
          <cell r="A9837">
            <v>0</v>
          </cell>
          <cell r="B9837">
            <v>0</v>
          </cell>
        </row>
        <row r="9838">
          <cell r="A9838">
            <v>0</v>
          </cell>
          <cell r="B9838">
            <v>0</v>
          </cell>
        </row>
        <row r="9839">
          <cell r="A9839">
            <v>0</v>
          </cell>
          <cell r="B9839">
            <v>0</v>
          </cell>
        </row>
        <row r="9840">
          <cell r="A9840">
            <v>0</v>
          </cell>
          <cell r="B9840">
            <v>0</v>
          </cell>
        </row>
        <row r="9841">
          <cell r="A9841">
            <v>0</v>
          </cell>
          <cell r="B9841">
            <v>0</v>
          </cell>
        </row>
        <row r="9842">
          <cell r="A9842">
            <v>0</v>
          </cell>
          <cell r="B9842">
            <v>0</v>
          </cell>
        </row>
        <row r="9843">
          <cell r="A9843">
            <v>0</v>
          </cell>
          <cell r="B9843">
            <v>0</v>
          </cell>
        </row>
        <row r="9844">
          <cell r="A9844">
            <v>0</v>
          </cell>
          <cell r="B9844">
            <v>0</v>
          </cell>
        </row>
        <row r="9845">
          <cell r="A9845">
            <v>0</v>
          </cell>
          <cell r="B9845">
            <v>0</v>
          </cell>
        </row>
        <row r="9846">
          <cell r="A9846">
            <v>0</v>
          </cell>
          <cell r="B9846">
            <v>0</v>
          </cell>
        </row>
        <row r="9847">
          <cell r="A9847">
            <v>0</v>
          </cell>
          <cell r="B9847">
            <v>0</v>
          </cell>
        </row>
        <row r="9848">
          <cell r="A9848">
            <v>0</v>
          </cell>
          <cell r="B9848">
            <v>0</v>
          </cell>
        </row>
        <row r="9849">
          <cell r="A9849">
            <v>0</v>
          </cell>
          <cell r="B9849">
            <v>0</v>
          </cell>
        </row>
        <row r="9850">
          <cell r="A9850">
            <v>0</v>
          </cell>
          <cell r="B9850">
            <v>0</v>
          </cell>
        </row>
        <row r="9851">
          <cell r="A9851">
            <v>0</v>
          </cell>
          <cell r="B9851">
            <v>0</v>
          </cell>
        </row>
        <row r="9852">
          <cell r="A9852">
            <v>0</v>
          </cell>
          <cell r="B9852">
            <v>0</v>
          </cell>
        </row>
        <row r="9853">
          <cell r="A9853">
            <v>0</v>
          </cell>
          <cell r="B9853">
            <v>0</v>
          </cell>
        </row>
        <row r="9854">
          <cell r="A9854">
            <v>0</v>
          </cell>
          <cell r="B9854">
            <v>0</v>
          </cell>
        </row>
        <row r="9855">
          <cell r="A9855">
            <v>0</v>
          </cell>
          <cell r="B9855">
            <v>0</v>
          </cell>
        </row>
        <row r="9856">
          <cell r="A9856">
            <v>0</v>
          </cell>
          <cell r="B9856">
            <v>0</v>
          </cell>
        </row>
        <row r="9857">
          <cell r="A9857">
            <v>0</v>
          </cell>
          <cell r="B9857">
            <v>0</v>
          </cell>
        </row>
        <row r="9858">
          <cell r="A9858">
            <v>0</v>
          </cell>
          <cell r="B9858">
            <v>0</v>
          </cell>
        </row>
        <row r="9859">
          <cell r="A9859">
            <v>0</v>
          </cell>
          <cell r="B9859">
            <v>0</v>
          </cell>
        </row>
        <row r="9860">
          <cell r="A9860">
            <v>0</v>
          </cell>
          <cell r="B9860">
            <v>0</v>
          </cell>
        </row>
        <row r="9861">
          <cell r="A9861">
            <v>0</v>
          </cell>
          <cell r="B9861">
            <v>0</v>
          </cell>
        </row>
        <row r="9862">
          <cell r="A9862">
            <v>0</v>
          </cell>
          <cell r="B9862">
            <v>0</v>
          </cell>
        </row>
        <row r="9863">
          <cell r="A9863">
            <v>0</v>
          </cell>
          <cell r="B9863">
            <v>0</v>
          </cell>
        </row>
        <row r="9864">
          <cell r="A9864">
            <v>0</v>
          </cell>
          <cell r="B9864">
            <v>0</v>
          </cell>
        </row>
        <row r="9865">
          <cell r="A9865">
            <v>0</v>
          </cell>
          <cell r="B9865">
            <v>0</v>
          </cell>
        </row>
        <row r="9866">
          <cell r="A9866">
            <v>0</v>
          </cell>
          <cell r="B9866">
            <v>0</v>
          </cell>
        </row>
        <row r="9867">
          <cell r="A9867">
            <v>0</v>
          </cell>
          <cell r="B9867">
            <v>0</v>
          </cell>
        </row>
        <row r="9868">
          <cell r="A9868">
            <v>0</v>
          </cell>
          <cell r="B9868">
            <v>0</v>
          </cell>
        </row>
        <row r="9869">
          <cell r="A9869">
            <v>0</v>
          </cell>
          <cell r="B9869">
            <v>0</v>
          </cell>
        </row>
        <row r="9870">
          <cell r="A9870">
            <v>0</v>
          </cell>
          <cell r="B9870">
            <v>0</v>
          </cell>
        </row>
        <row r="9871">
          <cell r="A9871">
            <v>0</v>
          </cell>
          <cell r="B9871">
            <v>0</v>
          </cell>
        </row>
        <row r="9872">
          <cell r="A9872">
            <v>0</v>
          </cell>
          <cell r="B9872">
            <v>0</v>
          </cell>
        </row>
        <row r="9873">
          <cell r="A9873">
            <v>0</v>
          </cell>
          <cell r="B9873">
            <v>0</v>
          </cell>
        </row>
        <row r="9874">
          <cell r="A9874">
            <v>0</v>
          </cell>
          <cell r="B9874">
            <v>0</v>
          </cell>
        </row>
        <row r="9875">
          <cell r="A9875">
            <v>0</v>
          </cell>
          <cell r="B9875">
            <v>0</v>
          </cell>
        </row>
        <row r="9876">
          <cell r="A9876">
            <v>0</v>
          </cell>
          <cell r="B9876">
            <v>0</v>
          </cell>
        </row>
        <row r="9877">
          <cell r="A9877">
            <v>0</v>
          </cell>
          <cell r="B9877">
            <v>0</v>
          </cell>
        </row>
        <row r="9878">
          <cell r="A9878">
            <v>0</v>
          </cell>
          <cell r="B9878">
            <v>0</v>
          </cell>
        </row>
        <row r="9879">
          <cell r="A9879">
            <v>0</v>
          </cell>
          <cell r="B9879">
            <v>0</v>
          </cell>
        </row>
        <row r="9880">
          <cell r="A9880">
            <v>0</v>
          </cell>
          <cell r="B9880">
            <v>0</v>
          </cell>
        </row>
        <row r="9881">
          <cell r="A9881">
            <v>0</v>
          </cell>
          <cell r="B9881">
            <v>0</v>
          </cell>
        </row>
        <row r="9882">
          <cell r="A9882">
            <v>0</v>
          </cell>
          <cell r="B9882">
            <v>0</v>
          </cell>
        </row>
        <row r="9883">
          <cell r="A9883">
            <v>0</v>
          </cell>
          <cell r="B9883">
            <v>0</v>
          </cell>
        </row>
        <row r="9884">
          <cell r="A9884">
            <v>0</v>
          </cell>
          <cell r="B9884">
            <v>0</v>
          </cell>
        </row>
        <row r="9885">
          <cell r="A9885">
            <v>0</v>
          </cell>
          <cell r="B9885">
            <v>0</v>
          </cell>
        </row>
        <row r="9886">
          <cell r="A9886">
            <v>0</v>
          </cell>
          <cell r="B9886">
            <v>0</v>
          </cell>
        </row>
        <row r="9887">
          <cell r="A9887">
            <v>0</v>
          </cell>
          <cell r="B9887">
            <v>0</v>
          </cell>
        </row>
        <row r="9888">
          <cell r="A9888">
            <v>0</v>
          </cell>
          <cell r="B9888">
            <v>0</v>
          </cell>
        </row>
        <row r="9889">
          <cell r="A9889">
            <v>0</v>
          </cell>
          <cell r="B9889">
            <v>0</v>
          </cell>
        </row>
        <row r="9890">
          <cell r="A9890">
            <v>0</v>
          </cell>
          <cell r="B9890">
            <v>0</v>
          </cell>
        </row>
        <row r="9891">
          <cell r="A9891">
            <v>0</v>
          </cell>
          <cell r="B9891">
            <v>0</v>
          </cell>
        </row>
        <row r="9892">
          <cell r="A9892">
            <v>0</v>
          </cell>
          <cell r="B9892">
            <v>0</v>
          </cell>
        </row>
        <row r="9893">
          <cell r="A9893">
            <v>0</v>
          </cell>
          <cell r="B9893">
            <v>0</v>
          </cell>
        </row>
        <row r="9894">
          <cell r="A9894">
            <v>0</v>
          </cell>
          <cell r="B9894">
            <v>0</v>
          </cell>
        </row>
        <row r="9895">
          <cell r="A9895">
            <v>0</v>
          </cell>
          <cell r="B9895">
            <v>0</v>
          </cell>
        </row>
        <row r="9896">
          <cell r="A9896">
            <v>0</v>
          </cell>
          <cell r="B9896">
            <v>0</v>
          </cell>
        </row>
        <row r="9897">
          <cell r="A9897">
            <v>0</v>
          </cell>
          <cell r="B9897">
            <v>0</v>
          </cell>
        </row>
        <row r="9898">
          <cell r="A9898">
            <v>0</v>
          </cell>
          <cell r="B9898">
            <v>0</v>
          </cell>
        </row>
        <row r="9899">
          <cell r="A9899">
            <v>0</v>
          </cell>
          <cell r="B9899">
            <v>0</v>
          </cell>
        </row>
        <row r="9900">
          <cell r="A9900">
            <v>0</v>
          </cell>
          <cell r="B9900">
            <v>0</v>
          </cell>
        </row>
        <row r="9901">
          <cell r="A9901">
            <v>0</v>
          </cell>
          <cell r="B9901">
            <v>0</v>
          </cell>
        </row>
        <row r="9902">
          <cell r="A9902">
            <v>0</v>
          </cell>
          <cell r="B9902">
            <v>0</v>
          </cell>
        </row>
        <row r="9903">
          <cell r="A9903">
            <v>0</v>
          </cell>
          <cell r="B9903">
            <v>0</v>
          </cell>
        </row>
        <row r="9904">
          <cell r="A9904">
            <v>0</v>
          </cell>
          <cell r="B9904">
            <v>0</v>
          </cell>
        </row>
        <row r="9905">
          <cell r="A9905">
            <v>0</v>
          </cell>
          <cell r="B9905">
            <v>0</v>
          </cell>
        </row>
        <row r="9906">
          <cell r="A9906">
            <v>0</v>
          </cell>
          <cell r="B9906">
            <v>0</v>
          </cell>
        </row>
        <row r="9907">
          <cell r="A9907">
            <v>0</v>
          </cell>
          <cell r="B9907">
            <v>0</v>
          </cell>
        </row>
        <row r="9908">
          <cell r="A9908">
            <v>0</v>
          </cell>
          <cell r="B9908">
            <v>0</v>
          </cell>
        </row>
        <row r="9909">
          <cell r="A9909">
            <v>0</v>
          </cell>
          <cell r="B9909">
            <v>0</v>
          </cell>
        </row>
        <row r="9910">
          <cell r="A9910">
            <v>0</v>
          </cell>
          <cell r="B9910">
            <v>0</v>
          </cell>
        </row>
        <row r="9911">
          <cell r="A9911">
            <v>0</v>
          </cell>
          <cell r="B9911">
            <v>0</v>
          </cell>
        </row>
        <row r="9912">
          <cell r="A9912">
            <v>0</v>
          </cell>
          <cell r="B9912">
            <v>0</v>
          </cell>
        </row>
        <row r="9913">
          <cell r="A9913">
            <v>0</v>
          </cell>
          <cell r="B9913">
            <v>0</v>
          </cell>
        </row>
        <row r="9914">
          <cell r="A9914">
            <v>0</v>
          </cell>
          <cell r="B9914">
            <v>0</v>
          </cell>
        </row>
        <row r="9915">
          <cell r="A9915">
            <v>0</v>
          </cell>
          <cell r="B9915">
            <v>0</v>
          </cell>
        </row>
        <row r="9916">
          <cell r="A9916">
            <v>0</v>
          </cell>
          <cell r="B9916">
            <v>0</v>
          </cell>
        </row>
        <row r="9917">
          <cell r="A9917">
            <v>0</v>
          </cell>
          <cell r="B9917">
            <v>0</v>
          </cell>
        </row>
        <row r="9918">
          <cell r="A9918">
            <v>0</v>
          </cell>
          <cell r="B9918">
            <v>0</v>
          </cell>
        </row>
        <row r="9919">
          <cell r="A9919">
            <v>0</v>
          </cell>
          <cell r="B9919">
            <v>0</v>
          </cell>
        </row>
        <row r="9920">
          <cell r="A9920">
            <v>0</v>
          </cell>
          <cell r="B9920">
            <v>0</v>
          </cell>
        </row>
        <row r="9921">
          <cell r="A9921">
            <v>0</v>
          </cell>
          <cell r="B9921">
            <v>0</v>
          </cell>
        </row>
        <row r="9922">
          <cell r="A9922">
            <v>0</v>
          </cell>
          <cell r="B9922">
            <v>0</v>
          </cell>
        </row>
        <row r="9923">
          <cell r="A9923">
            <v>0</v>
          </cell>
          <cell r="B9923">
            <v>0</v>
          </cell>
        </row>
        <row r="9924">
          <cell r="A9924">
            <v>0</v>
          </cell>
          <cell r="B9924">
            <v>0</v>
          </cell>
        </row>
        <row r="9925">
          <cell r="A9925">
            <v>0</v>
          </cell>
          <cell r="B9925">
            <v>0</v>
          </cell>
        </row>
        <row r="9926">
          <cell r="A9926">
            <v>0</v>
          </cell>
          <cell r="B9926">
            <v>0</v>
          </cell>
        </row>
        <row r="9927">
          <cell r="A9927">
            <v>0</v>
          </cell>
          <cell r="B9927">
            <v>0</v>
          </cell>
        </row>
        <row r="9928">
          <cell r="A9928">
            <v>0</v>
          </cell>
          <cell r="B9928">
            <v>0</v>
          </cell>
        </row>
        <row r="9929">
          <cell r="A9929">
            <v>0</v>
          </cell>
          <cell r="B9929">
            <v>0</v>
          </cell>
        </row>
        <row r="9930">
          <cell r="A9930">
            <v>0</v>
          </cell>
          <cell r="B9930">
            <v>0</v>
          </cell>
        </row>
        <row r="9931">
          <cell r="A9931">
            <v>0</v>
          </cell>
          <cell r="B9931">
            <v>0</v>
          </cell>
        </row>
        <row r="9932">
          <cell r="A9932">
            <v>0</v>
          </cell>
          <cell r="B9932">
            <v>0</v>
          </cell>
        </row>
        <row r="9933">
          <cell r="A9933">
            <v>0</v>
          </cell>
          <cell r="B9933">
            <v>0</v>
          </cell>
        </row>
        <row r="9934">
          <cell r="A9934">
            <v>0</v>
          </cell>
          <cell r="B9934">
            <v>0</v>
          </cell>
        </row>
        <row r="9935">
          <cell r="A9935">
            <v>0</v>
          </cell>
          <cell r="B9935">
            <v>0</v>
          </cell>
        </row>
        <row r="9936">
          <cell r="A9936">
            <v>0</v>
          </cell>
          <cell r="B9936">
            <v>0</v>
          </cell>
        </row>
        <row r="9937">
          <cell r="A9937">
            <v>0</v>
          </cell>
          <cell r="B9937">
            <v>0</v>
          </cell>
        </row>
        <row r="9938">
          <cell r="A9938">
            <v>0</v>
          </cell>
          <cell r="B9938">
            <v>0</v>
          </cell>
        </row>
        <row r="9939">
          <cell r="A9939">
            <v>0</v>
          </cell>
          <cell r="B9939">
            <v>0</v>
          </cell>
        </row>
        <row r="9940">
          <cell r="A9940">
            <v>0</v>
          </cell>
          <cell r="B9940">
            <v>0</v>
          </cell>
        </row>
        <row r="9941">
          <cell r="A9941">
            <v>0</v>
          </cell>
          <cell r="B9941">
            <v>0</v>
          </cell>
        </row>
        <row r="9942">
          <cell r="A9942">
            <v>0</v>
          </cell>
          <cell r="B9942">
            <v>0</v>
          </cell>
        </row>
        <row r="9943">
          <cell r="A9943">
            <v>0</v>
          </cell>
          <cell r="B9943">
            <v>0</v>
          </cell>
        </row>
        <row r="9944">
          <cell r="A9944">
            <v>0</v>
          </cell>
          <cell r="B9944">
            <v>0</v>
          </cell>
        </row>
        <row r="9945">
          <cell r="A9945">
            <v>0</v>
          </cell>
          <cell r="B9945">
            <v>0</v>
          </cell>
        </row>
        <row r="9946">
          <cell r="A9946">
            <v>0</v>
          </cell>
          <cell r="B9946">
            <v>0</v>
          </cell>
        </row>
        <row r="9947">
          <cell r="A9947">
            <v>0</v>
          </cell>
          <cell r="B9947">
            <v>0</v>
          </cell>
        </row>
        <row r="9948">
          <cell r="A9948">
            <v>0</v>
          </cell>
          <cell r="B9948">
            <v>0</v>
          </cell>
        </row>
        <row r="9949">
          <cell r="A9949">
            <v>0</v>
          </cell>
          <cell r="B9949">
            <v>0</v>
          </cell>
        </row>
        <row r="9950">
          <cell r="A9950">
            <v>0</v>
          </cell>
          <cell r="B9950">
            <v>0</v>
          </cell>
        </row>
        <row r="9951">
          <cell r="A9951">
            <v>0</v>
          </cell>
          <cell r="B9951">
            <v>0</v>
          </cell>
        </row>
        <row r="9952">
          <cell r="A9952">
            <v>0</v>
          </cell>
          <cell r="B9952">
            <v>0</v>
          </cell>
        </row>
        <row r="9953">
          <cell r="A9953">
            <v>0</v>
          </cell>
          <cell r="B9953">
            <v>0</v>
          </cell>
        </row>
        <row r="9954">
          <cell r="A9954">
            <v>0</v>
          </cell>
          <cell r="B9954">
            <v>0</v>
          </cell>
        </row>
        <row r="9955">
          <cell r="A9955">
            <v>0</v>
          </cell>
          <cell r="B9955">
            <v>0</v>
          </cell>
        </row>
        <row r="9956">
          <cell r="A9956">
            <v>0</v>
          </cell>
          <cell r="B9956">
            <v>0</v>
          </cell>
        </row>
        <row r="9957">
          <cell r="A9957">
            <v>0</v>
          </cell>
          <cell r="B9957">
            <v>0</v>
          </cell>
        </row>
        <row r="9958">
          <cell r="A9958">
            <v>0</v>
          </cell>
          <cell r="B9958">
            <v>0</v>
          </cell>
        </row>
        <row r="9959">
          <cell r="A9959">
            <v>0</v>
          </cell>
          <cell r="B9959">
            <v>0</v>
          </cell>
        </row>
        <row r="9960">
          <cell r="A9960">
            <v>0</v>
          </cell>
          <cell r="B9960">
            <v>0</v>
          </cell>
        </row>
        <row r="9961">
          <cell r="A9961">
            <v>0</v>
          </cell>
          <cell r="B9961">
            <v>0</v>
          </cell>
        </row>
        <row r="9962">
          <cell r="A9962">
            <v>0</v>
          </cell>
          <cell r="B9962">
            <v>0</v>
          </cell>
        </row>
        <row r="9963">
          <cell r="A9963">
            <v>0</v>
          </cell>
          <cell r="B9963">
            <v>0</v>
          </cell>
        </row>
        <row r="9964">
          <cell r="A9964">
            <v>0</v>
          </cell>
          <cell r="B9964">
            <v>0</v>
          </cell>
        </row>
        <row r="9965">
          <cell r="A9965">
            <v>0</v>
          </cell>
          <cell r="B9965">
            <v>0</v>
          </cell>
        </row>
        <row r="9966">
          <cell r="A9966">
            <v>0</v>
          </cell>
          <cell r="B9966">
            <v>0</v>
          </cell>
        </row>
        <row r="9967">
          <cell r="A9967">
            <v>0</v>
          </cell>
          <cell r="B9967">
            <v>0</v>
          </cell>
        </row>
        <row r="9968">
          <cell r="A9968">
            <v>0</v>
          </cell>
          <cell r="B9968">
            <v>0</v>
          </cell>
        </row>
        <row r="9969">
          <cell r="A9969">
            <v>0</v>
          </cell>
          <cell r="B9969">
            <v>0</v>
          </cell>
        </row>
        <row r="9970">
          <cell r="A9970">
            <v>0</v>
          </cell>
          <cell r="B9970">
            <v>0</v>
          </cell>
        </row>
        <row r="9971">
          <cell r="A9971">
            <v>0</v>
          </cell>
          <cell r="B9971">
            <v>0</v>
          </cell>
        </row>
        <row r="9972">
          <cell r="A9972">
            <v>0</v>
          </cell>
          <cell r="B9972">
            <v>0</v>
          </cell>
        </row>
        <row r="9973">
          <cell r="A9973">
            <v>0</v>
          </cell>
          <cell r="B9973">
            <v>0</v>
          </cell>
        </row>
        <row r="9974">
          <cell r="A9974">
            <v>0</v>
          </cell>
          <cell r="B9974">
            <v>0</v>
          </cell>
        </row>
        <row r="9975">
          <cell r="A9975">
            <v>0</v>
          </cell>
          <cell r="B9975">
            <v>0</v>
          </cell>
        </row>
        <row r="9976">
          <cell r="A9976">
            <v>0</v>
          </cell>
          <cell r="B9976">
            <v>0</v>
          </cell>
        </row>
        <row r="9977">
          <cell r="A9977">
            <v>0</v>
          </cell>
          <cell r="B9977">
            <v>0</v>
          </cell>
        </row>
        <row r="9978">
          <cell r="A9978">
            <v>0</v>
          </cell>
          <cell r="B9978">
            <v>0</v>
          </cell>
        </row>
        <row r="9979">
          <cell r="A9979">
            <v>0</v>
          </cell>
          <cell r="B9979">
            <v>0</v>
          </cell>
        </row>
        <row r="9980">
          <cell r="A9980">
            <v>0</v>
          </cell>
          <cell r="B9980">
            <v>0</v>
          </cell>
        </row>
        <row r="9981">
          <cell r="A9981">
            <v>0</v>
          </cell>
          <cell r="B9981">
            <v>0</v>
          </cell>
        </row>
        <row r="9982">
          <cell r="A9982">
            <v>0</v>
          </cell>
          <cell r="B9982">
            <v>0</v>
          </cell>
        </row>
        <row r="9983">
          <cell r="A9983">
            <v>0</v>
          </cell>
          <cell r="B9983">
            <v>0</v>
          </cell>
        </row>
        <row r="9984">
          <cell r="A9984">
            <v>0</v>
          </cell>
          <cell r="B9984">
            <v>0</v>
          </cell>
        </row>
        <row r="9985">
          <cell r="A9985">
            <v>0</v>
          </cell>
          <cell r="B9985">
            <v>0</v>
          </cell>
        </row>
        <row r="9986">
          <cell r="A9986">
            <v>0</v>
          </cell>
          <cell r="B9986">
            <v>0</v>
          </cell>
        </row>
        <row r="9987">
          <cell r="A9987">
            <v>0</v>
          </cell>
          <cell r="B9987">
            <v>0</v>
          </cell>
        </row>
        <row r="9988">
          <cell r="A9988">
            <v>0</v>
          </cell>
          <cell r="B9988">
            <v>0</v>
          </cell>
        </row>
        <row r="9989">
          <cell r="A9989">
            <v>0</v>
          </cell>
          <cell r="B9989">
            <v>0</v>
          </cell>
        </row>
        <row r="9990">
          <cell r="A9990">
            <v>0</v>
          </cell>
          <cell r="B9990">
            <v>0</v>
          </cell>
        </row>
        <row r="9991">
          <cell r="A9991">
            <v>0</v>
          </cell>
          <cell r="B9991">
            <v>0</v>
          </cell>
        </row>
        <row r="9992">
          <cell r="A9992">
            <v>0</v>
          </cell>
          <cell r="B9992">
            <v>0</v>
          </cell>
        </row>
        <row r="9993">
          <cell r="A9993">
            <v>0</v>
          </cell>
          <cell r="B9993">
            <v>0</v>
          </cell>
        </row>
        <row r="9994">
          <cell r="A9994">
            <v>0</v>
          </cell>
          <cell r="B9994">
            <v>0</v>
          </cell>
        </row>
        <row r="9995">
          <cell r="A9995">
            <v>0</v>
          </cell>
          <cell r="B9995">
            <v>0</v>
          </cell>
        </row>
        <row r="9996">
          <cell r="A9996">
            <v>0</v>
          </cell>
          <cell r="B9996">
            <v>0</v>
          </cell>
        </row>
        <row r="9997">
          <cell r="A9997">
            <v>0</v>
          </cell>
          <cell r="B9997">
            <v>0</v>
          </cell>
        </row>
        <row r="9998">
          <cell r="A9998">
            <v>0</v>
          </cell>
          <cell r="B9998">
            <v>0</v>
          </cell>
        </row>
        <row r="9999">
          <cell r="A9999">
            <v>0</v>
          </cell>
          <cell r="B9999">
            <v>0</v>
          </cell>
        </row>
        <row r="10000">
          <cell r="A10000">
            <v>0</v>
          </cell>
          <cell r="B10000">
            <v>0</v>
          </cell>
        </row>
        <row r="10001">
          <cell r="A10001">
            <v>0</v>
          </cell>
          <cell r="B10001">
            <v>0</v>
          </cell>
        </row>
        <row r="10002">
          <cell r="A10002">
            <v>0</v>
          </cell>
          <cell r="B10002">
            <v>0</v>
          </cell>
        </row>
        <row r="10003">
          <cell r="A10003">
            <v>0</v>
          </cell>
          <cell r="B10003">
            <v>0</v>
          </cell>
        </row>
        <row r="10004">
          <cell r="A10004">
            <v>0</v>
          </cell>
          <cell r="B10004">
            <v>0</v>
          </cell>
        </row>
        <row r="10005">
          <cell r="A10005">
            <v>0</v>
          </cell>
          <cell r="B10005">
            <v>0</v>
          </cell>
        </row>
        <row r="10006">
          <cell r="A10006">
            <v>0</v>
          </cell>
          <cell r="B10006">
            <v>0</v>
          </cell>
        </row>
        <row r="10007">
          <cell r="A10007">
            <v>0</v>
          </cell>
          <cell r="B10007">
            <v>0</v>
          </cell>
        </row>
        <row r="10008">
          <cell r="A10008">
            <v>0</v>
          </cell>
          <cell r="B10008">
            <v>0</v>
          </cell>
        </row>
        <row r="10009">
          <cell r="A10009">
            <v>0</v>
          </cell>
          <cell r="B10009">
            <v>0</v>
          </cell>
        </row>
        <row r="10010">
          <cell r="A10010">
            <v>0</v>
          </cell>
          <cell r="B10010">
            <v>0</v>
          </cell>
        </row>
        <row r="10011">
          <cell r="A10011">
            <v>0</v>
          </cell>
          <cell r="B10011">
            <v>0</v>
          </cell>
        </row>
        <row r="10012">
          <cell r="A10012">
            <v>0</v>
          </cell>
          <cell r="B10012">
            <v>0</v>
          </cell>
        </row>
        <row r="10013">
          <cell r="A10013">
            <v>0</v>
          </cell>
          <cell r="B10013">
            <v>0</v>
          </cell>
        </row>
        <row r="10014">
          <cell r="A10014">
            <v>0</v>
          </cell>
          <cell r="B10014">
            <v>0</v>
          </cell>
        </row>
        <row r="10015">
          <cell r="A10015">
            <v>0</v>
          </cell>
          <cell r="B10015">
            <v>0</v>
          </cell>
        </row>
        <row r="10016">
          <cell r="A10016">
            <v>0</v>
          </cell>
          <cell r="B10016">
            <v>0</v>
          </cell>
        </row>
        <row r="10017">
          <cell r="A10017">
            <v>0</v>
          </cell>
          <cell r="B10017">
            <v>0</v>
          </cell>
        </row>
        <row r="10018">
          <cell r="A10018">
            <v>0</v>
          </cell>
          <cell r="B10018">
            <v>0</v>
          </cell>
        </row>
        <row r="10019">
          <cell r="A10019">
            <v>0</v>
          </cell>
          <cell r="B10019">
            <v>0</v>
          </cell>
        </row>
        <row r="10020">
          <cell r="A10020">
            <v>0</v>
          </cell>
          <cell r="B10020">
            <v>0</v>
          </cell>
        </row>
        <row r="10021">
          <cell r="A10021">
            <v>0</v>
          </cell>
          <cell r="B10021">
            <v>0</v>
          </cell>
        </row>
        <row r="10022">
          <cell r="A10022">
            <v>0</v>
          </cell>
          <cell r="B10022">
            <v>0</v>
          </cell>
        </row>
        <row r="10023">
          <cell r="A10023">
            <v>0</v>
          </cell>
          <cell r="B10023">
            <v>0</v>
          </cell>
        </row>
        <row r="10024">
          <cell r="A10024">
            <v>0</v>
          </cell>
          <cell r="B10024">
            <v>0</v>
          </cell>
        </row>
        <row r="10025">
          <cell r="A10025">
            <v>0</v>
          </cell>
          <cell r="B10025">
            <v>0</v>
          </cell>
        </row>
        <row r="10026">
          <cell r="A10026">
            <v>0</v>
          </cell>
          <cell r="B10026">
            <v>0</v>
          </cell>
        </row>
        <row r="10027">
          <cell r="A10027">
            <v>0</v>
          </cell>
          <cell r="B10027">
            <v>0</v>
          </cell>
        </row>
        <row r="10028">
          <cell r="A10028">
            <v>0</v>
          </cell>
          <cell r="B10028">
            <v>0</v>
          </cell>
        </row>
        <row r="10029">
          <cell r="A10029">
            <v>0</v>
          </cell>
          <cell r="B10029">
            <v>0</v>
          </cell>
        </row>
        <row r="10030">
          <cell r="A10030">
            <v>0</v>
          </cell>
          <cell r="B10030">
            <v>0</v>
          </cell>
        </row>
        <row r="10031">
          <cell r="A10031">
            <v>0</v>
          </cell>
          <cell r="B10031">
            <v>0</v>
          </cell>
        </row>
        <row r="10032">
          <cell r="A10032">
            <v>0</v>
          </cell>
          <cell r="B10032">
            <v>0</v>
          </cell>
        </row>
        <row r="10033">
          <cell r="A10033">
            <v>0</v>
          </cell>
          <cell r="B10033">
            <v>0</v>
          </cell>
        </row>
        <row r="10034">
          <cell r="A10034">
            <v>0</v>
          </cell>
          <cell r="B10034">
            <v>0</v>
          </cell>
        </row>
        <row r="10035">
          <cell r="A10035">
            <v>0</v>
          </cell>
          <cell r="B10035">
            <v>0</v>
          </cell>
        </row>
        <row r="10036">
          <cell r="A10036">
            <v>0</v>
          </cell>
          <cell r="B10036">
            <v>0</v>
          </cell>
        </row>
        <row r="10037">
          <cell r="A10037">
            <v>0</v>
          </cell>
          <cell r="B10037">
            <v>0</v>
          </cell>
        </row>
        <row r="10038">
          <cell r="A10038">
            <v>0</v>
          </cell>
          <cell r="B10038">
            <v>0</v>
          </cell>
        </row>
        <row r="10039">
          <cell r="A10039">
            <v>0</v>
          </cell>
          <cell r="B10039">
            <v>0</v>
          </cell>
        </row>
        <row r="10040">
          <cell r="A10040">
            <v>0</v>
          </cell>
          <cell r="B10040">
            <v>0</v>
          </cell>
        </row>
        <row r="10041">
          <cell r="A10041">
            <v>0</v>
          </cell>
          <cell r="B10041">
            <v>0</v>
          </cell>
        </row>
        <row r="10042">
          <cell r="A10042">
            <v>0</v>
          </cell>
          <cell r="B10042">
            <v>0</v>
          </cell>
        </row>
        <row r="10043">
          <cell r="A10043">
            <v>0</v>
          </cell>
          <cell r="B10043">
            <v>0</v>
          </cell>
        </row>
        <row r="10044">
          <cell r="A10044">
            <v>0</v>
          </cell>
          <cell r="B10044">
            <v>0</v>
          </cell>
        </row>
        <row r="10045">
          <cell r="A10045">
            <v>0</v>
          </cell>
          <cell r="B10045">
            <v>0</v>
          </cell>
        </row>
        <row r="10046">
          <cell r="A10046">
            <v>0</v>
          </cell>
          <cell r="B10046">
            <v>0</v>
          </cell>
        </row>
        <row r="10047">
          <cell r="A10047">
            <v>0</v>
          </cell>
          <cell r="B10047">
            <v>0</v>
          </cell>
        </row>
        <row r="10048">
          <cell r="A10048">
            <v>0</v>
          </cell>
          <cell r="B10048">
            <v>0</v>
          </cell>
        </row>
        <row r="10049">
          <cell r="A10049">
            <v>0</v>
          </cell>
          <cell r="B10049">
            <v>0</v>
          </cell>
        </row>
        <row r="10050">
          <cell r="A10050">
            <v>0</v>
          </cell>
          <cell r="B10050">
            <v>0</v>
          </cell>
        </row>
        <row r="10051">
          <cell r="A10051">
            <v>0</v>
          </cell>
          <cell r="B10051">
            <v>0</v>
          </cell>
        </row>
        <row r="10052">
          <cell r="A10052">
            <v>0</v>
          </cell>
          <cell r="B10052">
            <v>0</v>
          </cell>
        </row>
        <row r="10053">
          <cell r="A10053">
            <v>0</v>
          </cell>
          <cell r="B10053">
            <v>0</v>
          </cell>
        </row>
        <row r="10054">
          <cell r="A10054">
            <v>0</v>
          </cell>
          <cell r="B10054">
            <v>0</v>
          </cell>
        </row>
        <row r="10055">
          <cell r="A10055">
            <v>0</v>
          </cell>
          <cell r="B10055">
            <v>0</v>
          </cell>
        </row>
        <row r="10056">
          <cell r="A10056">
            <v>0</v>
          </cell>
          <cell r="B10056">
            <v>0</v>
          </cell>
        </row>
        <row r="10057">
          <cell r="A10057">
            <v>0</v>
          </cell>
          <cell r="B10057">
            <v>0</v>
          </cell>
        </row>
        <row r="10058">
          <cell r="A10058">
            <v>0</v>
          </cell>
          <cell r="B10058">
            <v>0</v>
          </cell>
        </row>
        <row r="10059">
          <cell r="A10059">
            <v>0</v>
          </cell>
          <cell r="B10059">
            <v>0</v>
          </cell>
        </row>
        <row r="10060">
          <cell r="A10060">
            <v>0</v>
          </cell>
          <cell r="B10060">
            <v>0</v>
          </cell>
        </row>
        <row r="10061">
          <cell r="A10061">
            <v>0</v>
          </cell>
          <cell r="B10061">
            <v>0</v>
          </cell>
        </row>
        <row r="10062">
          <cell r="A10062">
            <v>0</v>
          </cell>
          <cell r="B10062">
            <v>0</v>
          </cell>
        </row>
        <row r="10063">
          <cell r="A10063">
            <v>0</v>
          </cell>
          <cell r="B10063">
            <v>0</v>
          </cell>
        </row>
        <row r="10064">
          <cell r="A10064">
            <v>0</v>
          </cell>
          <cell r="B10064">
            <v>0</v>
          </cell>
        </row>
        <row r="10065">
          <cell r="A10065">
            <v>0</v>
          </cell>
          <cell r="B10065">
            <v>0</v>
          </cell>
        </row>
        <row r="10066">
          <cell r="A10066">
            <v>0</v>
          </cell>
          <cell r="B10066">
            <v>0</v>
          </cell>
        </row>
        <row r="10067">
          <cell r="A10067">
            <v>0</v>
          </cell>
          <cell r="B10067">
            <v>0</v>
          </cell>
        </row>
        <row r="10068">
          <cell r="A10068">
            <v>0</v>
          </cell>
          <cell r="B10068">
            <v>0</v>
          </cell>
        </row>
        <row r="10069">
          <cell r="A10069">
            <v>0</v>
          </cell>
          <cell r="B10069">
            <v>0</v>
          </cell>
        </row>
        <row r="10070">
          <cell r="A10070">
            <v>0</v>
          </cell>
          <cell r="B10070">
            <v>0</v>
          </cell>
        </row>
        <row r="10071">
          <cell r="A10071">
            <v>0</v>
          </cell>
          <cell r="B10071">
            <v>0</v>
          </cell>
        </row>
        <row r="10072">
          <cell r="A10072">
            <v>0</v>
          </cell>
          <cell r="B10072">
            <v>0</v>
          </cell>
        </row>
        <row r="10073">
          <cell r="A10073">
            <v>0</v>
          </cell>
          <cell r="B10073">
            <v>0</v>
          </cell>
        </row>
        <row r="10074">
          <cell r="A10074">
            <v>0</v>
          </cell>
          <cell r="B10074">
            <v>0</v>
          </cell>
        </row>
        <row r="10075">
          <cell r="A10075">
            <v>0</v>
          </cell>
          <cell r="B10075">
            <v>0</v>
          </cell>
        </row>
        <row r="10076">
          <cell r="A10076">
            <v>0</v>
          </cell>
          <cell r="B10076">
            <v>0</v>
          </cell>
        </row>
        <row r="10077">
          <cell r="A10077">
            <v>0</v>
          </cell>
          <cell r="B10077">
            <v>0</v>
          </cell>
        </row>
        <row r="10078">
          <cell r="A10078">
            <v>0</v>
          </cell>
          <cell r="B10078">
            <v>0</v>
          </cell>
        </row>
        <row r="10079">
          <cell r="A10079">
            <v>0</v>
          </cell>
          <cell r="B10079">
            <v>0</v>
          </cell>
        </row>
        <row r="10080">
          <cell r="A10080">
            <v>0</v>
          </cell>
          <cell r="B10080">
            <v>0</v>
          </cell>
        </row>
        <row r="10081">
          <cell r="A10081">
            <v>0</v>
          </cell>
          <cell r="B10081">
            <v>0</v>
          </cell>
        </row>
        <row r="10082">
          <cell r="A10082">
            <v>0</v>
          </cell>
          <cell r="B10082">
            <v>0</v>
          </cell>
        </row>
        <row r="10083">
          <cell r="A10083">
            <v>0</v>
          </cell>
          <cell r="B10083">
            <v>0</v>
          </cell>
        </row>
        <row r="10084">
          <cell r="A10084">
            <v>0</v>
          </cell>
          <cell r="B10084">
            <v>0</v>
          </cell>
        </row>
        <row r="10085">
          <cell r="A10085">
            <v>0</v>
          </cell>
          <cell r="B10085">
            <v>0</v>
          </cell>
        </row>
        <row r="10086">
          <cell r="A10086">
            <v>0</v>
          </cell>
          <cell r="B10086">
            <v>0</v>
          </cell>
        </row>
        <row r="10087">
          <cell r="A10087">
            <v>0</v>
          </cell>
          <cell r="B10087">
            <v>0</v>
          </cell>
        </row>
        <row r="10088">
          <cell r="A10088">
            <v>0</v>
          </cell>
          <cell r="B10088">
            <v>0</v>
          </cell>
        </row>
        <row r="10089">
          <cell r="A10089">
            <v>0</v>
          </cell>
          <cell r="B10089">
            <v>0</v>
          </cell>
        </row>
        <row r="10090">
          <cell r="A10090">
            <v>0</v>
          </cell>
          <cell r="B10090">
            <v>0</v>
          </cell>
        </row>
        <row r="10091">
          <cell r="A10091">
            <v>0</v>
          </cell>
          <cell r="B10091">
            <v>0</v>
          </cell>
        </row>
        <row r="10092">
          <cell r="A10092">
            <v>0</v>
          </cell>
          <cell r="B10092">
            <v>0</v>
          </cell>
        </row>
        <row r="10093">
          <cell r="A10093">
            <v>0</v>
          </cell>
          <cell r="B10093">
            <v>0</v>
          </cell>
        </row>
        <row r="10094">
          <cell r="A10094">
            <v>0</v>
          </cell>
          <cell r="B10094">
            <v>0</v>
          </cell>
        </row>
        <row r="10095">
          <cell r="A10095">
            <v>0</v>
          </cell>
          <cell r="B10095">
            <v>0</v>
          </cell>
        </row>
        <row r="10096">
          <cell r="A10096">
            <v>0</v>
          </cell>
          <cell r="B10096">
            <v>0</v>
          </cell>
        </row>
        <row r="10097">
          <cell r="A10097">
            <v>0</v>
          </cell>
          <cell r="B10097">
            <v>0</v>
          </cell>
        </row>
        <row r="10098">
          <cell r="A10098">
            <v>0</v>
          </cell>
          <cell r="B10098">
            <v>0</v>
          </cell>
        </row>
        <row r="10099">
          <cell r="A10099">
            <v>0</v>
          </cell>
          <cell r="B10099">
            <v>0</v>
          </cell>
        </row>
        <row r="10100">
          <cell r="A10100">
            <v>0</v>
          </cell>
          <cell r="B10100">
            <v>0</v>
          </cell>
        </row>
        <row r="10101">
          <cell r="A10101">
            <v>0</v>
          </cell>
          <cell r="B10101">
            <v>0</v>
          </cell>
        </row>
        <row r="10102">
          <cell r="A10102">
            <v>0</v>
          </cell>
          <cell r="B10102">
            <v>0</v>
          </cell>
        </row>
        <row r="10103">
          <cell r="A10103">
            <v>0</v>
          </cell>
          <cell r="B10103">
            <v>0</v>
          </cell>
        </row>
        <row r="10104">
          <cell r="A10104">
            <v>0</v>
          </cell>
          <cell r="B10104">
            <v>0</v>
          </cell>
        </row>
        <row r="10105">
          <cell r="A10105">
            <v>0</v>
          </cell>
          <cell r="B10105">
            <v>0</v>
          </cell>
        </row>
        <row r="10106">
          <cell r="A10106">
            <v>0</v>
          </cell>
          <cell r="B10106">
            <v>0</v>
          </cell>
        </row>
        <row r="10107">
          <cell r="A10107">
            <v>0</v>
          </cell>
          <cell r="B10107">
            <v>0</v>
          </cell>
        </row>
        <row r="10108">
          <cell r="A10108">
            <v>0</v>
          </cell>
          <cell r="B10108">
            <v>0</v>
          </cell>
        </row>
        <row r="10109">
          <cell r="A10109">
            <v>0</v>
          </cell>
          <cell r="B10109">
            <v>0</v>
          </cell>
        </row>
        <row r="10110">
          <cell r="A10110">
            <v>0</v>
          </cell>
          <cell r="B10110">
            <v>0</v>
          </cell>
        </row>
        <row r="10111">
          <cell r="A10111">
            <v>0</v>
          </cell>
          <cell r="B10111">
            <v>0</v>
          </cell>
        </row>
        <row r="10112">
          <cell r="A10112">
            <v>0</v>
          </cell>
          <cell r="B10112">
            <v>0</v>
          </cell>
        </row>
        <row r="10113">
          <cell r="A10113">
            <v>0</v>
          </cell>
          <cell r="B10113">
            <v>0</v>
          </cell>
        </row>
        <row r="10114">
          <cell r="A10114">
            <v>0</v>
          </cell>
          <cell r="B10114">
            <v>0</v>
          </cell>
        </row>
        <row r="10115">
          <cell r="A10115">
            <v>0</v>
          </cell>
          <cell r="B10115">
            <v>0</v>
          </cell>
        </row>
        <row r="10116">
          <cell r="A10116">
            <v>0</v>
          </cell>
          <cell r="B10116">
            <v>0</v>
          </cell>
        </row>
        <row r="10117">
          <cell r="A10117">
            <v>0</v>
          </cell>
          <cell r="B10117">
            <v>0</v>
          </cell>
        </row>
        <row r="10118">
          <cell r="A10118">
            <v>0</v>
          </cell>
          <cell r="B10118">
            <v>0</v>
          </cell>
        </row>
        <row r="10119">
          <cell r="A10119">
            <v>0</v>
          </cell>
          <cell r="B10119">
            <v>0</v>
          </cell>
        </row>
        <row r="10120">
          <cell r="A10120">
            <v>0</v>
          </cell>
          <cell r="B10120">
            <v>0</v>
          </cell>
        </row>
        <row r="10121">
          <cell r="A10121">
            <v>0</v>
          </cell>
          <cell r="B10121">
            <v>0</v>
          </cell>
        </row>
        <row r="10122">
          <cell r="A10122">
            <v>0</v>
          </cell>
          <cell r="B10122">
            <v>0</v>
          </cell>
        </row>
        <row r="10123">
          <cell r="A10123">
            <v>0</v>
          </cell>
          <cell r="B10123">
            <v>0</v>
          </cell>
        </row>
        <row r="10124">
          <cell r="A10124">
            <v>0</v>
          </cell>
          <cell r="B10124">
            <v>0</v>
          </cell>
        </row>
        <row r="10125">
          <cell r="A10125">
            <v>0</v>
          </cell>
          <cell r="B10125">
            <v>0</v>
          </cell>
        </row>
        <row r="10126">
          <cell r="A10126">
            <v>0</v>
          </cell>
          <cell r="B10126">
            <v>0</v>
          </cell>
        </row>
        <row r="10127">
          <cell r="A10127">
            <v>0</v>
          </cell>
          <cell r="B10127">
            <v>0</v>
          </cell>
        </row>
        <row r="10128">
          <cell r="A10128">
            <v>0</v>
          </cell>
          <cell r="B10128">
            <v>0</v>
          </cell>
        </row>
        <row r="10129">
          <cell r="A10129">
            <v>0</v>
          </cell>
          <cell r="B10129">
            <v>0</v>
          </cell>
        </row>
        <row r="10130">
          <cell r="A10130">
            <v>0</v>
          </cell>
          <cell r="B10130">
            <v>0</v>
          </cell>
        </row>
        <row r="10131">
          <cell r="A10131">
            <v>0</v>
          </cell>
          <cell r="B10131">
            <v>0</v>
          </cell>
        </row>
        <row r="10132">
          <cell r="A10132">
            <v>0</v>
          </cell>
          <cell r="B10132">
            <v>0</v>
          </cell>
        </row>
        <row r="10133">
          <cell r="A10133">
            <v>0</v>
          </cell>
          <cell r="B10133">
            <v>0</v>
          </cell>
        </row>
        <row r="10134">
          <cell r="A10134">
            <v>0</v>
          </cell>
          <cell r="B10134">
            <v>0</v>
          </cell>
        </row>
        <row r="10135">
          <cell r="A10135">
            <v>0</v>
          </cell>
          <cell r="B10135">
            <v>0</v>
          </cell>
        </row>
        <row r="10136">
          <cell r="A10136">
            <v>0</v>
          </cell>
          <cell r="B10136">
            <v>0</v>
          </cell>
        </row>
        <row r="10137">
          <cell r="A10137">
            <v>0</v>
          </cell>
          <cell r="B10137">
            <v>0</v>
          </cell>
        </row>
        <row r="10138">
          <cell r="A10138">
            <v>0</v>
          </cell>
          <cell r="B10138">
            <v>0</v>
          </cell>
        </row>
        <row r="10139">
          <cell r="A10139">
            <v>0</v>
          </cell>
          <cell r="B10139">
            <v>0</v>
          </cell>
        </row>
        <row r="10140">
          <cell r="A10140">
            <v>0</v>
          </cell>
          <cell r="B10140">
            <v>0</v>
          </cell>
        </row>
        <row r="10141">
          <cell r="A10141">
            <v>0</v>
          </cell>
          <cell r="B10141">
            <v>0</v>
          </cell>
        </row>
        <row r="10142">
          <cell r="A10142">
            <v>0</v>
          </cell>
          <cell r="B10142">
            <v>0</v>
          </cell>
        </row>
        <row r="10143">
          <cell r="A10143">
            <v>0</v>
          </cell>
          <cell r="B10143">
            <v>0</v>
          </cell>
        </row>
        <row r="10144">
          <cell r="A10144">
            <v>0</v>
          </cell>
          <cell r="B10144">
            <v>0</v>
          </cell>
        </row>
        <row r="10145">
          <cell r="A10145">
            <v>0</v>
          </cell>
          <cell r="B10145">
            <v>0</v>
          </cell>
        </row>
        <row r="10146">
          <cell r="A10146">
            <v>0</v>
          </cell>
          <cell r="B10146">
            <v>0</v>
          </cell>
        </row>
        <row r="10147">
          <cell r="A10147">
            <v>0</v>
          </cell>
          <cell r="B10147">
            <v>0</v>
          </cell>
        </row>
        <row r="10148">
          <cell r="A10148">
            <v>0</v>
          </cell>
          <cell r="B10148">
            <v>0</v>
          </cell>
        </row>
        <row r="10149">
          <cell r="A10149">
            <v>0</v>
          </cell>
          <cell r="B10149">
            <v>0</v>
          </cell>
        </row>
        <row r="10150">
          <cell r="A10150">
            <v>0</v>
          </cell>
          <cell r="B10150">
            <v>0</v>
          </cell>
        </row>
        <row r="10151">
          <cell r="A10151">
            <v>0</v>
          </cell>
          <cell r="B10151">
            <v>0</v>
          </cell>
        </row>
        <row r="10152">
          <cell r="A10152">
            <v>0</v>
          </cell>
          <cell r="B10152">
            <v>0</v>
          </cell>
        </row>
        <row r="10153">
          <cell r="A10153">
            <v>0</v>
          </cell>
          <cell r="B10153">
            <v>0</v>
          </cell>
        </row>
        <row r="10154">
          <cell r="A10154">
            <v>0</v>
          </cell>
          <cell r="B10154">
            <v>0</v>
          </cell>
        </row>
        <row r="10155">
          <cell r="A10155">
            <v>0</v>
          </cell>
          <cell r="B10155">
            <v>0</v>
          </cell>
        </row>
        <row r="10156">
          <cell r="A10156">
            <v>0</v>
          </cell>
          <cell r="B10156">
            <v>0</v>
          </cell>
        </row>
        <row r="10157">
          <cell r="A10157">
            <v>0</v>
          </cell>
          <cell r="B10157">
            <v>0</v>
          </cell>
        </row>
        <row r="10158">
          <cell r="A10158">
            <v>0</v>
          </cell>
          <cell r="B10158">
            <v>0</v>
          </cell>
        </row>
        <row r="10159">
          <cell r="A10159">
            <v>0</v>
          </cell>
          <cell r="B10159">
            <v>0</v>
          </cell>
        </row>
        <row r="10160">
          <cell r="A10160">
            <v>0</v>
          </cell>
          <cell r="B10160">
            <v>0</v>
          </cell>
        </row>
        <row r="10161">
          <cell r="A10161">
            <v>0</v>
          </cell>
          <cell r="B10161">
            <v>0</v>
          </cell>
        </row>
        <row r="10162">
          <cell r="A10162">
            <v>0</v>
          </cell>
          <cell r="B10162">
            <v>0</v>
          </cell>
        </row>
        <row r="10163">
          <cell r="A10163">
            <v>0</v>
          </cell>
          <cell r="B10163">
            <v>0</v>
          </cell>
        </row>
        <row r="10164">
          <cell r="A10164">
            <v>0</v>
          </cell>
          <cell r="B10164">
            <v>0</v>
          </cell>
        </row>
        <row r="10165">
          <cell r="A10165">
            <v>0</v>
          </cell>
          <cell r="B10165">
            <v>0</v>
          </cell>
        </row>
        <row r="10166">
          <cell r="A10166">
            <v>0</v>
          </cell>
          <cell r="B10166">
            <v>0</v>
          </cell>
        </row>
        <row r="10167">
          <cell r="A10167">
            <v>0</v>
          </cell>
          <cell r="B10167">
            <v>0</v>
          </cell>
        </row>
        <row r="10168">
          <cell r="A10168">
            <v>0</v>
          </cell>
          <cell r="B10168">
            <v>0</v>
          </cell>
        </row>
        <row r="10169">
          <cell r="A10169">
            <v>0</v>
          </cell>
          <cell r="B10169">
            <v>0</v>
          </cell>
        </row>
        <row r="10170">
          <cell r="A10170">
            <v>0</v>
          </cell>
          <cell r="B10170">
            <v>0</v>
          </cell>
        </row>
        <row r="10171">
          <cell r="A10171">
            <v>0</v>
          </cell>
          <cell r="B10171">
            <v>0</v>
          </cell>
        </row>
        <row r="10172">
          <cell r="A10172">
            <v>0</v>
          </cell>
          <cell r="B10172">
            <v>0</v>
          </cell>
        </row>
        <row r="10173">
          <cell r="A10173">
            <v>0</v>
          </cell>
          <cell r="B10173">
            <v>0</v>
          </cell>
        </row>
        <row r="10174">
          <cell r="A10174">
            <v>0</v>
          </cell>
          <cell r="B10174">
            <v>0</v>
          </cell>
        </row>
        <row r="10175">
          <cell r="A10175">
            <v>0</v>
          </cell>
          <cell r="B10175">
            <v>0</v>
          </cell>
        </row>
        <row r="10176">
          <cell r="A10176">
            <v>0</v>
          </cell>
          <cell r="B10176">
            <v>0</v>
          </cell>
        </row>
        <row r="10177">
          <cell r="A10177">
            <v>0</v>
          </cell>
          <cell r="B10177">
            <v>0</v>
          </cell>
        </row>
        <row r="10178">
          <cell r="A10178">
            <v>0</v>
          </cell>
          <cell r="B10178">
            <v>0</v>
          </cell>
        </row>
        <row r="10179">
          <cell r="A10179">
            <v>0</v>
          </cell>
          <cell r="B10179">
            <v>0</v>
          </cell>
        </row>
        <row r="10180">
          <cell r="A10180">
            <v>0</v>
          </cell>
          <cell r="B10180">
            <v>0</v>
          </cell>
        </row>
        <row r="10181">
          <cell r="A10181">
            <v>0</v>
          </cell>
          <cell r="B10181">
            <v>0</v>
          </cell>
        </row>
        <row r="10182">
          <cell r="A10182">
            <v>0</v>
          </cell>
          <cell r="B10182">
            <v>0</v>
          </cell>
        </row>
        <row r="10183">
          <cell r="A10183">
            <v>0</v>
          </cell>
          <cell r="B10183">
            <v>0</v>
          </cell>
        </row>
        <row r="10184">
          <cell r="A10184">
            <v>0</v>
          </cell>
          <cell r="B10184">
            <v>0</v>
          </cell>
        </row>
        <row r="10185">
          <cell r="A10185">
            <v>0</v>
          </cell>
          <cell r="B10185">
            <v>0</v>
          </cell>
        </row>
        <row r="10186">
          <cell r="A10186">
            <v>0</v>
          </cell>
          <cell r="B10186">
            <v>0</v>
          </cell>
        </row>
        <row r="10187">
          <cell r="A10187">
            <v>0</v>
          </cell>
          <cell r="B10187">
            <v>0</v>
          </cell>
        </row>
        <row r="10188">
          <cell r="A10188">
            <v>0</v>
          </cell>
          <cell r="B10188">
            <v>0</v>
          </cell>
        </row>
        <row r="10189">
          <cell r="A10189">
            <v>0</v>
          </cell>
          <cell r="B10189">
            <v>0</v>
          </cell>
        </row>
        <row r="10190">
          <cell r="A10190">
            <v>0</v>
          </cell>
          <cell r="B10190">
            <v>0</v>
          </cell>
        </row>
        <row r="10191">
          <cell r="A10191">
            <v>0</v>
          </cell>
          <cell r="B10191">
            <v>0</v>
          </cell>
        </row>
        <row r="10192">
          <cell r="A10192">
            <v>0</v>
          </cell>
          <cell r="B10192">
            <v>0</v>
          </cell>
        </row>
        <row r="10193">
          <cell r="A10193">
            <v>0</v>
          </cell>
          <cell r="B10193">
            <v>0</v>
          </cell>
        </row>
        <row r="10194">
          <cell r="A10194">
            <v>0</v>
          </cell>
          <cell r="B10194">
            <v>0</v>
          </cell>
        </row>
        <row r="10195">
          <cell r="A10195">
            <v>0</v>
          </cell>
          <cell r="B10195">
            <v>0</v>
          </cell>
        </row>
        <row r="10196">
          <cell r="A10196">
            <v>0</v>
          </cell>
          <cell r="B10196">
            <v>0</v>
          </cell>
        </row>
        <row r="10197">
          <cell r="A10197">
            <v>0</v>
          </cell>
          <cell r="B10197">
            <v>0</v>
          </cell>
        </row>
        <row r="10198">
          <cell r="A10198">
            <v>0</v>
          </cell>
          <cell r="B10198">
            <v>0</v>
          </cell>
        </row>
        <row r="10199">
          <cell r="A10199">
            <v>0</v>
          </cell>
          <cell r="B10199">
            <v>0</v>
          </cell>
        </row>
        <row r="10200">
          <cell r="A10200">
            <v>0</v>
          </cell>
          <cell r="B10200">
            <v>0</v>
          </cell>
        </row>
        <row r="10201">
          <cell r="A10201">
            <v>0</v>
          </cell>
          <cell r="B10201">
            <v>0</v>
          </cell>
        </row>
        <row r="10202">
          <cell r="A10202">
            <v>0</v>
          </cell>
          <cell r="B10202">
            <v>0</v>
          </cell>
        </row>
        <row r="10203">
          <cell r="A10203">
            <v>0</v>
          </cell>
          <cell r="B10203">
            <v>0</v>
          </cell>
        </row>
        <row r="10204">
          <cell r="A10204">
            <v>0</v>
          </cell>
          <cell r="B10204">
            <v>0</v>
          </cell>
        </row>
        <row r="10205">
          <cell r="A10205">
            <v>0</v>
          </cell>
          <cell r="B10205">
            <v>0</v>
          </cell>
        </row>
        <row r="10206">
          <cell r="A10206">
            <v>0</v>
          </cell>
          <cell r="B10206">
            <v>0</v>
          </cell>
        </row>
        <row r="10207">
          <cell r="A10207">
            <v>0</v>
          </cell>
          <cell r="B10207">
            <v>0</v>
          </cell>
        </row>
        <row r="10208">
          <cell r="A10208">
            <v>0</v>
          </cell>
          <cell r="B10208">
            <v>0</v>
          </cell>
        </row>
        <row r="10209">
          <cell r="A10209">
            <v>0</v>
          </cell>
          <cell r="B10209">
            <v>0</v>
          </cell>
        </row>
        <row r="10210">
          <cell r="A10210">
            <v>0</v>
          </cell>
          <cell r="B10210">
            <v>0</v>
          </cell>
        </row>
        <row r="10211">
          <cell r="A10211">
            <v>0</v>
          </cell>
          <cell r="B10211">
            <v>0</v>
          </cell>
        </row>
        <row r="10212">
          <cell r="A10212">
            <v>0</v>
          </cell>
          <cell r="B10212">
            <v>0</v>
          </cell>
        </row>
        <row r="10213">
          <cell r="A10213">
            <v>0</v>
          </cell>
          <cell r="B10213">
            <v>0</v>
          </cell>
        </row>
        <row r="10214">
          <cell r="A10214">
            <v>0</v>
          </cell>
          <cell r="B10214">
            <v>0</v>
          </cell>
        </row>
        <row r="10215">
          <cell r="A10215">
            <v>0</v>
          </cell>
          <cell r="B10215">
            <v>0</v>
          </cell>
        </row>
        <row r="10216">
          <cell r="A10216">
            <v>0</v>
          </cell>
          <cell r="B10216">
            <v>0</v>
          </cell>
        </row>
        <row r="10217">
          <cell r="A10217">
            <v>0</v>
          </cell>
          <cell r="B10217">
            <v>0</v>
          </cell>
        </row>
        <row r="10218">
          <cell r="A10218">
            <v>0</v>
          </cell>
          <cell r="B10218">
            <v>0</v>
          </cell>
        </row>
        <row r="10219">
          <cell r="A10219">
            <v>0</v>
          </cell>
          <cell r="B10219">
            <v>0</v>
          </cell>
        </row>
        <row r="10220">
          <cell r="A10220">
            <v>0</v>
          </cell>
          <cell r="B10220">
            <v>0</v>
          </cell>
        </row>
        <row r="10221">
          <cell r="A10221">
            <v>0</v>
          </cell>
          <cell r="B10221">
            <v>0</v>
          </cell>
        </row>
        <row r="10222">
          <cell r="A10222">
            <v>0</v>
          </cell>
          <cell r="B10222">
            <v>0</v>
          </cell>
        </row>
        <row r="10223">
          <cell r="A10223">
            <v>0</v>
          </cell>
          <cell r="B10223">
            <v>0</v>
          </cell>
        </row>
        <row r="10224">
          <cell r="A10224">
            <v>0</v>
          </cell>
          <cell r="B10224">
            <v>0</v>
          </cell>
        </row>
        <row r="10225">
          <cell r="A10225">
            <v>0</v>
          </cell>
          <cell r="B10225">
            <v>0</v>
          </cell>
        </row>
        <row r="10226">
          <cell r="A10226">
            <v>0</v>
          </cell>
          <cell r="B10226">
            <v>0</v>
          </cell>
        </row>
        <row r="10227">
          <cell r="A10227">
            <v>0</v>
          </cell>
          <cell r="B10227">
            <v>0</v>
          </cell>
        </row>
        <row r="10228">
          <cell r="A10228">
            <v>0</v>
          </cell>
          <cell r="B10228">
            <v>0</v>
          </cell>
        </row>
        <row r="10229">
          <cell r="A10229">
            <v>0</v>
          </cell>
          <cell r="B10229">
            <v>0</v>
          </cell>
        </row>
        <row r="10230">
          <cell r="A10230">
            <v>0</v>
          </cell>
          <cell r="B10230">
            <v>0</v>
          </cell>
        </row>
        <row r="10231">
          <cell r="A10231">
            <v>0</v>
          </cell>
          <cell r="B10231">
            <v>0</v>
          </cell>
        </row>
        <row r="10232">
          <cell r="A10232">
            <v>0</v>
          </cell>
          <cell r="B10232">
            <v>0</v>
          </cell>
        </row>
        <row r="10233">
          <cell r="A10233">
            <v>0</v>
          </cell>
          <cell r="B10233">
            <v>0</v>
          </cell>
        </row>
        <row r="10234">
          <cell r="A10234">
            <v>0</v>
          </cell>
          <cell r="B10234">
            <v>0</v>
          </cell>
        </row>
        <row r="10235">
          <cell r="A10235">
            <v>0</v>
          </cell>
          <cell r="B10235">
            <v>0</v>
          </cell>
        </row>
        <row r="10236">
          <cell r="A10236">
            <v>0</v>
          </cell>
          <cell r="B10236">
            <v>0</v>
          </cell>
        </row>
        <row r="10237">
          <cell r="A10237">
            <v>0</v>
          </cell>
          <cell r="B10237">
            <v>0</v>
          </cell>
        </row>
        <row r="10238">
          <cell r="A10238">
            <v>0</v>
          </cell>
          <cell r="B10238">
            <v>0</v>
          </cell>
        </row>
        <row r="10239">
          <cell r="A10239">
            <v>0</v>
          </cell>
          <cell r="B10239">
            <v>0</v>
          </cell>
        </row>
        <row r="10240">
          <cell r="A10240">
            <v>0</v>
          </cell>
          <cell r="B10240">
            <v>0</v>
          </cell>
        </row>
        <row r="10241">
          <cell r="A10241">
            <v>0</v>
          </cell>
          <cell r="B10241">
            <v>0</v>
          </cell>
        </row>
        <row r="10242">
          <cell r="A10242">
            <v>0</v>
          </cell>
          <cell r="B10242">
            <v>0</v>
          </cell>
        </row>
        <row r="10243">
          <cell r="A10243">
            <v>0</v>
          </cell>
          <cell r="B10243">
            <v>0</v>
          </cell>
        </row>
        <row r="10244">
          <cell r="A10244">
            <v>0</v>
          </cell>
          <cell r="B10244">
            <v>0</v>
          </cell>
        </row>
        <row r="10245">
          <cell r="A10245">
            <v>0</v>
          </cell>
          <cell r="B10245">
            <v>0</v>
          </cell>
        </row>
        <row r="10246">
          <cell r="A10246">
            <v>0</v>
          </cell>
          <cell r="B10246">
            <v>0</v>
          </cell>
        </row>
        <row r="10247">
          <cell r="A10247">
            <v>0</v>
          </cell>
          <cell r="B10247">
            <v>0</v>
          </cell>
        </row>
        <row r="10248">
          <cell r="A10248">
            <v>0</v>
          </cell>
          <cell r="B10248">
            <v>0</v>
          </cell>
        </row>
        <row r="10249">
          <cell r="A10249">
            <v>0</v>
          </cell>
          <cell r="B10249">
            <v>0</v>
          </cell>
        </row>
        <row r="10250">
          <cell r="A10250">
            <v>0</v>
          </cell>
          <cell r="B10250">
            <v>0</v>
          </cell>
        </row>
        <row r="10251">
          <cell r="A10251">
            <v>0</v>
          </cell>
          <cell r="B10251">
            <v>0</v>
          </cell>
        </row>
        <row r="10252">
          <cell r="A10252">
            <v>0</v>
          </cell>
          <cell r="B10252">
            <v>0</v>
          </cell>
        </row>
        <row r="10253">
          <cell r="A10253">
            <v>0</v>
          </cell>
          <cell r="B10253">
            <v>0</v>
          </cell>
        </row>
        <row r="10254">
          <cell r="A10254">
            <v>0</v>
          </cell>
          <cell r="B10254">
            <v>0</v>
          </cell>
        </row>
        <row r="10255">
          <cell r="A10255">
            <v>0</v>
          </cell>
          <cell r="B10255">
            <v>0</v>
          </cell>
        </row>
        <row r="10256">
          <cell r="A10256">
            <v>0</v>
          </cell>
          <cell r="B10256">
            <v>0</v>
          </cell>
        </row>
        <row r="10257">
          <cell r="A10257">
            <v>0</v>
          </cell>
          <cell r="B10257">
            <v>0</v>
          </cell>
        </row>
        <row r="10258">
          <cell r="A10258">
            <v>0</v>
          </cell>
          <cell r="B10258">
            <v>0</v>
          </cell>
        </row>
        <row r="10259">
          <cell r="A10259">
            <v>0</v>
          </cell>
          <cell r="B10259">
            <v>0</v>
          </cell>
        </row>
        <row r="10260">
          <cell r="A10260">
            <v>0</v>
          </cell>
          <cell r="B10260">
            <v>0</v>
          </cell>
        </row>
        <row r="10261">
          <cell r="A10261">
            <v>0</v>
          </cell>
          <cell r="B10261">
            <v>0</v>
          </cell>
        </row>
        <row r="10262">
          <cell r="A10262">
            <v>0</v>
          </cell>
          <cell r="B10262">
            <v>0</v>
          </cell>
        </row>
        <row r="10263">
          <cell r="A10263">
            <v>0</v>
          </cell>
          <cell r="B10263">
            <v>0</v>
          </cell>
        </row>
        <row r="10264">
          <cell r="A10264">
            <v>0</v>
          </cell>
          <cell r="B10264">
            <v>0</v>
          </cell>
        </row>
        <row r="10265">
          <cell r="A10265">
            <v>0</v>
          </cell>
          <cell r="B10265">
            <v>0</v>
          </cell>
        </row>
        <row r="10266">
          <cell r="A10266">
            <v>0</v>
          </cell>
          <cell r="B10266">
            <v>0</v>
          </cell>
        </row>
        <row r="10267">
          <cell r="A10267">
            <v>0</v>
          </cell>
          <cell r="B10267">
            <v>0</v>
          </cell>
        </row>
        <row r="10268">
          <cell r="A10268">
            <v>0</v>
          </cell>
          <cell r="B10268">
            <v>0</v>
          </cell>
        </row>
        <row r="10269">
          <cell r="A10269">
            <v>0</v>
          </cell>
          <cell r="B10269">
            <v>0</v>
          </cell>
        </row>
        <row r="10270">
          <cell r="A10270">
            <v>0</v>
          </cell>
          <cell r="B10270">
            <v>0</v>
          </cell>
        </row>
        <row r="10271">
          <cell r="A10271">
            <v>0</v>
          </cell>
          <cell r="B10271">
            <v>0</v>
          </cell>
        </row>
        <row r="10272">
          <cell r="A10272">
            <v>0</v>
          </cell>
          <cell r="B10272">
            <v>0</v>
          </cell>
        </row>
        <row r="10273">
          <cell r="A10273">
            <v>0</v>
          </cell>
          <cell r="B10273">
            <v>0</v>
          </cell>
        </row>
        <row r="10274">
          <cell r="A10274">
            <v>0</v>
          </cell>
          <cell r="B10274">
            <v>0</v>
          </cell>
        </row>
        <row r="10275">
          <cell r="A10275">
            <v>0</v>
          </cell>
          <cell r="B10275">
            <v>0</v>
          </cell>
        </row>
        <row r="10276">
          <cell r="A10276">
            <v>0</v>
          </cell>
          <cell r="B10276">
            <v>0</v>
          </cell>
        </row>
        <row r="10277">
          <cell r="A10277">
            <v>0</v>
          </cell>
          <cell r="B10277">
            <v>0</v>
          </cell>
        </row>
        <row r="10278">
          <cell r="A10278">
            <v>0</v>
          </cell>
          <cell r="B10278">
            <v>0</v>
          </cell>
        </row>
        <row r="10279">
          <cell r="A10279">
            <v>0</v>
          </cell>
          <cell r="B10279">
            <v>0</v>
          </cell>
        </row>
        <row r="10280">
          <cell r="A10280">
            <v>0</v>
          </cell>
          <cell r="B10280">
            <v>0</v>
          </cell>
        </row>
        <row r="10281">
          <cell r="A10281">
            <v>0</v>
          </cell>
          <cell r="B10281">
            <v>0</v>
          </cell>
        </row>
        <row r="10282">
          <cell r="A10282">
            <v>0</v>
          </cell>
          <cell r="B10282">
            <v>0</v>
          </cell>
        </row>
        <row r="10283">
          <cell r="A10283">
            <v>0</v>
          </cell>
          <cell r="B10283">
            <v>0</v>
          </cell>
        </row>
        <row r="10284">
          <cell r="A10284">
            <v>0</v>
          </cell>
          <cell r="B10284">
            <v>0</v>
          </cell>
        </row>
        <row r="10285">
          <cell r="A10285">
            <v>0</v>
          </cell>
          <cell r="B10285">
            <v>0</v>
          </cell>
        </row>
        <row r="10286">
          <cell r="A10286">
            <v>0</v>
          </cell>
          <cell r="B10286">
            <v>0</v>
          </cell>
        </row>
        <row r="10287">
          <cell r="A10287">
            <v>0</v>
          </cell>
          <cell r="B10287">
            <v>0</v>
          </cell>
        </row>
        <row r="10288">
          <cell r="A10288">
            <v>0</v>
          </cell>
          <cell r="B10288">
            <v>0</v>
          </cell>
        </row>
        <row r="10289">
          <cell r="A10289">
            <v>0</v>
          </cell>
          <cell r="B10289">
            <v>0</v>
          </cell>
        </row>
        <row r="10290">
          <cell r="A10290">
            <v>0</v>
          </cell>
          <cell r="B10290">
            <v>0</v>
          </cell>
        </row>
        <row r="10291">
          <cell r="A10291">
            <v>0</v>
          </cell>
          <cell r="B10291">
            <v>0</v>
          </cell>
        </row>
        <row r="10292">
          <cell r="A10292">
            <v>0</v>
          </cell>
          <cell r="B10292">
            <v>0</v>
          </cell>
        </row>
        <row r="10293">
          <cell r="A10293">
            <v>0</v>
          </cell>
          <cell r="B10293">
            <v>0</v>
          </cell>
        </row>
        <row r="10294">
          <cell r="A10294">
            <v>0</v>
          </cell>
          <cell r="B10294">
            <v>0</v>
          </cell>
        </row>
        <row r="10295">
          <cell r="A10295">
            <v>0</v>
          </cell>
          <cell r="B10295">
            <v>0</v>
          </cell>
        </row>
        <row r="10296">
          <cell r="A10296">
            <v>0</v>
          </cell>
          <cell r="B10296">
            <v>0</v>
          </cell>
        </row>
        <row r="10297">
          <cell r="A10297">
            <v>0</v>
          </cell>
          <cell r="B10297">
            <v>0</v>
          </cell>
        </row>
        <row r="10298">
          <cell r="A10298">
            <v>0</v>
          </cell>
          <cell r="B10298">
            <v>0</v>
          </cell>
        </row>
        <row r="10299">
          <cell r="A10299">
            <v>0</v>
          </cell>
          <cell r="B10299">
            <v>0</v>
          </cell>
        </row>
        <row r="10300">
          <cell r="A10300">
            <v>0</v>
          </cell>
          <cell r="B10300">
            <v>0</v>
          </cell>
        </row>
        <row r="10301">
          <cell r="A10301">
            <v>0</v>
          </cell>
          <cell r="B10301">
            <v>0</v>
          </cell>
        </row>
        <row r="10302">
          <cell r="A10302">
            <v>0</v>
          </cell>
          <cell r="B10302">
            <v>0</v>
          </cell>
        </row>
        <row r="10303">
          <cell r="A10303">
            <v>0</v>
          </cell>
          <cell r="B10303">
            <v>0</v>
          </cell>
        </row>
        <row r="10304">
          <cell r="A10304">
            <v>0</v>
          </cell>
          <cell r="B10304">
            <v>0</v>
          </cell>
        </row>
        <row r="10305">
          <cell r="A10305">
            <v>0</v>
          </cell>
          <cell r="B10305">
            <v>0</v>
          </cell>
        </row>
        <row r="10306">
          <cell r="A10306">
            <v>0</v>
          </cell>
          <cell r="B10306">
            <v>0</v>
          </cell>
        </row>
        <row r="10307">
          <cell r="A10307">
            <v>0</v>
          </cell>
          <cell r="B10307">
            <v>0</v>
          </cell>
        </row>
        <row r="10308">
          <cell r="A10308">
            <v>0</v>
          </cell>
          <cell r="B10308">
            <v>0</v>
          </cell>
        </row>
        <row r="10309">
          <cell r="A10309">
            <v>0</v>
          </cell>
          <cell r="B10309">
            <v>0</v>
          </cell>
        </row>
        <row r="10310">
          <cell r="A10310">
            <v>0</v>
          </cell>
          <cell r="B10310">
            <v>0</v>
          </cell>
        </row>
        <row r="10311">
          <cell r="A10311">
            <v>0</v>
          </cell>
          <cell r="B10311">
            <v>0</v>
          </cell>
        </row>
        <row r="10312">
          <cell r="A10312">
            <v>0</v>
          </cell>
          <cell r="B10312">
            <v>0</v>
          </cell>
        </row>
        <row r="10313">
          <cell r="A10313">
            <v>0</v>
          </cell>
          <cell r="B10313">
            <v>0</v>
          </cell>
        </row>
        <row r="10314">
          <cell r="A10314">
            <v>0</v>
          </cell>
          <cell r="B10314">
            <v>0</v>
          </cell>
        </row>
        <row r="10315">
          <cell r="A10315">
            <v>0</v>
          </cell>
          <cell r="B10315">
            <v>0</v>
          </cell>
        </row>
        <row r="10316">
          <cell r="A10316">
            <v>0</v>
          </cell>
          <cell r="B10316">
            <v>0</v>
          </cell>
        </row>
        <row r="10317">
          <cell r="A10317">
            <v>0</v>
          </cell>
          <cell r="B10317">
            <v>0</v>
          </cell>
        </row>
        <row r="10318">
          <cell r="A10318">
            <v>0</v>
          </cell>
          <cell r="B10318">
            <v>0</v>
          </cell>
        </row>
        <row r="10319">
          <cell r="A10319">
            <v>0</v>
          </cell>
          <cell r="B10319">
            <v>0</v>
          </cell>
        </row>
        <row r="10320">
          <cell r="A10320">
            <v>0</v>
          </cell>
          <cell r="B10320">
            <v>0</v>
          </cell>
        </row>
        <row r="10321">
          <cell r="A10321">
            <v>0</v>
          </cell>
          <cell r="B10321">
            <v>0</v>
          </cell>
        </row>
        <row r="10322">
          <cell r="A10322">
            <v>0</v>
          </cell>
          <cell r="B10322">
            <v>0</v>
          </cell>
        </row>
        <row r="10323">
          <cell r="A10323">
            <v>0</v>
          </cell>
          <cell r="B10323">
            <v>0</v>
          </cell>
        </row>
        <row r="10324">
          <cell r="A10324">
            <v>0</v>
          </cell>
          <cell r="B10324">
            <v>0</v>
          </cell>
        </row>
        <row r="10325">
          <cell r="A10325">
            <v>0</v>
          </cell>
          <cell r="B10325">
            <v>0</v>
          </cell>
        </row>
        <row r="10326">
          <cell r="A10326">
            <v>0</v>
          </cell>
          <cell r="B10326">
            <v>0</v>
          </cell>
        </row>
        <row r="10327">
          <cell r="A10327">
            <v>0</v>
          </cell>
          <cell r="B10327">
            <v>0</v>
          </cell>
        </row>
        <row r="10328">
          <cell r="A10328">
            <v>0</v>
          </cell>
          <cell r="B10328">
            <v>0</v>
          </cell>
        </row>
        <row r="10329">
          <cell r="A10329">
            <v>0</v>
          </cell>
          <cell r="B10329">
            <v>0</v>
          </cell>
        </row>
        <row r="10330">
          <cell r="A10330">
            <v>0</v>
          </cell>
          <cell r="B10330">
            <v>0</v>
          </cell>
        </row>
        <row r="10331">
          <cell r="A10331">
            <v>0</v>
          </cell>
          <cell r="B10331">
            <v>0</v>
          </cell>
        </row>
        <row r="10332">
          <cell r="A10332">
            <v>0</v>
          </cell>
          <cell r="B10332">
            <v>0</v>
          </cell>
        </row>
        <row r="10333">
          <cell r="A10333">
            <v>0</v>
          </cell>
          <cell r="B10333">
            <v>0</v>
          </cell>
        </row>
        <row r="10334">
          <cell r="A10334">
            <v>0</v>
          </cell>
          <cell r="B10334">
            <v>0</v>
          </cell>
        </row>
        <row r="10335">
          <cell r="A10335">
            <v>0</v>
          </cell>
          <cell r="B10335">
            <v>0</v>
          </cell>
        </row>
        <row r="10336">
          <cell r="A10336">
            <v>0</v>
          </cell>
          <cell r="B10336">
            <v>0</v>
          </cell>
        </row>
        <row r="10337">
          <cell r="A10337">
            <v>0</v>
          </cell>
          <cell r="B10337">
            <v>0</v>
          </cell>
        </row>
        <row r="10338">
          <cell r="A10338">
            <v>0</v>
          </cell>
          <cell r="B10338">
            <v>0</v>
          </cell>
        </row>
        <row r="10339">
          <cell r="A10339">
            <v>0</v>
          </cell>
          <cell r="B10339">
            <v>0</v>
          </cell>
        </row>
        <row r="10340">
          <cell r="A10340">
            <v>0</v>
          </cell>
          <cell r="B10340">
            <v>0</v>
          </cell>
        </row>
        <row r="10341">
          <cell r="A10341">
            <v>0</v>
          </cell>
          <cell r="B10341">
            <v>0</v>
          </cell>
        </row>
        <row r="10342">
          <cell r="A10342">
            <v>0</v>
          </cell>
          <cell r="B10342">
            <v>0</v>
          </cell>
        </row>
        <row r="10343">
          <cell r="A10343">
            <v>0</v>
          </cell>
          <cell r="B10343">
            <v>0</v>
          </cell>
        </row>
        <row r="10344">
          <cell r="A10344">
            <v>0</v>
          </cell>
          <cell r="B10344">
            <v>0</v>
          </cell>
        </row>
        <row r="10345">
          <cell r="A10345">
            <v>0</v>
          </cell>
          <cell r="B10345">
            <v>0</v>
          </cell>
        </row>
        <row r="10346">
          <cell r="A10346">
            <v>0</v>
          </cell>
          <cell r="B10346">
            <v>0</v>
          </cell>
        </row>
        <row r="10347">
          <cell r="A10347">
            <v>0</v>
          </cell>
          <cell r="B10347">
            <v>0</v>
          </cell>
        </row>
        <row r="10348">
          <cell r="A10348">
            <v>0</v>
          </cell>
          <cell r="B10348">
            <v>0</v>
          </cell>
        </row>
        <row r="10349">
          <cell r="A10349">
            <v>0</v>
          </cell>
          <cell r="B10349">
            <v>0</v>
          </cell>
        </row>
        <row r="10350">
          <cell r="A10350">
            <v>0</v>
          </cell>
          <cell r="B10350">
            <v>0</v>
          </cell>
        </row>
        <row r="10351">
          <cell r="A10351">
            <v>0</v>
          </cell>
          <cell r="B10351">
            <v>0</v>
          </cell>
        </row>
        <row r="10352">
          <cell r="A10352">
            <v>0</v>
          </cell>
          <cell r="B10352">
            <v>0</v>
          </cell>
        </row>
        <row r="10353">
          <cell r="A10353">
            <v>0</v>
          </cell>
          <cell r="B10353">
            <v>0</v>
          </cell>
        </row>
        <row r="10354">
          <cell r="A10354">
            <v>0</v>
          </cell>
          <cell r="B10354">
            <v>0</v>
          </cell>
        </row>
        <row r="10355">
          <cell r="A10355">
            <v>0</v>
          </cell>
          <cell r="B10355">
            <v>0</v>
          </cell>
        </row>
        <row r="10356">
          <cell r="A10356">
            <v>0</v>
          </cell>
          <cell r="B10356">
            <v>0</v>
          </cell>
        </row>
        <row r="10357">
          <cell r="A10357">
            <v>0</v>
          </cell>
          <cell r="B10357">
            <v>0</v>
          </cell>
        </row>
        <row r="10358">
          <cell r="A10358">
            <v>0</v>
          </cell>
          <cell r="B10358">
            <v>0</v>
          </cell>
        </row>
        <row r="10359">
          <cell r="A10359">
            <v>0</v>
          </cell>
          <cell r="B10359">
            <v>0</v>
          </cell>
        </row>
        <row r="10360">
          <cell r="A10360">
            <v>0</v>
          </cell>
          <cell r="B10360">
            <v>0</v>
          </cell>
        </row>
        <row r="10361">
          <cell r="A10361">
            <v>0</v>
          </cell>
          <cell r="B10361">
            <v>0</v>
          </cell>
        </row>
        <row r="10362">
          <cell r="A10362">
            <v>0</v>
          </cell>
          <cell r="B10362">
            <v>0</v>
          </cell>
        </row>
        <row r="10363">
          <cell r="A10363">
            <v>0</v>
          </cell>
          <cell r="B10363">
            <v>0</v>
          </cell>
        </row>
        <row r="10364">
          <cell r="A10364">
            <v>0</v>
          </cell>
          <cell r="B10364">
            <v>0</v>
          </cell>
        </row>
        <row r="10365">
          <cell r="A10365">
            <v>0</v>
          </cell>
          <cell r="B10365">
            <v>0</v>
          </cell>
        </row>
        <row r="10366">
          <cell r="A10366">
            <v>0</v>
          </cell>
          <cell r="B10366">
            <v>0</v>
          </cell>
        </row>
        <row r="10367">
          <cell r="A10367">
            <v>0</v>
          </cell>
          <cell r="B10367">
            <v>0</v>
          </cell>
        </row>
        <row r="10368">
          <cell r="A10368">
            <v>0</v>
          </cell>
          <cell r="B10368">
            <v>0</v>
          </cell>
        </row>
        <row r="10369">
          <cell r="A10369">
            <v>0</v>
          </cell>
          <cell r="B10369">
            <v>0</v>
          </cell>
        </row>
        <row r="10370">
          <cell r="A10370">
            <v>0</v>
          </cell>
          <cell r="B10370">
            <v>0</v>
          </cell>
        </row>
        <row r="10371">
          <cell r="A10371">
            <v>0</v>
          </cell>
          <cell r="B10371">
            <v>0</v>
          </cell>
        </row>
        <row r="10372">
          <cell r="A10372">
            <v>0</v>
          </cell>
          <cell r="B10372">
            <v>0</v>
          </cell>
        </row>
        <row r="10373">
          <cell r="A10373">
            <v>0</v>
          </cell>
          <cell r="B10373">
            <v>0</v>
          </cell>
        </row>
        <row r="10374">
          <cell r="A10374">
            <v>0</v>
          </cell>
          <cell r="B10374">
            <v>0</v>
          </cell>
        </row>
        <row r="10375">
          <cell r="A10375">
            <v>0</v>
          </cell>
          <cell r="B10375">
            <v>0</v>
          </cell>
        </row>
        <row r="10376">
          <cell r="A10376">
            <v>0</v>
          </cell>
          <cell r="B10376">
            <v>0</v>
          </cell>
        </row>
        <row r="10377">
          <cell r="A10377">
            <v>0</v>
          </cell>
          <cell r="B10377">
            <v>0</v>
          </cell>
        </row>
        <row r="10378">
          <cell r="A10378">
            <v>0</v>
          </cell>
          <cell r="B10378">
            <v>0</v>
          </cell>
        </row>
        <row r="10379">
          <cell r="A10379">
            <v>0</v>
          </cell>
          <cell r="B10379">
            <v>0</v>
          </cell>
        </row>
        <row r="10380">
          <cell r="A10380">
            <v>0</v>
          </cell>
          <cell r="B10380">
            <v>0</v>
          </cell>
        </row>
        <row r="10381">
          <cell r="A10381">
            <v>0</v>
          </cell>
          <cell r="B10381">
            <v>0</v>
          </cell>
        </row>
        <row r="10382">
          <cell r="A10382">
            <v>0</v>
          </cell>
          <cell r="B10382">
            <v>0</v>
          </cell>
        </row>
        <row r="10383">
          <cell r="A10383">
            <v>0</v>
          </cell>
          <cell r="B10383">
            <v>0</v>
          </cell>
        </row>
        <row r="10384">
          <cell r="A10384">
            <v>0</v>
          </cell>
          <cell r="B10384">
            <v>0</v>
          </cell>
        </row>
        <row r="10385">
          <cell r="A10385">
            <v>0</v>
          </cell>
          <cell r="B10385">
            <v>0</v>
          </cell>
        </row>
        <row r="10386">
          <cell r="A10386">
            <v>0</v>
          </cell>
          <cell r="B10386">
            <v>0</v>
          </cell>
        </row>
        <row r="10387">
          <cell r="A10387">
            <v>0</v>
          </cell>
          <cell r="B10387">
            <v>0</v>
          </cell>
        </row>
        <row r="10388">
          <cell r="A10388">
            <v>0</v>
          </cell>
          <cell r="B10388">
            <v>0</v>
          </cell>
        </row>
        <row r="10389">
          <cell r="A10389">
            <v>0</v>
          </cell>
          <cell r="B10389">
            <v>0</v>
          </cell>
        </row>
        <row r="10390">
          <cell r="A10390">
            <v>0</v>
          </cell>
          <cell r="B10390">
            <v>0</v>
          </cell>
        </row>
        <row r="10391">
          <cell r="A10391">
            <v>0</v>
          </cell>
          <cell r="B10391">
            <v>0</v>
          </cell>
        </row>
        <row r="10392">
          <cell r="A10392">
            <v>0</v>
          </cell>
          <cell r="B10392">
            <v>0</v>
          </cell>
        </row>
        <row r="10393">
          <cell r="A10393">
            <v>0</v>
          </cell>
          <cell r="B10393">
            <v>0</v>
          </cell>
        </row>
        <row r="10394">
          <cell r="A10394">
            <v>0</v>
          </cell>
          <cell r="B10394">
            <v>0</v>
          </cell>
        </row>
        <row r="10395">
          <cell r="A10395">
            <v>0</v>
          </cell>
          <cell r="B10395">
            <v>0</v>
          </cell>
        </row>
        <row r="10396">
          <cell r="A10396">
            <v>0</v>
          </cell>
          <cell r="B10396">
            <v>0</v>
          </cell>
        </row>
        <row r="10397">
          <cell r="A10397">
            <v>0</v>
          </cell>
          <cell r="B10397">
            <v>0</v>
          </cell>
        </row>
        <row r="10398">
          <cell r="A10398">
            <v>0</v>
          </cell>
          <cell r="B10398">
            <v>0</v>
          </cell>
        </row>
        <row r="10399">
          <cell r="A10399">
            <v>0</v>
          </cell>
          <cell r="B10399">
            <v>0</v>
          </cell>
        </row>
        <row r="10400">
          <cell r="A10400">
            <v>0</v>
          </cell>
          <cell r="B10400">
            <v>0</v>
          </cell>
        </row>
        <row r="10401">
          <cell r="A10401">
            <v>0</v>
          </cell>
          <cell r="B10401">
            <v>0</v>
          </cell>
        </row>
        <row r="10402">
          <cell r="A10402">
            <v>0</v>
          </cell>
          <cell r="B10402">
            <v>0</v>
          </cell>
        </row>
        <row r="10403">
          <cell r="A10403">
            <v>0</v>
          </cell>
          <cell r="B10403">
            <v>0</v>
          </cell>
        </row>
        <row r="10404">
          <cell r="A10404">
            <v>0</v>
          </cell>
          <cell r="B10404">
            <v>0</v>
          </cell>
        </row>
        <row r="10405">
          <cell r="A10405">
            <v>0</v>
          </cell>
          <cell r="B10405">
            <v>0</v>
          </cell>
        </row>
        <row r="10406">
          <cell r="A10406">
            <v>0</v>
          </cell>
          <cell r="B10406">
            <v>0</v>
          </cell>
        </row>
        <row r="10407">
          <cell r="A10407">
            <v>0</v>
          </cell>
          <cell r="B10407">
            <v>0</v>
          </cell>
        </row>
        <row r="10408">
          <cell r="A10408">
            <v>0</v>
          </cell>
          <cell r="B10408">
            <v>0</v>
          </cell>
        </row>
        <row r="10409">
          <cell r="A10409">
            <v>0</v>
          </cell>
          <cell r="B10409">
            <v>0</v>
          </cell>
        </row>
        <row r="10410">
          <cell r="A10410">
            <v>0</v>
          </cell>
          <cell r="B10410">
            <v>0</v>
          </cell>
        </row>
        <row r="10411">
          <cell r="A10411">
            <v>0</v>
          </cell>
          <cell r="B10411">
            <v>0</v>
          </cell>
        </row>
        <row r="10412">
          <cell r="A10412">
            <v>0</v>
          </cell>
          <cell r="B10412">
            <v>0</v>
          </cell>
        </row>
        <row r="10413">
          <cell r="A10413">
            <v>0</v>
          </cell>
          <cell r="B10413">
            <v>0</v>
          </cell>
        </row>
        <row r="10414">
          <cell r="A10414">
            <v>0</v>
          </cell>
          <cell r="B10414">
            <v>0</v>
          </cell>
        </row>
        <row r="10415">
          <cell r="A10415">
            <v>0</v>
          </cell>
          <cell r="B10415">
            <v>0</v>
          </cell>
        </row>
        <row r="10416">
          <cell r="A10416">
            <v>0</v>
          </cell>
          <cell r="B10416">
            <v>0</v>
          </cell>
        </row>
        <row r="10417">
          <cell r="A10417">
            <v>0</v>
          </cell>
          <cell r="B10417">
            <v>0</v>
          </cell>
        </row>
        <row r="10418">
          <cell r="A10418">
            <v>0</v>
          </cell>
          <cell r="B10418">
            <v>0</v>
          </cell>
        </row>
        <row r="10419">
          <cell r="A10419">
            <v>0</v>
          </cell>
          <cell r="B10419">
            <v>0</v>
          </cell>
        </row>
        <row r="10420">
          <cell r="A10420">
            <v>0</v>
          </cell>
          <cell r="B10420">
            <v>0</v>
          </cell>
        </row>
        <row r="10421">
          <cell r="A10421">
            <v>0</v>
          </cell>
          <cell r="B10421">
            <v>0</v>
          </cell>
        </row>
        <row r="10422">
          <cell r="A10422">
            <v>0</v>
          </cell>
          <cell r="B10422">
            <v>0</v>
          </cell>
        </row>
        <row r="10423">
          <cell r="A10423">
            <v>0</v>
          </cell>
          <cell r="B10423">
            <v>0</v>
          </cell>
        </row>
        <row r="10424">
          <cell r="A10424">
            <v>0</v>
          </cell>
          <cell r="B10424">
            <v>0</v>
          </cell>
        </row>
        <row r="10425">
          <cell r="A10425">
            <v>0</v>
          </cell>
          <cell r="B10425">
            <v>0</v>
          </cell>
        </row>
        <row r="10426">
          <cell r="A10426">
            <v>0</v>
          </cell>
          <cell r="B10426">
            <v>0</v>
          </cell>
        </row>
        <row r="10427">
          <cell r="A10427">
            <v>0</v>
          </cell>
          <cell r="B10427">
            <v>0</v>
          </cell>
        </row>
        <row r="10428">
          <cell r="A10428">
            <v>0</v>
          </cell>
          <cell r="B10428">
            <v>0</v>
          </cell>
        </row>
        <row r="10429">
          <cell r="A10429">
            <v>0</v>
          </cell>
          <cell r="B10429">
            <v>0</v>
          </cell>
        </row>
        <row r="10430">
          <cell r="A10430">
            <v>0</v>
          </cell>
          <cell r="B10430">
            <v>0</v>
          </cell>
        </row>
        <row r="10431">
          <cell r="A10431">
            <v>0</v>
          </cell>
          <cell r="B10431">
            <v>0</v>
          </cell>
        </row>
        <row r="10432">
          <cell r="A10432">
            <v>0</v>
          </cell>
          <cell r="B10432">
            <v>0</v>
          </cell>
        </row>
        <row r="10433">
          <cell r="A10433">
            <v>0</v>
          </cell>
          <cell r="B10433">
            <v>0</v>
          </cell>
        </row>
        <row r="10434">
          <cell r="A10434">
            <v>0</v>
          </cell>
          <cell r="B10434">
            <v>0</v>
          </cell>
        </row>
        <row r="10435">
          <cell r="A10435">
            <v>0</v>
          </cell>
          <cell r="B10435">
            <v>0</v>
          </cell>
        </row>
        <row r="10436">
          <cell r="A10436">
            <v>0</v>
          </cell>
          <cell r="B10436">
            <v>0</v>
          </cell>
        </row>
        <row r="10437">
          <cell r="A10437">
            <v>0</v>
          </cell>
          <cell r="B10437">
            <v>0</v>
          </cell>
        </row>
        <row r="10438">
          <cell r="A10438">
            <v>0</v>
          </cell>
          <cell r="B10438">
            <v>0</v>
          </cell>
        </row>
        <row r="10439">
          <cell r="A10439">
            <v>0</v>
          </cell>
          <cell r="B10439">
            <v>0</v>
          </cell>
        </row>
        <row r="10440">
          <cell r="A10440">
            <v>0</v>
          </cell>
          <cell r="B10440">
            <v>0</v>
          </cell>
        </row>
        <row r="10441">
          <cell r="A10441">
            <v>0</v>
          </cell>
          <cell r="B10441">
            <v>0</v>
          </cell>
        </row>
        <row r="10442">
          <cell r="A10442">
            <v>0</v>
          </cell>
          <cell r="B10442">
            <v>0</v>
          </cell>
        </row>
        <row r="10443">
          <cell r="A10443">
            <v>0</v>
          </cell>
          <cell r="B10443">
            <v>0</v>
          </cell>
        </row>
        <row r="10444">
          <cell r="A10444">
            <v>0</v>
          </cell>
          <cell r="B10444">
            <v>0</v>
          </cell>
        </row>
        <row r="10445">
          <cell r="A10445">
            <v>0</v>
          </cell>
          <cell r="B10445">
            <v>0</v>
          </cell>
        </row>
        <row r="10446">
          <cell r="A10446">
            <v>0</v>
          </cell>
          <cell r="B10446">
            <v>0</v>
          </cell>
        </row>
        <row r="10447">
          <cell r="A10447">
            <v>0</v>
          </cell>
          <cell r="B10447">
            <v>0</v>
          </cell>
        </row>
        <row r="10448">
          <cell r="A10448">
            <v>0</v>
          </cell>
          <cell r="B10448">
            <v>0</v>
          </cell>
        </row>
        <row r="10449">
          <cell r="A10449">
            <v>0</v>
          </cell>
          <cell r="B10449">
            <v>0</v>
          </cell>
        </row>
        <row r="10450">
          <cell r="A10450">
            <v>0</v>
          </cell>
          <cell r="B10450">
            <v>0</v>
          </cell>
        </row>
        <row r="10451">
          <cell r="A10451">
            <v>0</v>
          </cell>
          <cell r="B10451">
            <v>0</v>
          </cell>
        </row>
        <row r="10452">
          <cell r="A10452">
            <v>0</v>
          </cell>
          <cell r="B10452">
            <v>0</v>
          </cell>
        </row>
        <row r="10453">
          <cell r="A10453">
            <v>0</v>
          </cell>
          <cell r="B10453">
            <v>0</v>
          </cell>
        </row>
        <row r="10454">
          <cell r="A10454">
            <v>0</v>
          </cell>
          <cell r="B10454">
            <v>0</v>
          </cell>
        </row>
        <row r="10455">
          <cell r="A10455">
            <v>0</v>
          </cell>
          <cell r="B10455">
            <v>0</v>
          </cell>
        </row>
        <row r="10456">
          <cell r="A10456">
            <v>0</v>
          </cell>
          <cell r="B10456">
            <v>0</v>
          </cell>
        </row>
        <row r="10457">
          <cell r="A10457">
            <v>0</v>
          </cell>
          <cell r="B10457">
            <v>0</v>
          </cell>
        </row>
        <row r="10458">
          <cell r="A10458">
            <v>0</v>
          </cell>
          <cell r="B10458">
            <v>0</v>
          </cell>
        </row>
        <row r="10459">
          <cell r="A10459">
            <v>0</v>
          </cell>
          <cell r="B10459">
            <v>0</v>
          </cell>
        </row>
        <row r="10460">
          <cell r="A10460">
            <v>0</v>
          </cell>
          <cell r="B10460">
            <v>0</v>
          </cell>
        </row>
        <row r="10461">
          <cell r="A10461">
            <v>0</v>
          </cell>
          <cell r="B10461">
            <v>0</v>
          </cell>
        </row>
        <row r="10462">
          <cell r="A10462">
            <v>0</v>
          </cell>
          <cell r="B10462">
            <v>0</v>
          </cell>
        </row>
        <row r="10463">
          <cell r="A10463">
            <v>0</v>
          </cell>
          <cell r="B10463">
            <v>0</v>
          </cell>
        </row>
        <row r="10464">
          <cell r="A10464">
            <v>0</v>
          </cell>
          <cell r="B10464">
            <v>0</v>
          </cell>
        </row>
        <row r="10465">
          <cell r="A10465">
            <v>0</v>
          </cell>
          <cell r="B10465">
            <v>0</v>
          </cell>
        </row>
        <row r="10466">
          <cell r="A10466">
            <v>0</v>
          </cell>
          <cell r="B10466">
            <v>0</v>
          </cell>
        </row>
        <row r="10467">
          <cell r="A10467">
            <v>0</v>
          </cell>
          <cell r="B10467">
            <v>0</v>
          </cell>
        </row>
        <row r="10468">
          <cell r="A10468">
            <v>0</v>
          </cell>
          <cell r="B10468">
            <v>0</v>
          </cell>
        </row>
        <row r="10469">
          <cell r="A10469">
            <v>0</v>
          </cell>
          <cell r="B10469">
            <v>0</v>
          </cell>
        </row>
        <row r="10470">
          <cell r="A10470">
            <v>0</v>
          </cell>
          <cell r="B10470">
            <v>0</v>
          </cell>
        </row>
        <row r="10471">
          <cell r="A10471">
            <v>0</v>
          </cell>
          <cell r="B10471">
            <v>0</v>
          </cell>
        </row>
        <row r="10472">
          <cell r="A10472">
            <v>0</v>
          </cell>
          <cell r="B10472">
            <v>0</v>
          </cell>
        </row>
        <row r="10473">
          <cell r="A10473">
            <v>0</v>
          </cell>
          <cell r="B10473">
            <v>0</v>
          </cell>
        </row>
        <row r="10474">
          <cell r="A10474">
            <v>0</v>
          </cell>
          <cell r="B10474">
            <v>0</v>
          </cell>
        </row>
        <row r="10475">
          <cell r="A10475">
            <v>0</v>
          </cell>
          <cell r="B10475">
            <v>0</v>
          </cell>
        </row>
        <row r="10476">
          <cell r="A10476">
            <v>0</v>
          </cell>
          <cell r="B10476">
            <v>0</v>
          </cell>
        </row>
        <row r="10477">
          <cell r="A10477">
            <v>0</v>
          </cell>
          <cell r="B10477">
            <v>0</v>
          </cell>
        </row>
        <row r="10478">
          <cell r="A10478">
            <v>0</v>
          </cell>
          <cell r="B10478">
            <v>0</v>
          </cell>
        </row>
        <row r="10479">
          <cell r="A10479">
            <v>0</v>
          </cell>
          <cell r="B10479">
            <v>0</v>
          </cell>
        </row>
        <row r="10480">
          <cell r="A10480">
            <v>0</v>
          </cell>
          <cell r="B10480">
            <v>0</v>
          </cell>
        </row>
        <row r="10481">
          <cell r="A10481">
            <v>0</v>
          </cell>
          <cell r="B10481">
            <v>0</v>
          </cell>
        </row>
        <row r="10482">
          <cell r="A10482">
            <v>0</v>
          </cell>
          <cell r="B10482">
            <v>0</v>
          </cell>
        </row>
        <row r="10483">
          <cell r="A10483">
            <v>0</v>
          </cell>
          <cell r="B10483">
            <v>0</v>
          </cell>
        </row>
        <row r="10484">
          <cell r="A10484">
            <v>0</v>
          </cell>
          <cell r="B10484">
            <v>0</v>
          </cell>
        </row>
        <row r="10485">
          <cell r="A10485">
            <v>0</v>
          </cell>
          <cell r="B10485">
            <v>0</v>
          </cell>
        </row>
        <row r="10486">
          <cell r="A10486">
            <v>0</v>
          </cell>
          <cell r="B10486">
            <v>0</v>
          </cell>
        </row>
        <row r="10487">
          <cell r="A10487">
            <v>0</v>
          </cell>
          <cell r="B10487">
            <v>0</v>
          </cell>
        </row>
        <row r="10488">
          <cell r="A10488">
            <v>0</v>
          </cell>
          <cell r="B10488">
            <v>0</v>
          </cell>
        </row>
        <row r="10489">
          <cell r="A10489">
            <v>0</v>
          </cell>
          <cell r="B10489">
            <v>0</v>
          </cell>
        </row>
        <row r="10490">
          <cell r="A10490">
            <v>0</v>
          </cell>
          <cell r="B10490">
            <v>0</v>
          </cell>
        </row>
        <row r="10491">
          <cell r="A10491">
            <v>0</v>
          </cell>
          <cell r="B10491">
            <v>0</v>
          </cell>
        </row>
        <row r="10492">
          <cell r="A10492">
            <v>0</v>
          </cell>
          <cell r="B10492">
            <v>0</v>
          </cell>
        </row>
        <row r="10493">
          <cell r="A10493">
            <v>0</v>
          </cell>
          <cell r="B10493">
            <v>0</v>
          </cell>
        </row>
        <row r="10494">
          <cell r="A10494">
            <v>0</v>
          </cell>
          <cell r="B10494">
            <v>0</v>
          </cell>
        </row>
        <row r="10495">
          <cell r="A10495">
            <v>0</v>
          </cell>
          <cell r="B10495">
            <v>0</v>
          </cell>
        </row>
        <row r="10496">
          <cell r="A10496">
            <v>0</v>
          </cell>
          <cell r="B10496">
            <v>0</v>
          </cell>
        </row>
        <row r="10497">
          <cell r="A10497">
            <v>0</v>
          </cell>
          <cell r="B10497">
            <v>0</v>
          </cell>
        </row>
        <row r="10498">
          <cell r="A10498">
            <v>0</v>
          </cell>
          <cell r="B10498">
            <v>0</v>
          </cell>
        </row>
        <row r="10499">
          <cell r="A10499">
            <v>0</v>
          </cell>
          <cell r="B10499">
            <v>0</v>
          </cell>
        </row>
        <row r="10500">
          <cell r="A10500">
            <v>0</v>
          </cell>
          <cell r="B10500">
            <v>0</v>
          </cell>
        </row>
        <row r="10501">
          <cell r="A10501">
            <v>0</v>
          </cell>
          <cell r="B10501">
            <v>0</v>
          </cell>
        </row>
        <row r="10502">
          <cell r="A10502">
            <v>0</v>
          </cell>
          <cell r="B10502">
            <v>0</v>
          </cell>
        </row>
        <row r="10503">
          <cell r="A10503">
            <v>0</v>
          </cell>
          <cell r="B10503">
            <v>0</v>
          </cell>
        </row>
        <row r="10504">
          <cell r="A10504">
            <v>0</v>
          </cell>
          <cell r="B10504">
            <v>0</v>
          </cell>
        </row>
        <row r="10505">
          <cell r="A10505">
            <v>0</v>
          </cell>
          <cell r="B10505">
            <v>0</v>
          </cell>
        </row>
        <row r="10506">
          <cell r="A10506">
            <v>0</v>
          </cell>
          <cell r="B10506">
            <v>0</v>
          </cell>
        </row>
        <row r="10507">
          <cell r="A10507">
            <v>0</v>
          </cell>
          <cell r="B10507">
            <v>0</v>
          </cell>
        </row>
        <row r="10508">
          <cell r="A10508">
            <v>0</v>
          </cell>
          <cell r="B10508">
            <v>0</v>
          </cell>
        </row>
        <row r="10509">
          <cell r="A10509">
            <v>0</v>
          </cell>
          <cell r="B10509">
            <v>0</v>
          </cell>
        </row>
        <row r="10510">
          <cell r="A10510">
            <v>0</v>
          </cell>
          <cell r="B10510">
            <v>0</v>
          </cell>
        </row>
        <row r="10511">
          <cell r="A10511">
            <v>0</v>
          </cell>
          <cell r="B10511">
            <v>0</v>
          </cell>
        </row>
        <row r="10512">
          <cell r="A10512">
            <v>0</v>
          </cell>
          <cell r="B10512">
            <v>0</v>
          </cell>
        </row>
        <row r="10513">
          <cell r="A10513">
            <v>0</v>
          </cell>
          <cell r="B10513">
            <v>0</v>
          </cell>
        </row>
        <row r="10514">
          <cell r="A10514">
            <v>0</v>
          </cell>
          <cell r="B10514">
            <v>0</v>
          </cell>
        </row>
        <row r="10515">
          <cell r="A10515">
            <v>0</v>
          </cell>
          <cell r="B10515">
            <v>0</v>
          </cell>
        </row>
        <row r="10516">
          <cell r="A10516">
            <v>0</v>
          </cell>
          <cell r="B10516">
            <v>0</v>
          </cell>
        </row>
        <row r="10517">
          <cell r="A10517">
            <v>0</v>
          </cell>
          <cell r="B10517">
            <v>0</v>
          </cell>
        </row>
        <row r="10518">
          <cell r="A10518">
            <v>0</v>
          </cell>
          <cell r="B10518">
            <v>0</v>
          </cell>
        </row>
        <row r="10519">
          <cell r="A10519">
            <v>0</v>
          </cell>
          <cell r="B10519">
            <v>0</v>
          </cell>
        </row>
        <row r="10520">
          <cell r="A10520">
            <v>0</v>
          </cell>
          <cell r="B10520">
            <v>0</v>
          </cell>
        </row>
        <row r="10521">
          <cell r="A10521">
            <v>0</v>
          </cell>
          <cell r="B10521">
            <v>0</v>
          </cell>
        </row>
        <row r="10522">
          <cell r="A10522">
            <v>0</v>
          </cell>
          <cell r="B10522">
            <v>0</v>
          </cell>
        </row>
        <row r="10523">
          <cell r="A10523">
            <v>0</v>
          </cell>
          <cell r="B10523">
            <v>0</v>
          </cell>
        </row>
        <row r="10524">
          <cell r="A10524">
            <v>0</v>
          </cell>
          <cell r="B10524">
            <v>0</v>
          </cell>
        </row>
        <row r="10525">
          <cell r="A10525">
            <v>0</v>
          </cell>
          <cell r="B10525">
            <v>0</v>
          </cell>
        </row>
        <row r="10526">
          <cell r="A10526">
            <v>0</v>
          </cell>
          <cell r="B10526">
            <v>0</v>
          </cell>
        </row>
        <row r="10527">
          <cell r="A10527">
            <v>0</v>
          </cell>
          <cell r="B10527">
            <v>0</v>
          </cell>
        </row>
        <row r="10528">
          <cell r="A10528">
            <v>0</v>
          </cell>
          <cell r="B10528">
            <v>0</v>
          </cell>
        </row>
        <row r="10529">
          <cell r="A10529">
            <v>0</v>
          </cell>
          <cell r="B10529">
            <v>0</v>
          </cell>
        </row>
        <row r="10530">
          <cell r="A10530">
            <v>0</v>
          </cell>
          <cell r="B10530">
            <v>0</v>
          </cell>
        </row>
        <row r="10531">
          <cell r="A10531">
            <v>0</v>
          </cell>
          <cell r="B10531">
            <v>0</v>
          </cell>
        </row>
        <row r="10532">
          <cell r="A10532">
            <v>0</v>
          </cell>
          <cell r="B10532">
            <v>0</v>
          </cell>
        </row>
        <row r="10533">
          <cell r="A10533">
            <v>0</v>
          </cell>
          <cell r="B10533">
            <v>0</v>
          </cell>
        </row>
        <row r="10534">
          <cell r="A10534">
            <v>0</v>
          </cell>
          <cell r="B10534">
            <v>0</v>
          </cell>
        </row>
        <row r="10535">
          <cell r="A10535">
            <v>0</v>
          </cell>
          <cell r="B10535">
            <v>0</v>
          </cell>
        </row>
        <row r="10536">
          <cell r="A10536">
            <v>0</v>
          </cell>
          <cell r="B10536">
            <v>0</v>
          </cell>
        </row>
        <row r="10537">
          <cell r="A10537">
            <v>0</v>
          </cell>
          <cell r="B10537">
            <v>0</v>
          </cell>
        </row>
        <row r="10538">
          <cell r="A10538">
            <v>0</v>
          </cell>
          <cell r="B10538">
            <v>0</v>
          </cell>
        </row>
        <row r="10539">
          <cell r="A10539">
            <v>0</v>
          </cell>
          <cell r="B10539">
            <v>0</v>
          </cell>
        </row>
        <row r="10540">
          <cell r="A10540">
            <v>0</v>
          </cell>
          <cell r="B10540">
            <v>0</v>
          </cell>
        </row>
        <row r="10541">
          <cell r="A10541">
            <v>0</v>
          </cell>
          <cell r="B10541">
            <v>0</v>
          </cell>
        </row>
        <row r="10542">
          <cell r="A10542">
            <v>0</v>
          </cell>
          <cell r="B10542">
            <v>0</v>
          </cell>
        </row>
        <row r="10543">
          <cell r="A10543">
            <v>0</v>
          </cell>
          <cell r="B10543">
            <v>0</v>
          </cell>
        </row>
        <row r="10544">
          <cell r="A10544">
            <v>0</v>
          </cell>
          <cell r="B10544">
            <v>0</v>
          </cell>
        </row>
        <row r="10545">
          <cell r="A10545">
            <v>0</v>
          </cell>
          <cell r="B10545">
            <v>0</v>
          </cell>
        </row>
        <row r="10546">
          <cell r="A10546">
            <v>0</v>
          </cell>
          <cell r="B10546">
            <v>0</v>
          </cell>
        </row>
        <row r="10547">
          <cell r="A10547">
            <v>0</v>
          </cell>
          <cell r="B10547">
            <v>0</v>
          </cell>
        </row>
        <row r="10548">
          <cell r="A10548">
            <v>0</v>
          </cell>
          <cell r="B10548">
            <v>0</v>
          </cell>
        </row>
        <row r="10549">
          <cell r="A10549">
            <v>0</v>
          </cell>
          <cell r="B10549">
            <v>0</v>
          </cell>
        </row>
        <row r="10550">
          <cell r="A10550">
            <v>0</v>
          </cell>
          <cell r="B10550">
            <v>0</v>
          </cell>
        </row>
        <row r="10551">
          <cell r="A10551">
            <v>0</v>
          </cell>
          <cell r="B10551">
            <v>0</v>
          </cell>
        </row>
        <row r="10552">
          <cell r="A10552">
            <v>0</v>
          </cell>
          <cell r="B10552">
            <v>0</v>
          </cell>
        </row>
        <row r="10553">
          <cell r="A10553">
            <v>0</v>
          </cell>
          <cell r="B10553">
            <v>0</v>
          </cell>
        </row>
        <row r="10554">
          <cell r="A10554">
            <v>0</v>
          </cell>
          <cell r="B10554">
            <v>0</v>
          </cell>
        </row>
        <row r="10555">
          <cell r="A10555">
            <v>0</v>
          </cell>
          <cell r="B10555">
            <v>0</v>
          </cell>
        </row>
        <row r="10556">
          <cell r="A10556">
            <v>0</v>
          </cell>
          <cell r="B10556">
            <v>0</v>
          </cell>
        </row>
        <row r="10557">
          <cell r="A10557">
            <v>0</v>
          </cell>
          <cell r="B10557">
            <v>0</v>
          </cell>
        </row>
        <row r="10558">
          <cell r="A10558">
            <v>0</v>
          </cell>
          <cell r="B10558">
            <v>0</v>
          </cell>
        </row>
        <row r="10559">
          <cell r="A10559">
            <v>0</v>
          </cell>
          <cell r="B10559">
            <v>0</v>
          </cell>
        </row>
        <row r="10560">
          <cell r="A10560">
            <v>0</v>
          </cell>
          <cell r="B10560">
            <v>0</v>
          </cell>
        </row>
        <row r="10561">
          <cell r="A10561">
            <v>0</v>
          </cell>
          <cell r="B10561">
            <v>0</v>
          </cell>
        </row>
        <row r="10562">
          <cell r="A10562">
            <v>0</v>
          </cell>
          <cell r="B10562">
            <v>0</v>
          </cell>
        </row>
        <row r="10563">
          <cell r="A10563">
            <v>0</v>
          </cell>
          <cell r="B10563">
            <v>0</v>
          </cell>
        </row>
        <row r="10564">
          <cell r="A10564">
            <v>0</v>
          </cell>
          <cell r="B10564">
            <v>0</v>
          </cell>
        </row>
        <row r="10565">
          <cell r="A10565">
            <v>0</v>
          </cell>
          <cell r="B10565">
            <v>0</v>
          </cell>
        </row>
        <row r="10566">
          <cell r="A10566">
            <v>0</v>
          </cell>
          <cell r="B10566">
            <v>0</v>
          </cell>
        </row>
        <row r="10567">
          <cell r="A10567">
            <v>0</v>
          </cell>
          <cell r="B10567">
            <v>0</v>
          </cell>
        </row>
        <row r="10568">
          <cell r="A10568">
            <v>0</v>
          </cell>
          <cell r="B10568">
            <v>0</v>
          </cell>
        </row>
        <row r="10569">
          <cell r="A10569">
            <v>0</v>
          </cell>
          <cell r="B10569">
            <v>0</v>
          </cell>
        </row>
        <row r="10570">
          <cell r="A10570">
            <v>0</v>
          </cell>
          <cell r="B10570">
            <v>0</v>
          </cell>
        </row>
        <row r="10571">
          <cell r="A10571">
            <v>0</v>
          </cell>
          <cell r="B10571">
            <v>0</v>
          </cell>
        </row>
        <row r="10572">
          <cell r="A10572">
            <v>0</v>
          </cell>
          <cell r="B10572">
            <v>0</v>
          </cell>
        </row>
        <row r="10573">
          <cell r="A10573">
            <v>0</v>
          </cell>
          <cell r="B10573">
            <v>0</v>
          </cell>
        </row>
        <row r="10574">
          <cell r="A10574">
            <v>0</v>
          </cell>
          <cell r="B10574">
            <v>0</v>
          </cell>
        </row>
        <row r="10575">
          <cell r="A10575">
            <v>0</v>
          </cell>
          <cell r="B10575">
            <v>0</v>
          </cell>
        </row>
        <row r="10576">
          <cell r="A10576">
            <v>0</v>
          </cell>
          <cell r="B10576">
            <v>0</v>
          </cell>
        </row>
        <row r="10577">
          <cell r="A10577">
            <v>0</v>
          </cell>
          <cell r="B10577">
            <v>0</v>
          </cell>
        </row>
        <row r="10578">
          <cell r="A10578">
            <v>0</v>
          </cell>
          <cell r="B10578">
            <v>0</v>
          </cell>
        </row>
        <row r="10579">
          <cell r="A10579">
            <v>0</v>
          </cell>
          <cell r="B10579">
            <v>0</v>
          </cell>
        </row>
        <row r="10580">
          <cell r="A10580">
            <v>0</v>
          </cell>
          <cell r="B10580">
            <v>0</v>
          </cell>
        </row>
        <row r="10581">
          <cell r="A10581">
            <v>0</v>
          </cell>
          <cell r="B10581">
            <v>0</v>
          </cell>
        </row>
        <row r="10582">
          <cell r="A10582">
            <v>0</v>
          </cell>
          <cell r="B10582">
            <v>0</v>
          </cell>
        </row>
        <row r="10583">
          <cell r="A10583">
            <v>0</v>
          </cell>
          <cell r="B10583">
            <v>0</v>
          </cell>
        </row>
        <row r="10584">
          <cell r="A10584">
            <v>0</v>
          </cell>
          <cell r="B10584">
            <v>0</v>
          </cell>
        </row>
        <row r="10585">
          <cell r="A10585">
            <v>0</v>
          </cell>
          <cell r="B10585">
            <v>0</v>
          </cell>
        </row>
        <row r="10586">
          <cell r="A10586">
            <v>0</v>
          </cell>
          <cell r="B10586">
            <v>0</v>
          </cell>
        </row>
        <row r="10587">
          <cell r="A10587">
            <v>0</v>
          </cell>
          <cell r="B10587">
            <v>0</v>
          </cell>
        </row>
        <row r="10588">
          <cell r="A10588">
            <v>0</v>
          </cell>
          <cell r="B10588">
            <v>0</v>
          </cell>
        </row>
        <row r="10589">
          <cell r="A10589">
            <v>0</v>
          </cell>
          <cell r="B10589">
            <v>0</v>
          </cell>
        </row>
        <row r="10590">
          <cell r="A10590">
            <v>0</v>
          </cell>
          <cell r="B10590">
            <v>0</v>
          </cell>
        </row>
        <row r="10591">
          <cell r="A10591">
            <v>0</v>
          </cell>
          <cell r="B10591">
            <v>0</v>
          </cell>
        </row>
        <row r="10592">
          <cell r="A10592">
            <v>0</v>
          </cell>
          <cell r="B10592">
            <v>0</v>
          </cell>
        </row>
        <row r="10593">
          <cell r="A10593">
            <v>0</v>
          </cell>
          <cell r="B10593">
            <v>0</v>
          </cell>
        </row>
        <row r="10594">
          <cell r="A10594">
            <v>0</v>
          </cell>
          <cell r="B10594">
            <v>0</v>
          </cell>
        </row>
        <row r="10595">
          <cell r="A10595">
            <v>0</v>
          </cell>
          <cell r="B10595">
            <v>0</v>
          </cell>
        </row>
        <row r="10596">
          <cell r="A10596">
            <v>0</v>
          </cell>
          <cell r="B10596">
            <v>0</v>
          </cell>
        </row>
        <row r="10597">
          <cell r="A10597">
            <v>0</v>
          </cell>
          <cell r="B10597">
            <v>0</v>
          </cell>
        </row>
        <row r="10598">
          <cell r="A10598">
            <v>0</v>
          </cell>
          <cell r="B10598">
            <v>0</v>
          </cell>
        </row>
        <row r="10599">
          <cell r="A10599">
            <v>0</v>
          </cell>
          <cell r="B10599">
            <v>0</v>
          </cell>
        </row>
        <row r="10600">
          <cell r="A10600">
            <v>0</v>
          </cell>
          <cell r="B10600">
            <v>0</v>
          </cell>
        </row>
        <row r="10601">
          <cell r="A10601">
            <v>0</v>
          </cell>
          <cell r="B10601">
            <v>0</v>
          </cell>
        </row>
        <row r="10602">
          <cell r="A10602">
            <v>0</v>
          </cell>
          <cell r="B10602">
            <v>0</v>
          </cell>
        </row>
        <row r="10603">
          <cell r="A10603">
            <v>0</v>
          </cell>
          <cell r="B10603">
            <v>0</v>
          </cell>
        </row>
        <row r="10604">
          <cell r="A10604">
            <v>0</v>
          </cell>
          <cell r="B10604">
            <v>0</v>
          </cell>
        </row>
        <row r="10605">
          <cell r="A10605">
            <v>0</v>
          </cell>
          <cell r="B10605">
            <v>0</v>
          </cell>
        </row>
        <row r="10606">
          <cell r="A10606">
            <v>0</v>
          </cell>
          <cell r="B10606">
            <v>0</v>
          </cell>
        </row>
        <row r="10607">
          <cell r="A10607">
            <v>0</v>
          </cell>
          <cell r="B10607">
            <v>0</v>
          </cell>
        </row>
        <row r="10608">
          <cell r="A10608">
            <v>0</v>
          </cell>
          <cell r="B10608">
            <v>0</v>
          </cell>
        </row>
        <row r="10609">
          <cell r="A10609">
            <v>0</v>
          </cell>
          <cell r="B10609">
            <v>0</v>
          </cell>
        </row>
        <row r="10610">
          <cell r="A10610">
            <v>0</v>
          </cell>
          <cell r="B10610">
            <v>0</v>
          </cell>
        </row>
        <row r="10611">
          <cell r="A10611">
            <v>0</v>
          </cell>
          <cell r="B10611">
            <v>0</v>
          </cell>
        </row>
        <row r="10612">
          <cell r="A10612">
            <v>0</v>
          </cell>
          <cell r="B10612">
            <v>0</v>
          </cell>
        </row>
        <row r="10613">
          <cell r="A10613">
            <v>0</v>
          </cell>
          <cell r="B10613">
            <v>0</v>
          </cell>
        </row>
        <row r="10614">
          <cell r="A10614">
            <v>0</v>
          </cell>
          <cell r="B10614">
            <v>0</v>
          </cell>
        </row>
        <row r="10615">
          <cell r="A10615">
            <v>0</v>
          </cell>
          <cell r="B10615">
            <v>0</v>
          </cell>
        </row>
        <row r="10616">
          <cell r="A10616">
            <v>0</v>
          </cell>
          <cell r="B10616">
            <v>0</v>
          </cell>
        </row>
        <row r="10617">
          <cell r="A10617">
            <v>0</v>
          </cell>
          <cell r="B10617">
            <v>0</v>
          </cell>
        </row>
        <row r="10618">
          <cell r="A10618">
            <v>0</v>
          </cell>
          <cell r="B10618">
            <v>0</v>
          </cell>
        </row>
        <row r="10619">
          <cell r="A10619">
            <v>0</v>
          </cell>
          <cell r="B10619">
            <v>0</v>
          </cell>
        </row>
        <row r="10620">
          <cell r="A10620">
            <v>0</v>
          </cell>
          <cell r="B10620">
            <v>0</v>
          </cell>
        </row>
        <row r="10621">
          <cell r="A10621">
            <v>0</v>
          </cell>
          <cell r="B10621">
            <v>0</v>
          </cell>
        </row>
        <row r="10622">
          <cell r="A10622">
            <v>0</v>
          </cell>
          <cell r="B10622">
            <v>0</v>
          </cell>
        </row>
        <row r="10623">
          <cell r="A10623">
            <v>0</v>
          </cell>
          <cell r="B10623">
            <v>0</v>
          </cell>
        </row>
        <row r="10624">
          <cell r="A10624">
            <v>0</v>
          </cell>
          <cell r="B10624">
            <v>0</v>
          </cell>
        </row>
        <row r="10625">
          <cell r="A10625">
            <v>0</v>
          </cell>
          <cell r="B10625">
            <v>0</v>
          </cell>
        </row>
        <row r="10626">
          <cell r="A10626">
            <v>0</v>
          </cell>
          <cell r="B10626">
            <v>0</v>
          </cell>
        </row>
        <row r="10627">
          <cell r="A10627">
            <v>0</v>
          </cell>
          <cell r="B10627">
            <v>0</v>
          </cell>
        </row>
        <row r="10628">
          <cell r="A10628">
            <v>0</v>
          </cell>
          <cell r="B10628">
            <v>0</v>
          </cell>
        </row>
        <row r="10629">
          <cell r="A10629">
            <v>0</v>
          </cell>
          <cell r="B10629">
            <v>0</v>
          </cell>
        </row>
        <row r="10630">
          <cell r="A10630">
            <v>0</v>
          </cell>
          <cell r="B10630">
            <v>0</v>
          </cell>
        </row>
        <row r="10631">
          <cell r="A10631">
            <v>0</v>
          </cell>
          <cell r="B10631">
            <v>0</v>
          </cell>
        </row>
        <row r="10632">
          <cell r="A10632">
            <v>0</v>
          </cell>
          <cell r="B10632">
            <v>0</v>
          </cell>
        </row>
        <row r="10633">
          <cell r="A10633">
            <v>0</v>
          </cell>
          <cell r="B10633">
            <v>0</v>
          </cell>
        </row>
        <row r="10634">
          <cell r="A10634">
            <v>0</v>
          </cell>
          <cell r="B10634">
            <v>0</v>
          </cell>
        </row>
        <row r="10635">
          <cell r="A10635">
            <v>0</v>
          </cell>
          <cell r="B10635">
            <v>0</v>
          </cell>
        </row>
        <row r="10636">
          <cell r="A10636">
            <v>0</v>
          </cell>
          <cell r="B10636">
            <v>0</v>
          </cell>
        </row>
        <row r="10637">
          <cell r="A10637">
            <v>0</v>
          </cell>
          <cell r="B10637">
            <v>0</v>
          </cell>
        </row>
        <row r="10638">
          <cell r="A10638">
            <v>0</v>
          </cell>
          <cell r="B10638">
            <v>0</v>
          </cell>
        </row>
        <row r="10639">
          <cell r="A10639">
            <v>0</v>
          </cell>
          <cell r="B10639">
            <v>0</v>
          </cell>
        </row>
        <row r="10640">
          <cell r="A10640">
            <v>0</v>
          </cell>
          <cell r="B10640">
            <v>0</v>
          </cell>
        </row>
        <row r="10641">
          <cell r="A10641">
            <v>0</v>
          </cell>
          <cell r="B10641">
            <v>0</v>
          </cell>
        </row>
        <row r="10642">
          <cell r="A10642">
            <v>0</v>
          </cell>
          <cell r="B10642">
            <v>0</v>
          </cell>
        </row>
        <row r="10643">
          <cell r="A10643">
            <v>0</v>
          </cell>
          <cell r="B10643">
            <v>0</v>
          </cell>
        </row>
        <row r="10644">
          <cell r="A10644">
            <v>0</v>
          </cell>
          <cell r="B10644">
            <v>0</v>
          </cell>
        </row>
        <row r="10645">
          <cell r="A10645">
            <v>0</v>
          </cell>
          <cell r="B10645">
            <v>0</v>
          </cell>
        </row>
        <row r="10646">
          <cell r="A10646">
            <v>0</v>
          </cell>
          <cell r="B10646">
            <v>0</v>
          </cell>
        </row>
        <row r="10647">
          <cell r="A10647">
            <v>0</v>
          </cell>
          <cell r="B10647">
            <v>0</v>
          </cell>
        </row>
        <row r="10648">
          <cell r="A10648">
            <v>0</v>
          </cell>
          <cell r="B10648">
            <v>0</v>
          </cell>
        </row>
        <row r="10649">
          <cell r="A10649">
            <v>0</v>
          </cell>
          <cell r="B10649">
            <v>0</v>
          </cell>
        </row>
        <row r="10650">
          <cell r="A10650">
            <v>0</v>
          </cell>
          <cell r="B10650">
            <v>0</v>
          </cell>
        </row>
        <row r="10651">
          <cell r="A10651">
            <v>0</v>
          </cell>
          <cell r="B10651">
            <v>0</v>
          </cell>
        </row>
        <row r="10652">
          <cell r="A10652">
            <v>0</v>
          </cell>
          <cell r="B10652">
            <v>0</v>
          </cell>
        </row>
        <row r="10653">
          <cell r="A10653">
            <v>0</v>
          </cell>
          <cell r="B10653">
            <v>0</v>
          </cell>
        </row>
        <row r="10654">
          <cell r="A10654">
            <v>0</v>
          </cell>
          <cell r="B10654">
            <v>0</v>
          </cell>
        </row>
        <row r="10655">
          <cell r="A10655">
            <v>0</v>
          </cell>
          <cell r="B10655">
            <v>0</v>
          </cell>
        </row>
        <row r="10656">
          <cell r="A10656">
            <v>0</v>
          </cell>
          <cell r="B10656">
            <v>0</v>
          </cell>
        </row>
        <row r="10657">
          <cell r="A10657">
            <v>0</v>
          </cell>
          <cell r="B10657">
            <v>0</v>
          </cell>
        </row>
        <row r="10658">
          <cell r="A10658">
            <v>0</v>
          </cell>
          <cell r="B10658">
            <v>0</v>
          </cell>
        </row>
        <row r="10659">
          <cell r="A10659">
            <v>0</v>
          </cell>
          <cell r="B10659">
            <v>0</v>
          </cell>
        </row>
        <row r="10660">
          <cell r="A10660">
            <v>0</v>
          </cell>
          <cell r="B10660">
            <v>0</v>
          </cell>
        </row>
        <row r="10661">
          <cell r="A10661">
            <v>0</v>
          </cell>
          <cell r="B10661">
            <v>0</v>
          </cell>
        </row>
        <row r="10662">
          <cell r="A10662">
            <v>0</v>
          </cell>
          <cell r="B10662">
            <v>0</v>
          </cell>
        </row>
        <row r="10663">
          <cell r="A10663">
            <v>0</v>
          </cell>
          <cell r="B10663">
            <v>0</v>
          </cell>
        </row>
        <row r="10664">
          <cell r="A10664">
            <v>0</v>
          </cell>
          <cell r="B10664">
            <v>0</v>
          </cell>
        </row>
        <row r="10665">
          <cell r="A10665">
            <v>0</v>
          </cell>
          <cell r="B10665">
            <v>0</v>
          </cell>
        </row>
        <row r="10666">
          <cell r="A10666">
            <v>0</v>
          </cell>
          <cell r="B10666">
            <v>0</v>
          </cell>
        </row>
        <row r="10667">
          <cell r="A10667">
            <v>0</v>
          </cell>
          <cell r="B10667">
            <v>0</v>
          </cell>
        </row>
        <row r="10668">
          <cell r="A10668">
            <v>0</v>
          </cell>
          <cell r="B10668">
            <v>0</v>
          </cell>
        </row>
        <row r="10669">
          <cell r="A10669">
            <v>0</v>
          </cell>
          <cell r="B10669">
            <v>0</v>
          </cell>
        </row>
        <row r="10670">
          <cell r="A10670">
            <v>0</v>
          </cell>
          <cell r="B10670">
            <v>0</v>
          </cell>
        </row>
        <row r="10671">
          <cell r="A10671">
            <v>0</v>
          </cell>
          <cell r="B10671">
            <v>0</v>
          </cell>
        </row>
        <row r="10672">
          <cell r="A10672">
            <v>0</v>
          </cell>
          <cell r="B10672">
            <v>0</v>
          </cell>
        </row>
        <row r="10673">
          <cell r="A10673">
            <v>0</v>
          </cell>
          <cell r="B10673">
            <v>0</v>
          </cell>
        </row>
        <row r="10674">
          <cell r="A10674">
            <v>0</v>
          </cell>
          <cell r="B10674">
            <v>0</v>
          </cell>
        </row>
        <row r="10675">
          <cell r="A10675">
            <v>0</v>
          </cell>
          <cell r="B10675">
            <v>0</v>
          </cell>
        </row>
        <row r="10676">
          <cell r="A10676">
            <v>0</v>
          </cell>
          <cell r="B10676">
            <v>0</v>
          </cell>
        </row>
        <row r="10677">
          <cell r="A10677">
            <v>0</v>
          </cell>
          <cell r="B10677">
            <v>0</v>
          </cell>
        </row>
        <row r="10678">
          <cell r="A10678">
            <v>0</v>
          </cell>
          <cell r="B10678">
            <v>0</v>
          </cell>
        </row>
        <row r="10679">
          <cell r="A10679">
            <v>0</v>
          </cell>
          <cell r="B10679">
            <v>0</v>
          </cell>
        </row>
        <row r="10680">
          <cell r="A10680">
            <v>0</v>
          </cell>
          <cell r="B10680">
            <v>0</v>
          </cell>
        </row>
        <row r="10681">
          <cell r="A10681">
            <v>0</v>
          </cell>
          <cell r="B10681">
            <v>0</v>
          </cell>
        </row>
        <row r="10682">
          <cell r="A10682">
            <v>0</v>
          </cell>
          <cell r="B10682">
            <v>0</v>
          </cell>
        </row>
        <row r="10683">
          <cell r="A10683">
            <v>0</v>
          </cell>
          <cell r="B10683">
            <v>0</v>
          </cell>
        </row>
        <row r="10684">
          <cell r="A10684">
            <v>0</v>
          </cell>
          <cell r="B10684">
            <v>0</v>
          </cell>
        </row>
        <row r="10685">
          <cell r="A10685">
            <v>0</v>
          </cell>
          <cell r="B10685">
            <v>0</v>
          </cell>
        </row>
        <row r="10686">
          <cell r="A10686">
            <v>0</v>
          </cell>
          <cell r="B10686">
            <v>0</v>
          </cell>
        </row>
        <row r="10687">
          <cell r="A10687">
            <v>0</v>
          </cell>
          <cell r="B10687">
            <v>0</v>
          </cell>
        </row>
        <row r="10688">
          <cell r="A10688">
            <v>0</v>
          </cell>
          <cell r="B10688">
            <v>0</v>
          </cell>
        </row>
        <row r="10689">
          <cell r="A10689">
            <v>0</v>
          </cell>
          <cell r="B10689">
            <v>0</v>
          </cell>
        </row>
        <row r="10690">
          <cell r="A10690">
            <v>0</v>
          </cell>
          <cell r="B10690">
            <v>0</v>
          </cell>
        </row>
        <row r="10691">
          <cell r="A10691">
            <v>0</v>
          </cell>
          <cell r="B10691">
            <v>0</v>
          </cell>
        </row>
        <row r="10692">
          <cell r="A10692">
            <v>0</v>
          </cell>
          <cell r="B10692">
            <v>0</v>
          </cell>
        </row>
        <row r="10693">
          <cell r="A10693">
            <v>0</v>
          </cell>
          <cell r="B10693">
            <v>0</v>
          </cell>
        </row>
        <row r="10694">
          <cell r="A10694">
            <v>0</v>
          </cell>
          <cell r="B10694">
            <v>0</v>
          </cell>
        </row>
        <row r="10695">
          <cell r="A10695">
            <v>0</v>
          </cell>
          <cell r="B10695">
            <v>0</v>
          </cell>
        </row>
        <row r="10696">
          <cell r="A10696">
            <v>0</v>
          </cell>
          <cell r="B10696">
            <v>0</v>
          </cell>
        </row>
        <row r="10697">
          <cell r="A10697">
            <v>0</v>
          </cell>
          <cell r="B10697">
            <v>0</v>
          </cell>
        </row>
        <row r="10698">
          <cell r="A10698">
            <v>0</v>
          </cell>
          <cell r="B10698">
            <v>0</v>
          </cell>
        </row>
        <row r="10699">
          <cell r="A10699">
            <v>0</v>
          </cell>
          <cell r="B10699">
            <v>0</v>
          </cell>
        </row>
        <row r="10700">
          <cell r="A10700">
            <v>0</v>
          </cell>
          <cell r="B10700">
            <v>0</v>
          </cell>
        </row>
        <row r="10701">
          <cell r="A10701">
            <v>0</v>
          </cell>
          <cell r="B10701">
            <v>0</v>
          </cell>
        </row>
        <row r="10702">
          <cell r="A10702">
            <v>0</v>
          </cell>
          <cell r="B10702">
            <v>0</v>
          </cell>
        </row>
        <row r="10703">
          <cell r="A10703">
            <v>0</v>
          </cell>
          <cell r="B10703">
            <v>0</v>
          </cell>
        </row>
        <row r="10704">
          <cell r="A10704">
            <v>0</v>
          </cell>
          <cell r="B10704">
            <v>0</v>
          </cell>
        </row>
        <row r="10705">
          <cell r="A10705">
            <v>0</v>
          </cell>
          <cell r="B10705">
            <v>0</v>
          </cell>
        </row>
        <row r="10706">
          <cell r="A10706">
            <v>0</v>
          </cell>
          <cell r="B10706">
            <v>0</v>
          </cell>
        </row>
        <row r="10707">
          <cell r="A10707">
            <v>0</v>
          </cell>
          <cell r="B10707">
            <v>0</v>
          </cell>
        </row>
        <row r="10708">
          <cell r="A10708">
            <v>0</v>
          </cell>
          <cell r="B10708">
            <v>0</v>
          </cell>
        </row>
        <row r="10709">
          <cell r="A10709">
            <v>0</v>
          </cell>
          <cell r="B10709">
            <v>0</v>
          </cell>
        </row>
        <row r="10710">
          <cell r="A10710">
            <v>0</v>
          </cell>
          <cell r="B10710">
            <v>0</v>
          </cell>
        </row>
        <row r="10711">
          <cell r="A10711">
            <v>0</v>
          </cell>
          <cell r="B10711">
            <v>0</v>
          </cell>
        </row>
        <row r="10712">
          <cell r="A10712">
            <v>0</v>
          </cell>
          <cell r="B10712">
            <v>0</v>
          </cell>
        </row>
        <row r="10713">
          <cell r="A10713">
            <v>0</v>
          </cell>
          <cell r="B10713">
            <v>0</v>
          </cell>
        </row>
        <row r="10714">
          <cell r="A10714">
            <v>0</v>
          </cell>
          <cell r="B10714">
            <v>0</v>
          </cell>
        </row>
        <row r="10715">
          <cell r="A10715">
            <v>0</v>
          </cell>
          <cell r="B10715">
            <v>0</v>
          </cell>
        </row>
        <row r="10716">
          <cell r="A10716">
            <v>0</v>
          </cell>
          <cell r="B10716">
            <v>0</v>
          </cell>
        </row>
        <row r="10717">
          <cell r="A10717">
            <v>0</v>
          </cell>
          <cell r="B10717">
            <v>0</v>
          </cell>
        </row>
        <row r="10718">
          <cell r="A10718">
            <v>0</v>
          </cell>
          <cell r="B10718">
            <v>0</v>
          </cell>
        </row>
        <row r="10719">
          <cell r="A10719">
            <v>0</v>
          </cell>
          <cell r="B10719">
            <v>0</v>
          </cell>
        </row>
        <row r="10720">
          <cell r="A10720">
            <v>0</v>
          </cell>
          <cell r="B10720">
            <v>0</v>
          </cell>
        </row>
        <row r="10721">
          <cell r="A10721">
            <v>0</v>
          </cell>
          <cell r="B10721">
            <v>0</v>
          </cell>
        </row>
        <row r="10722">
          <cell r="A10722">
            <v>0</v>
          </cell>
          <cell r="B10722">
            <v>0</v>
          </cell>
        </row>
        <row r="10723">
          <cell r="A10723">
            <v>0</v>
          </cell>
          <cell r="B10723">
            <v>0</v>
          </cell>
        </row>
        <row r="10724">
          <cell r="A10724">
            <v>0</v>
          </cell>
          <cell r="B10724">
            <v>0</v>
          </cell>
        </row>
        <row r="10725">
          <cell r="A10725">
            <v>0</v>
          </cell>
          <cell r="B10725">
            <v>0</v>
          </cell>
        </row>
        <row r="10726">
          <cell r="A10726">
            <v>0</v>
          </cell>
          <cell r="B10726">
            <v>0</v>
          </cell>
        </row>
        <row r="10727">
          <cell r="A10727">
            <v>0</v>
          </cell>
          <cell r="B10727">
            <v>0</v>
          </cell>
        </row>
        <row r="10728">
          <cell r="A10728">
            <v>0</v>
          </cell>
          <cell r="B10728">
            <v>0</v>
          </cell>
        </row>
        <row r="10729">
          <cell r="A10729">
            <v>0</v>
          </cell>
          <cell r="B10729">
            <v>0</v>
          </cell>
        </row>
        <row r="10730">
          <cell r="A10730">
            <v>0</v>
          </cell>
          <cell r="B10730">
            <v>0</v>
          </cell>
        </row>
        <row r="10731">
          <cell r="A10731">
            <v>0</v>
          </cell>
          <cell r="B10731">
            <v>0</v>
          </cell>
        </row>
        <row r="10732">
          <cell r="A10732">
            <v>0</v>
          </cell>
          <cell r="B10732">
            <v>0</v>
          </cell>
        </row>
        <row r="10733">
          <cell r="A10733">
            <v>0</v>
          </cell>
          <cell r="B10733">
            <v>0</v>
          </cell>
        </row>
        <row r="10734">
          <cell r="A10734">
            <v>0</v>
          </cell>
          <cell r="B10734">
            <v>0</v>
          </cell>
        </row>
        <row r="10735">
          <cell r="A10735">
            <v>0</v>
          </cell>
          <cell r="B10735">
            <v>0</v>
          </cell>
        </row>
        <row r="10736">
          <cell r="A10736">
            <v>0</v>
          </cell>
          <cell r="B10736">
            <v>0</v>
          </cell>
        </row>
        <row r="10737">
          <cell r="A10737">
            <v>0</v>
          </cell>
          <cell r="B10737">
            <v>0</v>
          </cell>
        </row>
        <row r="10738">
          <cell r="A10738">
            <v>0</v>
          </cell>
          <cell r="B10738">
            <v>0</v>
          </cell>
        </row>
        <row r="10739">
          <cell r="A10739">
            <v>0</v>
          </cell>
          <cell r="B10739">
            <v>0</v>
          </cell>
        </row>
        <row r="10740">
          <cell r="A10740">
            <v>0</v>
          </cell>
          <cell r="B10740">
            <v>0</v>
          </cell>
        </row>
        <row r="10741">
          <cell r="A10741">
            <v>0</v>
          </cell>
          <cell r="B10741">
            <v>0</v>
          </cell>
        </row>
        <row r="10742">
          <cell r="A10742">
            <v>0</v>
          </cell>
          <cell r="B10742">
            <v>0</v>
          </cell>
        </row>
        <row r="10743">
          <cell r="A10743">
            <v>0</v>
          </cell>
          <cell r="B10743">
            <v>0</v>
          </cell>
        </row>
        <row r="10744">
          <cell r="A10744">
            <v>0</v>
          </cell>
          <cell r="B10744">
            <v>0</v>
          </cell>
        </row>
        <row r="10745">
          <cell r="A10745">
            <v>0</v>
          </cell>
          <cell r="B10745">
            <v>0</v>
          </cell>
        </row>
        <row r="10746">
          <cell r="A10746">
            <v>0</v>
          </cell>
          <cell r="B10746">
            <v>0</v>
          </cell>
        </row>
        <row r="10747">
          <cell r="A10747">
            <v>0</v>
          </cell>
          <cell r="B10747">
            <v>0</v>
          </cell>
        </row>
        <row r="10748">
          <cell r="A10748">
            <v>0</v>
          </cell>
          <cell r="B10748">
            <v>0</v>
          </cell>
        </row>
        <row r="10749">
          <cell r="A10749">
            <v>0</v>
          </cell>
          <cell r="B10749">
            <v>0</v>
          </cell>
        </row>
        <row r="10750">
          <cell r="A10750">
            <v>0</v>
          </cell>
          <cell r="B10750">
            <v>0</v>
          </cell>
        </row>
        <row r="10751">
          <cell r="A10751">
            <v>0</v>
          </cell>
          <cell r="B10751">
            <v>0</v>
          </cell>
        </row>
        <row r="10752">
          <cell r="A10752">
            <v>0</v>
          </cell>
          <cell r="B10752">
            <v>0</v>
          </cell>
        </row>
        <row r="10753">
          <cell r="A10753">
            <v>0</v>
          </cell>
          <cell r="B10753">
            <v>0</v>
          </cell>
        </row>
        <row r="10754">
          <cell r="A10754">
            <v>0</v>
          </cell>
          <cell r="B10754">
            <v>0</v>
          </cell>
        </row>
        <row r="10755">
          <cell r="A10755">
            <v>0</v>
          </cell>
          <cell r="B10755">
            <v>0</v>
          </cell>
        </row>
        <row r="10756">
          <cell r="A10756">
            <v>0</v>
          </cell>
          <cell r="B10756">
            <v>0</v>
          </cell>
        </row>
        <row r="10757">
          <cell r="A10757">
            <v>0</v>
          </cell>
          <cell r="B10757">
            <v>0</v>
          </cell>
        </row>
        <row r="10758">
          <cell r="A10758">
            <v>0</v>
          </cell>
          <cell r="B10758">
            <v>0</v>
          </cell>
        </row>
        <row r="10759">
          <cell r="A10759">
            <v>0</v>
          </cell>
          <cell r="B10759">
            <v>0</v>
          </cell>
        </row>
        <row r="10760">
          <cell r="A10760">
            <v>0</v>
          </cell>
          <cell r="B10760">
            <v>0</v>
          </cell>
        </row>
        <row r="10761">
          <cell r="A10761">
            <v>0</v>
          </cell>
          <cell r="B10761">
            <v>0</v>
          </cell>
        </row>
        <row r="10762">
          <cell r="A10762">
            <v>0</v>
          </cell>
          <cell r="B10762">
            <v>0</v>
          </cell>
        </row>
        <row r="10763">
          <cell r="A10763">
            <v>0</v>
          </cell>
          <cell r="B10763">
            <v>0</v>
          </cell>
        </row>
        <row r="10764">
          <cell r="A10764">
            <v>0</v>
          </cell>
          <cell r="B10764">
            <v>0</v>
          </cell>
        </row>
        <row r="10765">
          <cell r="A10765">
            <v>0</v>
          </cell>
          <cell r="B10765">
            <v>0</v>
          </cell>
        </row>
        <row r="10766">
          <cell r="A10766">
            <v>0</v>
          </cell>
          <cell r="B10766">
            <v>0</v>
          </cell>
        </row>
        <row r="10767">
          <cell r="A10767">
            <v>0</v>
          </cell>
          <cell r="B10767">
            <v>0</v>
          </cell>
        </row>
        <row r="10768">
          <cell r="A10768">
            <v>0</v>
          </cell>
          <cell r="B10768">
            <v>0</v>
          </cell>
        </row>
        <row r="10769">
          <cell r="A10769">
            <v>0</v>
          </cell>
          <cell r="B10769">
            <v>0</v>
          </cell>
        </row>
        <row r="10770">
          <cell r="A10770">
            <v>0</v>
          </cell>
          <cell r="B10770">
            <v>0</v>
          </cell>
        </row>
        <row r="10771">
          <cell r="A10771">
            <v>0</v>
          </cell>
          <cell r="B10771">
            <v>0</v>
          </cell>
        </row>
        <row r="10772">
          <cell r="A10772">
            <v>0</v>
          </cell>
          <cell r="B10772">
            <v>0</v>
          </cell>
        </row>
        <row r="10773">
          <cell r="A10773">
            <v>0</v>
          </cell>
          <cell r="B10773">
            <v>0</v>
          </cell>
        </row>
        <row r="10774">
          <cell r="A10774">
            <v>0</v>
          </cell>
          <cell r="B10774">
            <v>0</v>
          </cell>
        </row>
        <row r="10775">
          <cell r="A10775">
            <v>0</v>
          </cell>
          <cell r="B10775">
            <v>0</v>
          </cell>
        </row>
        <row r="10776">
          <cell r="A10776">
            <v>0</v>
          </cell>
          <cell r="B10776">
            <v>0</v>
          </cell>
        </row>
        <row r="10777">
          <cell r="A10777">
            <v>0</v>
          </cell>
          <cell r="B10777">
            <v>0</v>
          </cell>
        </row>
        <row r="10778">
          <cell r="A10778">
            <v>0</v>
          </cell>
          <cell r="B10778">
            <v>0</v>
          </cell>
        </row>
        <row r="10779">
          <cell r="A10779">
            <v>0</v>
          </cell>
          <cell r="B10779">
            <v>0</v>
          </cell>
        </row>
        <row r="10780">
          <cell r="A10780">
            <v>0</v>
          </cell>
          <cell r="B10780">
            <v>0</v>
          </cell>
        </row>
        <row r="10781">
          <cell r="A10781">
            <v>0</v>
          </cell>
          <cell r="B10781">
            <v>0</v>
          </cell>
        </row>
        <row r="10782">
          <cell r="A10782">
            <v>0</v>
          </cell>
          <cell r="B10782">
            <v>0</v>
          </cell>
        </row>
        <row r="10783">
          <cell r="A10783">
            <v>0</v>
          </cell>
          <cell r="B10783">
            <v>0</v>
          </cell>
        </row>
        <row r="10784">
          <cell r="A10784">
            <v>0</v>
          </cell>
          <cell r="B10784">
            <v>0</v>
          </cell>
        </row>
        <row r="10785">
          <cell r="A10785">
            <v>0</v>
          </cell>
          <cell r="B10785">
            <v>0</v>
          </cell>
        </row>
        <row r="10786">
          <cell r="A10786">
            <v>0</v>
          </cell>
          <cell r="B10786">
            <v>0</v>
          </cell>
        </row>
        <row r="10787">
          <cell r="A10787">
            <v>0</v>
          </cell>
          <cell r="B10787">
            <v>0</v>
          </cell>
        </row>
        <row r="10788">
          <cell r="A10788">
            <v>0</v>
          </cell>
          <cell r="B10788">
            <v>0</v>
          </cell>
        </row>
        <row r="10789">
          <cell r="A10789">
            <v>0</v>
          </cell>
          <cell r="B10789">
            <v>0</v>
          </cell>
        </row>
        <row r="10790">
          <cell r="A10790">
            <v>0</v>
          </cell>
          <cell r="B10790">
            <v>0</v>
          </cell>
        </row>
        <row r="10791">
          <cell r="A10791">
            <v>0</v>
          </cell>
          <cell r="B10791">
            <v>0</v>
          </cell>
        </row>
        <row r="10792">
          <cell r="A10792">
            <v>0</v>
          </cell>
          <cell r="B10792">
            <v>0</v>
          </cell>
        </row>
        <row r="10793">
          <cell r="A10793">
            <v>0</v>
          </cell>
          <cell r="B10793">
            <v>0</v>
          </cell>
        </row>
        <row r="10794">
          <cell r="A10794">
            <v>0</v>
          </cell>
          <cell r="B10794">
            <v>0</v>
          </cell>
        </row>
        <row r="10795">
          <cell r="A10795">
            <v>0</v>
          </cell>
          <cell r="B10795">
            <v>0</v>
          </cell>
        </row>
        <row r="10796">
          <cell r="A10796">
            <v>0</v>
          </cell>
          <cell r="B10796">
            <v>0</v>
          </cell>
        </row>
        <row r="10797">
          <cell r="A10797">
            <v>0</v>
          </cell>
          <cell r="B10797">
            <v>0</v>
          </cell>
        </row>
        <row r="10798">
          <cell r="A10798">
            <v>0</v>
          </cell>
          <cell r="B10798">
            <v>0</v>
          </cell>
        </row>
        <row r="10799">
          <cell r="A10799">
            <v>0</v>
          </cell>
          <cell r="B10799">
            <v>0</v>
          </cell>
        </row>
        <row r="10800">
          <cell r="A10800">
            <v>0</v>
          </cell>
          <cell r="B10800">
            <v>0</v>
          </cell>
        </row>
        <row r="10801">
          <cell r="A10801">
            <v>0</v>
          </cell>
          <cell r="B10801">
            <v>0</v>
          </cell>
        </row>
        <row r="10802">
          <cell r="A10802">
            <v>0</v>
          </cell>
          <cell r="B10802">
            <v>0</v>
          </cell>
        </row>
        <row r="10803">
          <cell r="A10803">
            <v>0</v>
          </cell>
          <cell r="B10803">
            <v>0</v>
          </cell>
        </row>
        <row r="10804">
          <cell r="A10804">
            <v>0</v>
          </cell>
          <cell r="B10804">
            <v>0</v>
          </cell>
        </row>
        <row r="10805">
          <cell r="A10805">
            <v>0</v>
          </cell>
          <cell r="B10805">
            <v>0</v>
          </cell>
        </row>
        <row r="10806">
          <cell r="A10806">
            <v>0</v>
          </cell>
          <cell r="B10806">
            <v>0</v>
          </cell>
        </row>
        <row r="10807">
          <cell r="A10807">
            <v>0</v>
          </cell>
          <cell r="B10807">
            <v>0</v>
          </cell>
        </row>
        <row r="10808">
          <cell r="A10808">
            <v>0</v>
          </cell>
          <cell r="B10808">
            <v>0</v>
          </cell>
        </row>
        <row r="10809">
          <cell r="A10809">
            <v>0</v>
          </cell>
          <cell r="B10809">
            <v>0</v>
          </cell>
        </row>
        <row r="10810">
          <cell r="A10810">
            <v>0</v>
          </cell>
          <cell r="B10810">
            <v>0</v>
          </cell>
        </row>
        <row r="10811">
          <cell r="A10811">
            <v>0</v>
          </cell>
          <cell r="B10811">
            <v>0</v>
          </cell>
        </row>
        <row r="10812">
          <cell r="A10812">
            <v>0</v>
          </cell>
          <cell r="B10812">
            <v>0</v>
          </cell>
        </row>
        <row r="10813">
          <cell r="A10813">
            <v>0</v>
          </cell>
          <cell r="B10813">
            <v>0</v>
          </cell>
        </row>
        <row r="10814">
          <cell r="A10814">
            <v>0</v>
          </cell>
          <cell r="B10814">
            <v>0</v>
          </cell>
        </row>
        <row r="10815">
          <cell r="A10815">
            <v>0</v>
          </cell>
          <cell r="B10815">
            <v>0</v>
          </cell>
        </row>
        <row r="10816">
          <cell r="A10816">
            <v>0</v>
          </cell>
          <cell r="B10816">
            <v>0</v>
          </cell>
        </row>
        <row r="10817">
          <cell r="A10817">
            <v>0</v>
          </cell>
          <cell r="B10817">
            <v>0</v>
          </cell>
        </row>
        <row r="10818">
          <cell r="A10818">
            <v>0</v>
          </cell>
          <cell r="B10818">
            <v>0</v>
          </cell>
        </row>
        <row r="10819">
          <cell r="A10819">
            <v>0</v>
          </cell>
          <cell r="B10819">
            <v>0</v>
          </cell>
        </row>
        <row r="10820">
          <cell r="A10820">
            <v>0</v>
          </cell>
          <cell r="B10820">
            <v>0</v>
          </cell>
        </row>
        <row r="10821">
          <cell r="A10821">
            <v>0</v>
          </cell>
          <cell r="B10821">
            <v>0</v>
          </cell>
        </row>
        <row r="10822">
          <cell r="A10822">
            <v>0</v>
          </cell>
          <cell r="B10822">
            <v>0</v>
          </cell>
        </row>
        <row r="10823">
          <cell r="A10823">
            <v>0</v>
          </cell>
          <cell r="B10823">
            <v>0</v>
          </cell>
        </row>
        <row r="10824">
          <cell r="A10824">
            <v>0</v>
          </cell>
          <cell r="B10824">
            <v>0</v>
          </cell>
        </row>
        <row r="10825">
          <cell r="A10825">
            <v>0</v>
          </cell>
          <cell r="B10825">
            <v>0</v>
          </cell>
        </row>
        <row r="10826">
          <cell r="A10826">
            <v>0</v>
          </cell>
          <cell r="B10826">
            <v>0</v>
          </cell>
        </row>
        <row r="10827">
          <cell r="A10827">
            <v>0</v>
          </cell>
          <cell r="B10827">
            <v>0</v>
          </cell>
        </row>
        <row r="10828">
          <cell r="A10828">
            <v>0</v>
          </cell>
          <cell r="B10828">
            <v>0</v>
          </cell>
        </row>
        <row r="10829">
          <cell r="A10829">
            <v>0</v>
          </cell>
          <cell r="B10829">
            <v>0</v>
          </cell>
        </row>
        <row r="10830">
          <cell r="A10830">
            <v>0</v>
          </cell>
          <cell r="B10830">
            <v>0</v>
          </cell>
        </row>
        <row r="10831">
          <cell r="A10831">
            <v>0</v>
          </cell>
          <cell r="B10831">
            <v>0</v>
          </cell>
        </row>
        <row r="10832">
          <cell r="A10832">
            <v>0</v>
          </cell>
          <cell r="B10832">
            <v>0</v>
          </cell>
        </row>
        <row r="10833">
          <cell r="A10833">
            <v>0</v>
          </cell>
          <cell r="B10833">
            <v>0</v>
          </cell>
        </row>
        <row r="10834">
          <cell r="A10834">
            <v>0</v>
          </cell>
          <cell r="B10834">
            <v>0</v>
          </cell>
        </row>
        <row r="10835">
          <cell r="A10835">
            <v>0</v>
          </cell>
          <cell r="B10835">
            <v>0</v>
          </cell>
        </row>
        <row r="10836">
          <cell r="A10836">
            <v>0</v>
          </cell>
          <cell r="B10836">
            <v>0</v>
          </cell>
        </row>
        <row r="10837">
          <cell r="A10837">
            <v>0</v>
          </cell>
          <cell r="B10837">
            <v>0</v>
          </cell>
        </row>
        <row r="10838">
          <cell r="A10838">
            <v>0</v>
          </cell>
          <cell r="B10838">
            <v>0</v>
          </cell>
        </row>
        <row r="10839">
          <cell r="A10839">
            <v>0</v>
          </cell>
          <cell r="B10839">
            <v>0</v>
          </cell>
        </row>
        <row r="10840">
          <cell r="A10840">
            <v>0</v>
          </cell>
          <cell r="B10840">
            <v>0</v>
          </cell>
        </row>
        <row r="10841">
          <cell r="A10841">
            <v>0</v>
          </cell>
          <cell r="B10841">
            <v>0</v>
          </cell>
        </row>
        <row r="10842">
          <cell r="A10842">
            <v>0</v>
          </cell>
          <cell r="B10842">
            <v>0</v>
          </cell>
        </row>
        <row r="10843">
          <cell r="A10843">
            <v>0</v>
          </cell>
          <cell r="B10843">
            <v>0</v>
          </cell>
        </row>
        <row r="10844">
          <cell r="A10844">
            <v>0</v>
          </cell>
          <cell r="B10844">
            <v>0</v>
          </cell>
        </row>
        <row r="10845">
          <cell r="A10845">
            <v>0</v>
          </cell>
          <cell r="B10845">
            <v>0</v>
          </cell>
        </row>
        <row r="10846">
          <cell r="A10846">
            <v>0</v>
          </cell>
          <cell r="B10846">
            <v>0</v>
          </cell>
        </row>
        <row r="10847">
          <cell r="A10847">
            <v>0</v>
          </cell>
          <cell r="B10847">
            <v>0</v>
          </cell>
        </row>
        <row r="10848">
          <cell r="A10848">
            <v>0</v>
          </cell>
          <cell r="B10848">
            <v>0</v>
          </cell>
        </row>
        <row r="10849">
          <cell r="A10849">
            <v>0</v>
          </cell>
          <cell r="B10849">
            <v>0</v>
          </cell>
        </row>
        <row r="10850">
          <cell r="A10850">
            <v>0</v>
          </cell>
          <cell r="B10850">
            <v>0</v>
          </cell>
        </row>
        <row r="10851">
          <cell r="A10851">
            <v>0</v>
          </cell>
          <cell r="B10851">
            <v>0</v>
          </cell>
        </row>
        <row r="10852">
          <cell r="A10852">
            <v>0</v>
          </cell>
          <cell r="B10852">
            <v>0</v>
          </cell>
        </row>
        <row r="10853">
          <cell r="A10853">
            <v>0</v>
          </cell>
          <cell r="B10853">
            <v>0</v>
          </cell>
        </row>
        <row r="10854">
          <cell r="A10854">
            <v>0</v>
          </cell>
          <cell r="B10854">
            <v>0</v>
          </cell>
        </row>
        <row r="10855">
          <cell r="A10855">
            <v>0</v>
          </cell>
          <cell r="B10855">
            <v>0</v>
          </cell>
        </row>
        <row r="10856">
          <cell r="A10856">
            <v>0</v>
          </cell>
          <cell r="B10856">
            <v>0</v>
          </cell>
        </row>
        <row r="10857">
          <cell r="A10857">
            <v>0</v>
          </cell>
          <cell r="B10857">
            <v>0</v>
          </cell>
        </row>
        <row r="10858">
          <cell r="A10858">
            <v>0</v>
          </cell>
          <cell r="B10858">
            <v>0</v>
          </cell>
        </row>
        <row r="10859">
          <cell r="A10859">
            <v>0</v>
          </cell>
          <cell r="B10859">
            <v>0</v>
          </cell>
        </row>
        <row r="10860">
          <cell r="A10860">
            <v>0</v>
          </cell>
          <cell r="B10860">
            <v>0</v>
          </cell>
        </row>
        <row r="10861">
          <cell r="A10861">
            <v>0</v>
          </cell>
          <cell r="B10861">
            <v>0</v>
          </cell>
        </row>
        <row r="10862">
          <cell r="A10862">
            <v>0</v>
          </cell>
          <cell r="B10862">
            <v>0</v>
          </cell>
        </row>
        <row r="10863">
          <cell r="A10863">
            <v>0</v>
          </cell>
          <cell r="B10863">
            <v>0</v>
          </cell>
        </row>
        <row r="10864">
          <cell r="A10864">
            <v>0</v>
          </cell>
          <cell r="B10864">
            <v>0</v>
          </cell>
        </row>
        <row r="10865">
          <cell r="A10865">
            <v>0</v>
          </cell>
          <cell r="B10865">
            <v>0</v>
          </cell>
        </row>
        <row r="10866">
          <cell r="A10866">
            <v>0</v>
          </cell>
          <cell r="B10866">
            <v>0</v>
          </cell>
        </row>
        <row r="10867">
          <cell r="A10867">
            <v>0</v>
          </cell>
          <cell r="B10867">
            <v>0</v>
          </cell>
        </row>
        <row r="10868">
          <cell r="A10868">
            <v>0</v>
          </cell>
          <cell r="B10868">
            <v>0</v>
          </cell>
        </row>
        <row r="10869">
          <cell r="A10869">
            <v>0</v>
          </cell>
          <cell r="B10869">
            <v>0</v>
          </cell>
        </row>
        <row r="10870">
          <cell r="A10870">
            <v>0</v>
          </cell>
          <cell r="B10870">
            <v>0</v>
          </cell>
        </row>
        <row r="10871">
          <cell r="A10871">
            <v>0</v>
          </cell>
          <cell r="B10871">
            <v>0</v>
          </cell>
        </row>
        <row r="10872">
          <cell r="A10872">
            <v>0</v>
          </cell>
          <cell r="B10872">
            <v>0</v>
          </cell>
        </row>
        <row r="10873">
          <cell r="A10873">
            <v>0</v>
          </cell>
          <cell r="B10873">
            <v>0</v>
          </cell>
        </row>
        <row r="10874">
          <cell r="A10874">
            <v>0</v>
          </cell>
          <cell r="B10874">
            <v>0</v>
          </cell>
        </row>
        <row r="10875">
          <cell r="A10875">
            <v>0</v>
          </cell>
          <cell r="B10875">
            <v>0</v>
          </cell>
        </row>
        <row r="10876">
          <cell r="A10876">
            <v>0</v>
          </cell>
          <cell r="B10876">
            <v>0</v>
          </cell>
        </row>
        <row r="10877">
          <cell r="A10877">
            <v>0</v>
          </cell>
          <cell r="B10877">
            <v>0</v>
          </cell>
        </row>
        <row r="10878">
          <cell r="A10878">
            <v>0</v>
          </cell>
          <cell r="B10878">
            <v>0</v>
          </cell>
        </row>
        <row r="10879">
          <cell r="A10879">
            <v>0</v>
          </cell>
          <cell r="B10879">
            <v>0</v>
          </cell>
        </row>
        <row r="10880">
          <cell r="A10880">
            <v>0</v>
          </cell>
          <cell r="B10880">
            <v>0</v>
          </cell>
        </row>
        <row r="10881">
          <cell r="A10881">
            <v>0</v>
          </cell>
          <cell r="B10881">
            <v>0</v>
          </cell>
        </row>
        <row r="10882">
          <cell r="A10882">
            <v>0</v>
          </cell>
          <cell r="B10882">
            <v>0</v>
          </cell>
        </row>
        <row r="10883">
          <cell r="A10883">
            <v>0</v>
          </cell>
          <cell r="B10883">
            <v>0</v>
          </cell>
        </row>
        <row r="10884">
          <cell r="A10884">
            <v>0</v>
          </cell>
          <cell r="B10884">
            <v>0</v>
          </cell>
        </row>
        <row r="10885">
          <cell r="A10885">
            <v>0</v>
          </cell>
          <cell r="B10885">
            <v>0</v>
          </cell>
        </row>
        <row r="10886">
          <cell r="A10886">
            <v>0</v>
          </cell>
          <cell r="B10886">
            <v>0</v>
          </cell>
        </row>
        <row r="10887">
          <cell r="A10887">
            <v>0</v>
          </cell>
          <cell r="B10887">
            <v>0</v>
          </cell>
        </row>
        <row r="10888">
          <cell r="A10888">
            <v>0</v>
          </cell>
          <cell r="B10888">
            <v>0</v>
          </cell>
        </row>
        <row r="10889">
          <cell r="A10889">
            <v>0</v>
          </cell>
          <cell r="B10889">
            <v>0</v>
          </cell>
        </row>
        <row r="10890">
          <cell r="A10890">
            <v>0</v>
          </cell>
          <cell r="B10890">
            <v>0</v>
          </cell>
        </row>
        <row r="10891">
          <cell r="A10891">
            <v>0</v>
          </cell>
          <cell r="B10891">
            <v>0</v>
          </cell>
        </row>
        <row r="10892">
          <cell r="A10892">
            <v>0</v>
          </cell>
          <cell r="B10892">
            <v>0</v>
          </cell>
        </row>
        <row r="10893">
          <cell r="A10893">
            <v>0</v>
          </cell>
          <cell r="B10893">
            <v>0</v>
          </cell>
        </row>
        <row r="10894">
          <cell r="A10894">
            <v>0</v>
          </cell>
          <cell r="B10894">
            <v>0</v>
          </cell>
        </row>
        <row r="10895">
          <cell r="A10895">
            <v>0</v>
          </cell>
          <cell r="B10895">
            <v>0</v>
          </cell>
        </row>
        <row r="10896">
          <cell r="A10896">
            <v>0</v>
          </cell>
          <cell r="B10896">
            <v>0</v>
          </cell>
        </row>
        <row r="10897">
          <cell r="A10897">
            <v>0</v>
          </cell>
          <cell r="B10897">
            <v>0</v>
          </cell>
        </row>
        <row r="10898">
          <cell r="A10898">
            <v>0</v>
          </cell>
          <cell r="B10898">
            <v>0</v>
          </cell>
        </row>
        <row r="10899">
          <cell r="A10899">
            <v>0</v>
          </cell>
          <cell r="B10899">
            <v>0</v>
          </cell>
        </row>
        <row r="10900">
          <cell r="A10900">
            <v>0</v>
          </cell>
          <cell r="B10900">
            <v>0</v>
          </cell>
        </row>
        <row r="10901">
          <cell r="A10901">
            <v>0</v>
          </cell>
          <cell r="B10901">
            <v>0</v>
          </cell>
        </row>
        <row r="10902">
          <cell r="A10902">
            <v>0</v>
          </cell>
          <cell r="B10902">
            <v>0</v>
          </cell>
        </row>
        <row r="10903">
          <cell r="A10903">
            <v>0</v>
          </cell>
          <cell r="B10903">
            <v>0</v>
          </cell>
        </row>
        <row r="10904">
          <cell r="A10904">
            <v>0</v>
          </cell>
          <cell r="B10904">
            <v>0</v>
          </cell>
        </row>
        <row r="10905">
          <cell r="A10905">
            <v>0</v>
          </cell>
          <cell r="B10905">
            <v>0</v>
          </cell>
        </row>
        <row r="10906">
          <cell r="A10906">
            <v>0</v>
          </cell>
          <cell r="B10906">
            <v>0</v>
          </cell>
        </row>
        <row r="10907">
          <cell r="A10907">
            <v>0</v>
          </cell>
          <cell r="B10907">
            <v>0</v>
          </cell>
        </row>
        <row r="10908">
          <cell r="A10908">
            <v>0</v>
          </cell>
          <cell r="B10908">
            <v>0</v>
          </cell>
        </row>
        <row r="10909">
          <cell r="A10909">
            <v>0</v>
          </cell>
          <cell r="B10909">
            <v>0</v>
          </cell>
        </row>
        <row r="10910">
          <cell r="A10910">
            <v>0</v>
          </cell>
          <cell r="B10910">
            <v>0</v>
          </cell>
        </row>
        <row r="10911">
          <cell r="A10911">
            <v>0</v>
          </cell>
          <cell r="B10911">
            <v>0</v>
          </cell>
        </row>
        <row r="10912">
          <cell r="A10912">
            <v>0</v>
          </cell>
          <cell r="B10912">
            <v>0</v>
          </cell>
        </row>
        <row r="10913">
          <cell r="A10913">
            <v>0</v>
          </cell>
          <cell r="B10913">
            <v>0</v>
          </cell>
        </row>
        <row r="10914">
          <cell r="A10914">
            <v>0</v>
          </cell>
          <cell r="B10914">
            <v>0</v>
          </cell>
        </row>
        <row r="10915">
          <cell r="A10915">
            <v>0</v>
          </cell>
          <cell r="B10915">
            <v>0</v>
          </cell>
        </row>
        <row r="10916">
          <cell r="A10916">
            <v>0</v>
          </cell>
          <cell r="B10916">
            <v>0</v>
          </cell>
        </row>
        <row r="10917">
          <cell r="A10917">
            <v>0</v>
          </cell>
          <cell r="B10917">
            <v>0</v>
          </cell>
        </row>
        <row r="10918">
          <cell r="A10918">
            <v>0</v>
          </cell>
          <cell r="B10918">
            <v>0</v>
          </cell>
        </row>
        <row r="10919">
          <cell r="A10919">
            <v>0</v>
          </cell>
          <cell r="B10919">
            <v>0</v>
          </cell>
        </row>
        <row r="10920">
          <cell r="A10920">
            <v>0</v>
          </cell>
          <cell r="B10920">
            <v>0</v>
          </cell>
        </row>
        <row r="10921">
          <cell r="A10921">
            <v>0</v>
          </cell>
          <cell r="B10921">
            <v>0</v>
          </cell>
        </row>
        <row r="10922">
          <cell r="A10922">
            <v>0</v>
          </cell>
          <cell r="B10922">
            <v>0</v>
          </cell>
        </row>
        <row r="10923">
          <cell r="A10923">
            <v>0</v>
          </cell>
          <cell r="B10923">
            <v>0</v>
          </cell>
        </row>
        <row r="10924">
          <cell r="A10924">
            <v>0</v>
          </cell>
          <cell r="B10924">
            <v>0</v>
          </cell>
        </row>
        <row r="10925">
          <cell r="A10925">
            <v>0</v>
          </cell>
          <cell r="B10925">
            <v>0</v>
          </cell>
        </row>
        <row r="10926">
          <cell r="A10926">
            <v>0</v>
          </cell>
          <cell r="B10926">
            <v>0</v>
          </cell>
        </row>
        <row r="10927">
          <cell r="A10927">
            <v>0</v>
          </cell>
          <cell r="B10927">
            <v>0</v>
          </cell>
        </row>
        <row r="10928">
          <cell r="A10928">
            <v>0</v>
          </cell>
          <cell r="B10928">
            <v>0</v>
          </cell>
        </row>
        <row r="10929">
          <cell r="A10929">
            <v>0</v>
          </cell>
          <cell r="B10929">
            <v>0</v>
          </cell>
        </row>
        <row r="10930">
          <cell r="A10930">
            <v>0</v>
          </cell>
          <cell r="B10930">
            <v>0</v>
          </cell>
        </row>
        <row r="10931">
          <cell r="A10931">
            <v>0</v>
          </cell>
          <cell r="B10931">
            <v>0</v>
          </cell>
        </row>
        <row r="10932">
          <cell r="A10932">
            <v>0</v>
          </cell>
          <cell r="B10932">
            <v>0</v>
          </cell>
        </row>
        <row r="10933">
          <cell r="A10933">
            <v>0</v>
          </cell>
          <cell r="B10933">
            <v>0</v>
          </cell>
        </row>
        <row r="10934">
          <cell r="A10934">
            <v>0</v>
          </cell>
          <cell r="B10934">
            <v>0</v>
          </cell>
        </row>
        <row r="10935">
          <cell r="A10935">
            <v>0</v>
          </cell>
          <cell r="B10935">
            <v>0</v>
          </cell>
        </row>
        <row r="10936">
          <cell r="A10936">
            <v>0</v>
          </cell>
          <cell r="B10936">
            <v>0</v>
          </cell>
        </row>
        <row r="10937">
          <cell r="A10937">
            <v>0</v>
          </cell>
          <cell r="B10937">
            <v>0</v>
          </cell>
        </row>
        <row r="10938">
          <cell r="A10938">
            <v>0</v>
          </cell>
          <cell r="B10938">
            <v>0</v>
          </cell>
        </row>
        <row r="10939">
          <cell r="A10939">
            <v>0</v>
          </cell>
          <cell r="B10939">
            <v>0</v>
          </cell>
        </row>
        <row r="10940">
          <cell r="A10940">
            <v>0</v>
          </cell>
          <cell r="B10940">
            <v>0</v>
          </cell>
        </row>
        <row r="10941">
          <cell r="A10941">
            <v>0</v>
          </cell>
          <cell r="B10941">
            <v>0</v>
          </cell>
        </row>
        <row r="10942">
          <cell r="A10942">
            <v>0</v>
          </cell>
          <cell r="B10942">
            <v>0</v>
          </cell>
        </row>
        <row r="10943">
          <cell r="A10943">
            <v>0</v>
          </cell>
          <cell r="B10943">
            <v>0</v>
          </cell>
        </row>
        <row r="10944">
          <cell r="A10944">
            <v>0</v>
          </cell>
          <cell r="B10944">
            <v>0</v>
          </cell>
        </row>
        <row r="10945">
          <cell r="A10945">
            <v>0</v>
          </cell>
          <cell r="B10945">
            <v>0</v>
          </cell>
        </row>
        <row r="10946">
          <cell r="A10946">
            <v>0</v>
          </cell>
          <cell r="B10946">
            <v>0</v>
          </cell>
        </row>
        <row r="10947">
          <cell r="A10947">
            <v>0</v>
          </cell>
          <cell r="B10947">
            <v>0</v>
          </cell>
        </row>
        <row r="10948">
          <cell r="A10948">
            <v>0</v>
          </cell>
          <cell r="B10948">
            <v>0</v>
          </cell>
        </row>
        <row r="10949">
          <cell r="A10949">
            <v>0</v>
          </cell>
          <cell r="B10949">
            <v>0</v>
          </cell>
        </row>
        <row r="10950">
          <cell r="A10950">
            <v>0</v>
          </cell>
          <cell r="B10950">
            <v>0</v>
          </cell>
        </row>
        <row r="10951">
          <cell r="A10951">
            <v>0</v>
          </cell>
          <cell r="B10951">
            <v>0</v>
          </cell>
        </row>
        <row r="10952">
          <cell r="A10952">
            <v>0</v>
          </cell>
          <cell r="B10952">
            <v>0</v>
          </cell>
        </row>
        <row r="10953">
          <cell r="A10953">
            <v>0</v>
          </cell>
          <cell r="B10953">
            <v>0</v>
          </cell>
        </row>
        <row r="10954">
          <cell r="A10954">
            <v>0</v>
          </cell>
          <cell r="B10954">
            <v>0</v>
          </cell>
        </row>
        <row r="10955">
          <cell r="A10955">
            <v>0</v>
          </cell>
          <cell r="B10955">
            <v>0</v>
          </cell>
        </row>
        <row r="10956">
          <cell r="A10956">
            <v>0</v>
          </cell>
          <cell r="B10956">
            <v>0</v>
          </cell>
        </row>
        <row r="10957">
          <cell r="A10957">
            <v>0</v>
          </cell>
          <cell r="B10957">
            <v>0</v>
          </cell>
        </row>
        <row r="10958">
          <cell r="A10958">
            <v>0</v>
          </cell>
          <cell r="B10958">
            <v>0</v>
          </cell>
        </row>
        <row r="10959">
          <cell r="A10959">
            <v>0</v>
          </cell>
          <cell r="B10959">
            <v>0</v>
          </cell>
        </row>
        <row r="10960">
          <cell r="A10960">
            <v>0</v>
          </cell>
          <cell r="B10960">
            <v>0</v>
          </cell>
        </row>
        <row r="10961">
          <cell r="A10961">
            <v>0</v>
          </cell>
          <cell r="B10961">
            <v>0</v>
          </cell>
        </row>
        <row r="10962">
          <cell r="A10962">
            <v>0</v>
          </cell>
          <cell r="B10962">
            <v>0</v>
          </cell>
        </row>
        <row r="10963">
          <cell r="A10963">
            <v>0</v>
          </cell>
          <cell r="B10963">
            <v>0</v>
          </cell>
        </row>
        <row r="10964">
          <cell r="A10964">
            <v>0</v>
          </cell>
          <cell r="B10964">
            <v>0</v>
          </cell>
        </row>
        <row r="10965">
          <cell r="A10965">
            <v>0</v>
          </cell>
          <cell r="B10965">
            <v>0</v>
          </cell>
        </row>
        <row r="10966">
          <cell r="A10966">
            <v>0</v>
          </cell>
          <cell r="B10966">
            <v>0</v>
          </cell>
        </row>
        <row r="10967">
          <cell r="A10967">
            <v>0</v>
          </cell>
          <cell r="B10967">
            <v>0</v>
          </cell>
        </row>
        <row r="10968">
          <cell r="A10968">
            <v>0</v>
          </cell>
          <cell r="B10968">
            <v>0</v>
          </cell>
        </row>
        <row r="10969">
          <cell r="A10969">
            <v>0</v>
          </cell>
          <cell r="B10969">
            <v>0</v>
          </cell>
        </row>
        <row r="10970">
          <cell r="A10970">
            <v>0</v>
          </cell>
          <cell r="B10970">
            <v>0</v>
          </cell>
        </row>
        <row r="10971">
          <cell r="A10971">
            <v>0</v>
          </cell>
          <cell r="B10971">
            <v>0</v>
          </cell>
        </row>
        <row r="10972">
          <cell r="A10972">
            <v>0</v>
          </cell>
          <cell r="B10972">
            <v>0</v>
          </cell>
        </row>
        <row r="10973">
          <cell r="A10973">
            <v>0</v>
          </cell>
          <cell r="B10973">
            <v>0</v>
          </cell>
        </row>
        <row r="10974">
          <cell r="A10974">
            <v>0</v>
          </cell>
          <cell r="B10974">
            <v>0</v>
          </cell>
        </row>
        <row r="10975">
          <cell r="A10975">
            <v>0</v>
          </cell>
          <cell r="B10975">
            <v>0</v>
          </cell>
        </row>
        <row r="10976">
          <cell r="A10976">
            <v>0</v>
          </cell>
          <cell r="B10976">
            <v>0</v>
          </cell>
        </row>
        <row r="10977">
          <cell r="A10977">
            <v>0</v>
          </cell>
          <cell r="B10977">
            <v>0</v>
          </cell>
        </row>
        <row r="10978">
          <cell r="A10978">
            <v>0</v>
          </cell>
          <cell r="B10978">
            <v>0</v>
          </cell>
        </row>
        <row r="10979">
          <cell r="A10979">
            <v>0</v>
          </cell>
          <cell r="B10979">
            <v>0</v>
          </cell>
        </row>
        <row r="10980">
          <cell r="A10980">
            <v>0</v>
          </cell>
          <cell r="B10980">
            <v>0</v>
          </cell>
        </row>
        <row r="10981">
          <cell r="A10981">
            <v>0</v>
          </cell>
          <cell r="B10981">
            <v>0</v>
          </cell>
        </row>
        <row r="10982">
          <cell r="A10982">
            <v>0</v>
          </cell>
          <cell r="B10982">
            <v>0</v>
          </cell>
        </row>
        <row r="10983">
          <cell r="A10983">
            <v>0</v>
          </cell>
          <cell r="B10983">
            <v>0</v>
          </cell>
        </row>
        <row r="10984">
          <cell r="A10984">
            <v>0</v>
          </cell>
          <cell r="B10984">
            <v>0</v>
          </cell>
        </row>
        <row r="10985">
          <cell r="A10985">
            <v>0</v>
          </cell>
          <cell r="B10985">
            <v>0</v>
          </cell>
        </row>
        <row r="10986">
          <cell r="A10986">
            <v>0</v>
          </cell>
          <cell r="B10986">
            <v>0</v>
          </cell>
        </row>
        <row r="10987">
          <cell r="A10987">
            <v>0</v>
          </cell>
          <cell r="B10987">
            <v>0</v>
          </cell>
        </row>
        <row r="10988">
          <cell r="A10988">
            <v>0</v>
          </cell>
          <cell r="B10988">
            <v>0</v>
          </cell>
        </row>
        <row r="10989">
          <cell r="A10989">
            <v>0</v>
          </cell>
          <cell r="B10989">
            <v>0</v>
          </cell>
        </row>
        <row r="10990">
          <cell r="A10990">
            <v>0</v>
          </cell>
          <cell r="B10990">
            <v>0</v>
          </cell>
        </row>
        <row r="10991">
          <cell r="A10991">
            <v>0</v>
          </cell>
          <cell r="B10991">
            <v>0</v>
          </cell>
        </row>
        <row r="10992">
          <cell r="A10992">
            <v>0</v>
          </cell>
          <cell r="B10992">
            <v>0</v>
          </cell>
        </row>
        <row r="10993">
          <cell r="A10993">
            <v>0</v>
          </cell>
          <cell r="B10993">
            <v>0</v>
          </cell>
        </row>
        <row r="10994">
          <cell r="A10994">
            <v>0</v>
          </cell>
          <cell r="B10994">
            <v>0</v>
          </cell>
        </row>
        <row r="10995">
          <cell r="A10995">
            <v>0</v>
          </cell>
          <cell r="B10995">
            <v>0</v>
          </cell>
        </row>
        <row r="10996">
          <cell r="A10996">
            <v>0</v>
          </cell>
          <cell r="B10996">
            <v>0</v>
          </cell>
        </row>
        <row r="10997">
          <cell r="A10997">
            <v>0</v>
          </cell>
          <cell r="B10997">
            <v>0</v>
          </cell>
        </row>
        <row r="10998">
          <cell r="A10998">
            <v>0</v>
          </cell>
          <cell r="B10998">
            <v>0</v>
          </cell>
        </row>
        <row r="10999">
          <cell r="A10999">
            <v>0</v>
          </cell>
          <cell r="B10999">
            <v>0</v>
          </cell>
        </row>
        <row r="11000">
          <cell r="A11000">
            <v>0</v>
          </cell>
          <cell r="B11000">
            <v>0</v>
          </cell>
        </row>
        <row r="11001">
          <cell r="A11001">
            <v>0</v>
          </cell>
          <cell r="B11001">
            <v>0</v>
          </cell>
        </row>
        <row r="11002">
          <cell r="A11002">
            <v>0</v>
          </cell>
          <cell r="B11002">
            <v>0</v>
          </cell>
        </row>
        <row r="11003">
          <cell r="A11003">
            <v>0</v>
          </cell>
          <cell r="B11003">
            <v>0</v>
          </cell>
        </row>
        <row r="11004">
          <cell r="A11004">
            <v>0</v>
          </cell>
          <cell r="B11004">
            <v>0</v>
          </cell>
        </row>
        <row r="11005">
          <cell r="A11005">
            <v>0</v>
          </cell>
          <cell r="B11005">
            <v>0</v>
          </cell>
        </row>
        <row r="11006">
          <cell r="A11006">
            <v>0</v>
          </cell>
          <cell r="B11006">
            <v>0</v>
          </cell>
        </row>
        <row r="11007">
          <cell r="A11007">
            <v>0</v>
          </cell>
          <cell r="B11007">
            <v>0</v>
          </cell>
        </row>
        <row r="11008">
          <cell r="A11008">
            <v>0</v>
          </cell>
          <cell r="B11008">
            <v>0</v>
          </cell>
        </row>
        <row r="11009">
          <cell r="A11009">
            <v>0</v>
          </cell>
          <cell r="B11009">
            <v>0</v>
          </cell>
        </row>
        <row r="11010">
          <cell r="A11010">
            <v>0</v>
          </cell>
          <cell r="B11010">
            <v>0</v>
          </cell>
        </row>
        <row r="11011">
          <cell r="A11011">
            <v>0</v>
          </cell>
          <cell r="B11011">
            <v>0</v>
          </cell>
        </row>
        <row r="11012">
          <cell r="A11012">
            <v>0</v>
          </cell>
          <cell r="B11012">
            <v>0</v>
          </cell>
        </row>
        <row r="11013">
          <cell r="A11013">
            <v>0</v>
          </cell>
          <cell r="B11013">
            <v>0</v>
          </cell>
        </row>
        <row r="11014">
          <cell r="A11014">
            <v>0</v>
          </cell>
          <cell r="B11014">
            <v>0</v>
          </cell>
        </row>
        <row r="11015">
          <cell r="A11015">
            <v>0</v>
          </cell>
          <cell r="B11015">
            <v>0</v>
          </cell>
        </row>
        <row r="11016">
          <cell r="A11016">
            <v>0</v>
          </cell>
          <cell r="B11016">
            <v>0</v>
          </cell>
        </row>
        <row r="11017">
          <cell r="A11017">
            <v>0</v>
          </cell>
          <cell r="B11017">
            <v>0</v>
          </cell>
        </row>
        <row r="11018">
          <cell r="A11018">
            <v>0</v>
          </cell>
          <cell r="B11018">
            <v>0</v>
          </cell>
        </row>
        <row r="11019">
          <cell r="A11019">
            <v>0</v>
          </cell>
          <cell r="B11019">
            <v>0</v>
          </cell>
        </row>
        <row r="11020">
          <cell r="A11020">
            <v>0</v>
          </cell>
          <cell r="B11020">
            <v>0</v>
          </cell>
        </row>
        <row r="11021">
          <cell r="A11021">
            <v>0</v>
          </cell>
          <cell r="B11021">
            <v>0</v>
          </cell>
        </row>
        <row r="11022">
          <cell r="A11022">
            <v>0</v>
          </cell>
          <cell r="B11022">
            <v>0</v>
          </cell>
        </row>
        <row r="11023">
          <cell r="A11023">
            <v>0</v>
          </cell>
          <cell r="B11023">
            <v>0</v>
          </cell>
        </row>
        <row r="11024">
          <cell r="A11024">
            <v>0</v>
          </cell>
          <cell r="B11024">
            <v>0</v>
          </cell>
        </row>
        <row r="11025">
          <cell r="A11025">
            <v>0</v>
          </cell>
          <cell r="B11025">
            <v>0</v>
          </cell>
        </row>
        <row r="11026">
          <cell r="A11026">
            <v>0</v>
          </cell>
          <cell r="B11026">
            <v>0</v>
          </cell>
        </row>
        <row r="11027">
          <cell r="A11027">
            <v>0</v>
          </cell>
          <cell r="B11027">
            <v>0</v>
          </cell>
        </row>
        <row r="11028">
          <cell r="A11028">
            <v>0</v>
          </cell>
          <cell r="B11028">
            <v>0</v>
          </cell>
        </row>
        <row r="11029">
          <cell r="A11029">
            <v>0</v>
          </cell>
          <cell r="B11029">
            <v>0</v>
          </cell>
        </row>
        <row r="11030">
          <cell r="A11030">
            <v>0</v>
          </cell>
          <cell r="B11030">
            <v>0</v>
          </cell>
        </row>
        <row r="11031">
          <cell r="A11031">
            <v>0</v>
          </cell>
          <cell r="B11031">
            <v>0</v>
          </cell>
        </row>
        <row r="11032">
          <cell r="A11032">
            <v>0</v>
          </cell>
          <cell r="B11032">
            <v>0</v>
          </cell>
        </row>
        <row r="11033">
          <cell r="A11033">
            <v>0</v>
          </cell>
          <cell r="B11033">
            <v>0</v>
          </cell>
        </row>
        <row r="11034">
          <cell r="A11034">
            <v>0</v>
          </cell>
          <cell r="B11034">
            <v>0</v>
          </cell>
        </row>
        <row r="11035">
          <cell r="A11035">
            <v>0</v>
          </cell>
          <cell r="B11035">
            <v>0</v>
          </cell>
        </row>
        <row r="11036">
          <cell r="A11036">
            <v>0</v>
          </cell>
          <cell r="B11036">
            <v>0</v>
          </cell>
        </row>
        <row r="11037">
          <cell r="A11037">
            <v>0</v>
          </cell>
          <cell r="B11037">
            <v>0</v>
          </cell>
        </row>
        <row r="11038">
          <cell r="A11038">
            <v>0</v>
          </cell>
          <cell r="B11038">
            <v>0</v>
          </cell>
        </row>
        <row r="11039">
          <cell r="A11039">
            <v>0</v>
          </cell>
          <cell r="B11039">
            <v>0</v>
          </cell>
        </row>
        <row r="11040">
          <cell r="A11040">
            <v>0</v>
          </cell>
          <cell r="B11040">
            <v>0</v>
          </cell>
        </row>
        <row r="11041">
          <cell r="A11041">
            <v>0</v>
          </cell>
          <cell r="B11041">
            <v>0</v>
          </cell>
        </row>
        <row r="11042">
          <cell r="A11042">
            <v>0</v>
          </cell>
          <cell r="B11042">
            <v>0</v>
          </cell>
        </row>
        <row r="11043">
          <cell r="A11043">
            <v>0</v>
          </cell>
          <cell r="B11043">
            <v>0</v>
          </cell>
        </row>
        <row r="11044">
          <cell r="A11044">
            <v>0</v>
          </cell>
          <cell r="B11044">
            <v>0</v>
          </cell>
        </row>
        <row r="11045">
          <cell r="A11045">
            <v>0</v>
          </cell>
          <cell r="B11045">
            <v>0</v>
          </cell>
        </row>
        <row r="11046">
          <cell r="A11046">
            <v>0</v>
          </cell>
          <cell r="B11046">
            <v>0</v>
          </cell>
        </row>
        <row r="11047">
          <cell r="A11047">
            <v>0</v>
          </cell>
          <cell r="B11047">
            <v>0</v>
          </cell>
        </row>
        <row r="11048">
          <cell r="A11048">
            <v>0</v>
          </cell>
          <cell r="B11048">
            <v>0</v>
          </cell>
        </row>
        <row r="11049">
          <cell r="A11049">
            <v>0</v>
          </cell>
          <cell r="B11049">
            <v>0</v>
          </cell>
        </row>
        <row r="11050">
          <cell r="A11050">
            <v>0</v>
          </cell>
          <cell r="B11050">
            <v>0</v>
          </cell>
        </row>
        <row r="11051">
          <cell r="A11051">
            <v>0</v>
          </cell>
          <cell r="B11051">
            <v>0</v>
          </cell>
        </row>
        <row r="11052">
          <cell r="A11052">
            <v>0</v>
          </cell>
          <cell r="B11052">
            <v>0</v>
          </cell>
        </row>
        <row r="11053">
          <cell r="A11053">
            <v>0</v>
          </cell>
          <cell r="B11053">
            <v>0</v>
          </cell>
        </row>
        <row r="11054">
          <cell r="A11054">
            <v>0</v>
          </cell>
          <cell r="B11054">
            <v>0</v>
          </cell>
        </row>
        <row r="11055">
          <cell r="A11055">
            <v>0</v>
          </cell>
          <cell r="B11055">
            <v>0</v>
          </cell>
        </row>
        <row r="11056">
          <cell r="A11056">
            <v>0</v>
          </cell>
          <cell r="B11056">
            <v>0</v>
          </cell>
        </row>
        <row r="11057">
          <cell r="A11057">
            <v>0</v>
          </cell>
          <cell r="B11057">
            <v>0</v>
          </cell>
        </row>
        <row r="11058">
          <cell r="A11058">
            <v>0</v>
          </cell>
          <cell r="B11058">
            <v>0</v>
          </cell>
        </row>
        <row r="11059">
          <cell r="A11059">
            <v>0</v>
          </cell>
          <cell r="B11059">
            <v>0</v>
          </cell>
        </row>
        <row r="11060">
          <cell r="A11060">
            <v>0</v>
          </cell>
          <cell r="B11060">
            <v>0</v>
          </cell>
        </row>
        <row r="11061">
          <cell r="A11061">
            <v>0</v>
          </cell>
          <cell r="B11061">
            <v>0</v>
          </cell>
        </row>
        <row r="11062">
          <cell r="A11062">
            <v>0</v>
          </cell>
          <cell r="B11062">
            <v>0</v>
          </cell>
        </row>
        <row r="11063">
          <cell r="A11063">
            <v>0</v>
          </cell>
          <cell r="B11063">
            <v>0</v>
          </cell>
        </row>
        <row r="11064">
          <cell r="A11064">
            <v>0</v>
          </cell>
          <cell r="B11064">
            <v>0</v>
          </cell>
        </row>
        <row r="11065">
          <cell r="A11065">
            <v>0</v>
          </cell>
          <cell r="B11065">
            <v>0</v>
          </cell>
        </row>
        <row r="11066">
          <cell r="A11066">
            <v>0</v>
          </cell>
          <cell r="B11066">
            <v>0</v>
          </cell>
        </row>
        <row r="11067">
          <cell r="A11067">
            <v>0</v>
          </cell>
          <cell r="B11067">
            <v>0</v>
          </cell>
        </row>
        <row r="11068">
          <cell r="A11068">
            <v>0</v>
          </cell>
          <cell r="B11068">
            <v>0</v>
          </cell>
        </row>
        <row r="11069">
          <cell r="A11069">
            <v>0</v>
          </cell>
          <cell r="B11069">
            <v>0</v>
          </cell>
        </row>
        <row r="11070">
          <cell r="A11070">
            <v>0</v>
          </cell>
          <cell r="B11070">
            <v>0</v>
          </cell>
        </row>
        <row r="11071">
          <cell r="A11071">
            <v>0</v>
          </cell>
          <cell r="B11071">
            <v>0</v>
          </cell>
        </row>
        <row r="11072">
          <cell r="A11072">
            <v>0</v>
          </cell>
          <cell r="B11072">
            <v>0</v>
          </cell>
        </row>
        <row r="11073">
          <cell r="A11073">
            <v>0</v>
          </cell>
          <cell r="B11073">
            <v>0</v>
          </cell>
        </row>
        <row r="11074">
          <cell r="A11074">
            <v>0</v>
          </cell>
          <cell r="B11074">
            <v>0</v>
          </cell>
        </row>
        <row r="11075">
          <cell r="A11075">
            <v>0</v>
          </cell>
          <cell r="B11075">
            <v>0</v>
          </cell>
        </row>
        <row r="11076">
          <cell r="A11076">
            <v>0</v>
          </cell>
          <cell r="B11076">
            <v>0</v>
          </cell>
        </row>
        <row r="11077">
          <cell r="A11077">
            <v>0</v>
          </cell>
          <cell r="B11077">
            <v>0</v>
          </cell>
        </row>
        <row r="11078">
          <cell r="A11078">
            <v>0</v>
          </cell>
          <cell r="B11078">
            <v>0</v>
          </cell>
        </row>
        <row r="11079">
          <cell r="A11079">
            <v>0</v>
          </cell>
          <cell r="B11079">
            <v>0</v>
          </cell>
        </row>
        <row r="11080">
          <cell r="A11080">
            <v>0</v>
          </cell>
          <cell r="B11080">
            <v>0</v>
          </cell>
        </row>
        <row r="11081">
          <cell r="A11081">
            <v>0</v>
          </cell>
          <cell r="B11081">
            <v>0</v>
          </cell>
        </row>
        <row r="11082">
          <cell r="A11082">
            <v>0</v>
          </cell>
          <cell r="B11082">
            <v>0</v>
          </cell>
        </row>
        <row r="11083">
          <cell r="A11083">
            <v>0</v>
          </cell>
          <cell r="B11083">
            <v>0</v>
          </cell>
        </row>
        <row r="11084">
          <cell r="A11084">
            <v>0</v>
          </cell>
          <cell r="B11084">
            <v>0</v>
          </cell>
        </row>
        <row r="11085">
          <cell r="A11085">
            <v>0</v>
          </cell>
          <cell r="B11085">
            <v>0</v>
          </cell>
        </row>
        <row r="11086">
          <cell r="A11086">
            <v>0</v>
          </cell>
          <cell r="B11086">
            <v>0</v>
          </cell>
        </row>
        <row r="11087">
          <cell r="A11087">
            <v>0</v>
          </cell>
          <cell r="B11087">
            <v>0</v>
          </cell>
        </row>
        <row r="11088">
          <cell r="A11088">
            <v>0</v>
          </cell>
          <cell r="B11088">
            <v>0</v>
          </cell>
        </row>
        <row r="11089">
          <cell r="A11089">
            <v>0</v>
          </cell>
          <cell r="B11089">
            <v>0</v>
          </cell>
        </row>
        <row r="11090">
          <cell r="A11090">
            <v>0</v>
          </cell>
          <cell r="B11090">
            <v>0</v>
          </cell>
        </row>
        <row r="11091">
          <cell r="A11091">
            <v>0</v>
          </cell>
          <cell r="B11091">
            <v>0</v>
          </cell>
        </row>
        <row r="11092">
          <cell r="A11092">
            <v>0</v>
          </cell>
          <cell r="B11092">
            <v>0</v>
          </cell>
        </row>
        <row r="11093">
          <cell r="A11093">
            <v>0</v>
          </cell>
          <cell r="B11093">
            <v>0</v>
          </cell>
        </row>
        <row r="11094">
          <cell r="A11094">
            <v>0</v>
          </cell>
          <cell r="B11094">
            <v>0</v>
          </cell>
        </row>
        <row r="11095">
          <cell r="A11095">
            <v>0</v>
          </cell>
          <cell r="B11095">
            <v>0</v>
          </cell>
        </row>
        <row r="11096">
          <cell r="A11096">
            <v>0</v>
          </cell>
          <cell r="B11096">
            <v>0</v>
          </cell>
        </row>
        <row r="11097">
          <cell r="A11097">
            <v>0</v>
          </cell>
          <cell r="B11097">
            <v>0</v>
          </cell>
        </row>
        <row r="11098">
          <cell r="A11098">
            <v>0</v>
          </cell>
          <cell r="B11098">
            <v>0</v>
          </cell>
        </row>
        <row r="11099">
          <cell r="A11099">
            <v>0</v>
          </cell>
          <cell r="B11099">
            <v>0</v>
          </cell>
        </row>
        <row r="11100">
          <cell r="A11100">
            <v>0</v>
          </cell>
          <cell r="B11100">
            <v>0</v>
          </cell>
        </row>
        <row r="11101">
          <cell r="A11101">
            <v>0</v>
          </cell>
          <cell r="B11101">
            <v>0</v>
          </cell>
        </row>
        <row r="11102">
          <cell r="A11102">
            <v>0</v>
          </cell>
          <cell r="B11102">
            <v>0</v>
          </cell>
        </row>
        <row r="11103">
          <cell r="A11103">
            <v>0</v>
          </cell>
          <cell r="B11103">
            <v>0</v>
          </cell>
        </row>
        <row r="11104">
          <cell r="A11104">
            <v>0</v>
          </cell>
          <cell r="B11104">
            <v>0</v>
          </cell>
        </row>
        <row r="11105">
          <cell r="A11105">
            <v>0</v>
          </cell>
          <cell r="B11105">
            <v>0</v>
          </cell>
        </row>
        <row r="11106">
          <cell r="A11106">
            <v>0</v>
          </cell>
          <cell r="B11106">
            <v>0</v>
          </cell>
        </row>
        <row r="11107">
          <cell r="A11107">
            <v>0</v>
          </cell>
          <cell r="B11107">
            <v>0</v>
          </cell>
        </row>
        <row r="11108">
          <cell r="A11108">
            <v>0</v>
          </cell>
          <cell r="B11108">
            <v>0</v>
          </cell>
        </row>
        <row r="11109">
          <cell r="A11109">
            <v>0</v>
          </cell>
          <cell r="B11109">
            <v>0</v>
          </cell>
        </row>
        <row r="11110">
          <cell r="A11110">
            <v>0</v>
          </cell>
          <cell r="B11110">
            <v>0</v>
          </cell>
        </row>
        <row r="11111">
          <cell r="A11111">
            <v>0</v>
          </cell>
          <cell r="B11111">
            <v>0</v>
          </cell>
        </row>
        <row r="11112">
          <cell r="A11112">
            <v>0</v>
          </cell>
          <cell r="B11112">
            <v>0</v>
          </cell>
        </row>
        <row r="11113">
          <cell r="A11113">
            <v>0</v>
          </cell>
          <cell r="B11113">
            <v>0</v>
          </cell>
        </row>
        <row r="11114">
          <cell r="A11114">
            <v>0</v>
          </cell>
          <cell r="B11114">
            <v>0</v>
          </cell>
        </row>
        <row r="11115">
          <cell r="A11115">
            <v>0</v>
          </cell>
          <cell r="B11115">
            <v>0</v>
          </cell>
        </row>
        <row r="11116">
          <cell r="A11116">
            <v>0</v>
          </cell>
          <cell r="B11116">
            <v>0</v>
          </cell>
        </row>
        <row r="11117">
          <cell r="A11117">
            <v>0</v>
          </cell>
          <cell r="B11117">
            <v>0</v>
          </cell>
        </row>
        <row r="11118">
          <cell r="A11118">
            <v>0</v>
          </cell>
          <cell r="B11118">
            <v>0</v>
          </cell>
        </row>
        <row r="11119">
          <cell r="A11119">
            <v>0</v>
          </cell>
          <cell r="B11119">
            <v>0</v>
          </cell>
        </row>
        <row r="11120">
          <cell r="A11120">
            <v>0</v>
          </cell>
          <cell r="B11120">
            <v>0</v>
          </cell>
        </row>
        <row r="11121">
          <cell r="A11121">
            <v>0</v>
          </cell>
          <cell r="B11121">
            <v>0</v>
          </cell>
        </row>
        <row r="11122">
          <cell r="A11122">
            <v>0</v>
          </cell>
          <cell r="B11122">
            <v>0</v>
          </cell>
        </row>
        <row r="11123">
          <cell r="A11123">
            <v>0</v>
          </cell>
          <cell r="B11123">
            <v>0</v>
          </cell>
        </row>
        <row r="11124">
          <cell r="A11124">
            <v>0</v>
          </cell>
          <cell r="B11124">
            <v>0</v>
          </cell>
        </row>
        <row r="11125">
          <cell r="A11125">
            <v>0</v>
          </cell>
          <cell r="B11125">
            <v>0</v>
          </cell>
        </row>
        <row r="11126">
          <cell r="A11126">
            <v>0</v>
          </cell>
          <cell r="B11126">
            <v>0</v>
          </cell>
        </row>
        <row r="11127">
          <cell r="A11127">
            <v>0</v>
          </cell>
          <cell r="B11127">
            <v>0</v>
          </cell>
        </row>
        <row r="11128">
          <cell r="A11128">
            <v>0</v>
          </cell>
          <cell r="B11128">
            <v>0</v>
          </cell>
        </row>
        <row r="11129">
          <cell r="A11129">
            <v>0</v>
          </cell>
          <cell r="B11129">
            <v>0</v>
          </cell>
        </row>
        <row r="11130">
          <cell r="A11130">
            <v>0</v>
          </cell>
          <cell r="B11130">
            <v>0</v>
          </cell>
        </row>
        <row r="11131">
          <cell r="A11131">
            <v>0</v>
          </cell>
          <cell r="B11131">
            <v>0</v>
          </cell>
        </row>
        <row r="11132">
          <cell r="A11132">
            <v>0</v>
          </cell>
          <cell r="B11132">
            <v>0</v>
          </cell>
        </row>
        <row r="11133">
          <cell r="A11133">
            <v>0</v>
          </cell>
          <cell r="B11133">
            <v>0</v>
          </cell>
        </row>
        <row r="11134">
          <cell r="A11134">
            <v>0</v>
          </cell>
          <cell r="B11134">
            <v>0</v>
          </cell>
        </row>
        <row r="11135">
          <cell r="A11135">
            <v>0</v>
          </cell>
          <cell r="B11135">
            <v>0</v>
          </cell>
        </row>
        <row r="11136">
          <cell r="A11136">
            <v>0</v>
          </cell>
          <cell r="B11136">
            <v>0</v>
          </cell>
        </row>
        <row r="11137">
          <cell r="A11137">
            <v>0</v>
          </cell>
          <cell r="B11137">
            <v>0</v>
          </cell>
        </row>
        <row r="11138">
          <cell r="A11138">
            <v>0</v>
          </cell>
          <cell r="B11138">
            <v>0</v>
          </cell>
        </row>
        <row r="11139">
          <cell r="A11139">
            <v>0</v>
          </cell>
          <cell r="B11139">
            <v>0</v>
          </cell>
        </row>
        <row r="11140">
          <cell r="A11140">
            <v>0</v>
          </cell>
          <cell r="B11140">
            <v>0</v>
          </cell>
        </row>
        <row r="11141">
          <cell r="A11141">
            <v>0</v>
          </cell>
          <cell r="B11141">
            <v>0</v>
          </cell>
        </row>
        <row r="11142">
          <cell r="A11142">
            <v>0</v>
          </cell>
          <cell r="B11142">
            <v>0</v>
          </cell>
        </row>
        <row r="11143">
          <cell r="A11143">
            <v>0</v>
          </cell>
          <cell r="B11143">
            <v>0</v>
          </cell>
        </row>
        <row r="11144">
          <cell r="A11144">
            <v>0</v>
          </cell>
          <cell r="B11144">
            <v>0</v>
          </cell>
        </row>
        <row r="11145">
          <cell r="A11145">
            <v>0</v>
          </cell>
          <cell r="B11145">
            <v>0</v>
          </cell>
        </row>
        <row r="11146">
          <cell r="A11146">
            <v>0</v>
          </cell>
          <cell r="B11146">
            <v>0</v>
          </cell>
        </row>
        <row r="11147">
          <cell r="A11147">
            <v>0</v>
          </cell>
          <cell r="B11147">
            <v>0</v>
          </cell>
        </row>
        <row r="11148">
          <cell r="A11148">
            <v>0</v>
          </cell>
          <cell r="B11148">
            <v>0</v>
          </cell>
        </row>
        <row r="11149">
          <cell r="A11149">
            <v>0</v>
          </cell>
          <cell r="B11149">
            <v>0</v>
          </cell>
        </row>
        <row r="11150">
          <cell r="A11150">
            <v>0</v>
          </cell>
          <cell r="B11150">
            <v>0</v>
          </cell>
        </row>
        <row r="11151">
          <cell r="A11151">
            <v>0</v>
          </cell>
          <cell r="B11151">
            <v>0</v>
          </cell>
        </row>
        <row r="11152">
          <cell r="A11152">
            <v>0</v>
          </cell>
          <cell r="B11152">
            <v>0</v>
          </cell>
        </row>
        <row r="11153">
          <cell r="A11153">
            <v>0</v>
          </cell>
          <cell r="B11153">
            <v>0</v>
          </cell>
        </row>
        <row r="11154">
          <cell r="A11154">
            <v>0</v>
          </cell>
          <cell r="B11154">
            <v>0</v>
          </cell>
        </row>
        <row r="11155">
          <cell r="A11155">
            <v>0</v>
          </cell>
          <cell r="B11155">
            <v>0</v>
          </cell>
        </row>
        <row r="11156">
          <cell r="A11156">
            <v>0</v>
          </cell>
          <cell r="B11156">
            <v>0</v>
          </cell>
        </row>
        <row r="11157">
          <cell r="A11157">
            <v>0</v>
          </cell>
          <cell r="B11157">
            <v>0</v>
          </cell>
        </row>
        <row r="11158">
          <cell r="A11158">
            <v>0</v>
          </cell>
          <cell r="B11158">
            <v>0</v>
          </cell>
        </row>
        <row r="11159">
          <cell r="A11159">
            <v>0</v>
          </cell>
          <cell r="B11159">
            <v>0</v>
          </cell>
        </row>
        <row r="11160">
          <cell r="A11160">
            <v>0</v>
          </cell>
          <cell r="B11160">
            <v>0</v>
          </cell>
        </row>
        <row r="11161">
          <cell r="A11161">
            <v>0</v>
          </cell>
          <cell r="B11161">
            <v>0</v>
          </cell>
        </row>
        <row r="11162">
          <cell r="A11162">
            <v>0</v>
          </cell>
          <cell r="B11162">
            <v>0</v>
          </cell>
        </row>
        <row r="11163">
          <cell r="A11163">
            <v>0</v>
          </cell>
          <cell r="B11163">
            <v>0</v>
          </cell>
        </row>
        <row r="11164">
          <cell r="A11164">
            <v>0</v>
          </cell>
          <cell r="B11164">
            <v>0</v>
          </cell>
        </row>
        <row r="11165">
          <cell r="A11165">
            <v>0</v>
          </cell>
          <cell r="B11165">
            <v>0</v>
          </cell>
        </row>
        <row r="11166">
          <cell r="A11166">
            <v>0</v>
          </cell>
          <cell r="B11166">
            <v>0</v>
          </cell>
        </row>
        <row r="11167">
          <cell r="A11167">
            <v>0</v>
          </cell>
          <cell r="B11167">
            <v>0</v>
          </cell>
        </row>
        <row r="11168">
          <cell r="A11168">
            <v>0</v>
          </cell>
          <cell r="B11168">
            <v>0</v>
          </cell>
        </row>
        <row r="11169">
          <cell r="A11169">
            <v>0</v>
          </cell>
          <cell r="B11169">
            <v>0</v>
          </cell>
        </row>
        <row r="11170">
          <cell r="A11170">
            <v>0</v>
          </cell>
          <cell r="B11170">
            <v>0</v>
          </cell>
        </row>
        <row r="11171">
          <cell r="A11171">
            <v>0</v>
          </cell>
          <cell r="B11171">
            <v>0</v>
          </cell>
        </row>
        <row r="11172">
          <cell r="A11172">
            <v>0</v>
          </cell>
          <cell r="B11172">
            <v>0</v>
          </cell>
        </row>
        <row r="11173">
          <cell r="A11173">
            <v>0</v>
          </cell>
          <cell r="B11173">
            <v>0</v>
          </cell>
        </row>
        <row r="11174">
          <cell r="A11174">
            <v>0</v>
          </cell>
          <cell r="B11174">
            <v>0</v>
          </cell>
        </row>
        <row r="11175">
          <cell r="A11175">
            <v>0</v>
          </cell>
          <cell r="B11175">
            <v>0</v>
          </cell>
        </row>
        <row r="11176">
          <cell r="A11176">
            <v>0</v>
          </cell>
          <cell r="B11176">
            <v>0</v>
          </cell>
        </row>
        <row r="11177">
          <cell r="A11177">
            <v>0</v>
          </cell>
          <cell r="B11177">
            <v>0</v>
          </cell>
        </row>
        <row r="11178">
          <cell r="A11178">
            <v>0</v>
          </cell>
          <cell r="B11178">
            <v>0</v>
          </cell>
        </row>
        <row r="11179">
          <cell r="A11179">
            <v>0</v>
          </cell>
          <cell r="B11179">
            <v>0</v>
          </cell>
        </row>
        <row r="11180">
          <cell r="A11180">
            <v>0</v>
          </cell>
          <cell r="B11180">
            <v>0</v>
          </cell>
        </row>
        <row r="11181">
          <cell r="A11181">
            <v>0</v>
          </cell>
          <cell r="B11181">
            <v>0</v>
          </cell>
        </row>
        <row r="11182">
          <cell r="A11182">
            <v>0</v>
          </cell>
          <cell r="B11182">
            <v>0</v>
          </cell>
        </row>
        <row r="11183">
          <cell r="A11183">
            <v>0</v>
          </cell>
          <cell r="B11183">
            <v>0</v>
          </cell>
        </row>
        <row r="11184">
          <cell r="A11184">
            <v>0</v>
          </cell>
          <cell r="B11184">
            <v>0</v>
          </cell>
        </row>
        <row r="11185">
          <cell r="A11185">
            <v>0</v>
          </cell>
          <cell r="B11185">
            <v>0</v>
          </cell>
        </row>
        <row r="11186">
          <cell r="A11186">
            <v>0</v>
          </cell>
          <cell r="B11186">
            <v>0</v>
          </cell>
        </row>
        <row r="11187">
          <cell r="A11187">
            <v>0</v>
          </cell>
          <cell r="B11187">
            <v>0</v>
          </cell>
        </row>
        <row r="11188">
          <cell r="A11188">
            <v>0</v>
          </cell>
          <cell r="B11188">
            <v>0</v>
          </cell>
        </row>
        <row r="11189">
          <cell r="A11189">
            <v>0</v>
          </cell>
          <cell r="B11189">
            <v>0</v>
          </cell>
        </row>
        <row r="11190">
          <cell r="A11190">
            <v>0</v>
          </cell>
          <cell r="B11190">
            <v>0</v>
          </cell>
        </row>
        <row r="11191">
          <cell r="A11191">
            <v>0</v>
          </cell>
          <cell r="B11191">
            <v>0</v>
          </cell>
        </row>
        <row r="11192">
          <cell r="A11192">
            <v>0</v>
          </cell>
          <cell r="B11192">
            <v>0</v>
          </cell>
        </row>
        <row r="11193">
          <cell r="A11193">
            <v>0</v>
          </cell>
          <cell r="B11193">
            <v>0</v>
          </cell>
        </row>
        <row r="11194">
          <cell r="A11194">
            <v>0</v>
          </cell>
          <cell r="B11194">
            <v>0</v>
          </cell>
        </row>
        <row r="11195">
          <cell r="A11195">
            <v>0</v>
          </cell>
          <cell r="B11195">
            <v>0</v>
          </cell>
        </row>
        <row r="11196">
          <cell r="A11196">
            <v>0</v>
          </cell>
          <cell r="B11196">
            <v>0</v>
          </cell>
        </row>
        <row r="11197">
          <cell r="A11197">
            <v>0</v>
          </cell>
          <cell r="B11197">
            <v>0</v>
          </cell>
        </row>
        <row r="11198">
          <cell r="A11198">
            <v>0</v>
          </cell>
          <cell r="B11198">
            <v>0</v>
          </cell>
        </row>
        <row r="11199">
          <cell r="A11199">
            <v>0</v>
          </cell>
          <cell r="B11199">
            <v>0</v>
          </cell>
        </row>
        <row r="11200">
          <cell r="A11200">
            <v>0</v>
          </cell>
          <cell r="B11200">
            <v>0</v>
          </cell>
        </row>
        <row r="11201">
          <cell r="A11201">
            <v>0</v>
          </cell>
          <cell r="B11201">
            <v>0</v>
          </cell>
        </row>
        <row r="11202">
          <cell r="A11202">
            <v>0</v>
          </cell>
          <cell r="B11202">
            <v>0</v>
          </cell>
        </row>
        <row r="11203">
          <cell r="A11203">
            <v>0</v>
          </cell>
          <cell r="B11203">
            <v>0</v>
          </cell>
        </row>
        <row r="11204">
          <cell r="A11204">
            <v>0</v>
          </cell>
          <cell r="B11204">
            <v>0</v>
          </cell>
        </row>
        <row r="11205">
          <cell r="A11205">
            <v>0</v>
          </cell>
          <cell r="B11205">
            <v>0</v>
          </cell>
        </row>
        <row r="11206">
          <cell r="A11206">
            <v>0</v>
          </cell>
          <cell r="B11206">
            <v>0</v>
          </cell>
        </row>
        <row r="11207">
          <cell r="A11207">
            <v>0</v>
          </cell>
          <cell r="B11207">
            <v>0</v>
          </cell>
        </row>
        <row r="11208">
          <cell r="A11208">
            <v>0</v>
          </cell>
          <cell r="B11208">
            <v>0</v>
          </cell>
        </row>
        <row r="11209">
          <cell r="A11209">
            <v>0</v>
          </cell>
          <cell r="B11209">
            <v>0</v>
          </cell>
        </row>
        <row r="11210">
          <cell r="A11210">
            <v>0</v>
          </cell>
          <cell r="B11210">
            <v>0</v>
          </cell>
        </row>
        <row r="11211">
          <cell r="A11211">
            <v>0</v>
          </cell>
          <cell r="B11211">
            <v>0</v>
          </cell>
        </row>
        <row r="11212">
          <cell r="A11212">
            <v>0</v>
          </cell>
          <cell r="B11212">
            <v>0</v>
          </cell>
        </row>
        <row r="11213">
          <cell r="A11213">
            <v>0</v>
          </cell>
          <cell r="B11213">
            <v>0</v>
          </cell>
        </row>
        <row r="11214">
          <cell r="A11214">
            <v>0</v>
          </cell>
          <cell r="B11214">
            <v>0</v>
          </cell>
        </row>
        <row r="11215">
          <cell r="A11215">
            <v>0</v>
          </cell>
          <cell r="B11215">
            <v>0</v>
          </cell>
        </row>
        <row r="11216">
          <cell r="A11216">
            <v>0</v>
          </cell>
          <cell r="B11216">
            <v>0</v>
          </cell>
        </row>
        <row r="11217">
          <cell r="A11217">
            <v>0</v>
          </cell>
          <cell r="B11217">
            <v>0</v>
          </cell>
        </row>
        <row r="11218">
          <cell r="A11218">
            <v>0</v>
          </cell>
          <cell r="B11218">
            <v>0</v>
          </cell>
        </row>
        <row r="11219">
          <cell r="A11219">
            <v>0</v>
          </cell>
          <cell r="B11219">
            <v>0</v>
          </cell>
        </row>
        <row r="11220">
          <cell r="A11220">
            <v>0</v>
          </cell>
          <cell r="B11220">
            <v>0</v>
          </cell>
        </row>
        <row r="11221">
          <cell r="A11221">
            <v>0</v>
          </cell>
          <cell r="B11221">
            <v>0</v>
          </cell>
        </row>
        <row r="11222">
          <cell r="A11222">
            <v>0</v>
          </cell>
          <cell r="B11222">
            <v>0</v>
          </cell>
        </row>
        <row r="11223">
          <cell r="A11223">
            <v>0</v>
          </cell>
          <cell r="B11223">
            <v>0</v>
          </cell>
        </row>
        <row r="11224">
          <cell r="A11224">
            <v>0</v>
          </cell>
          <cell r="B11224">
            <v>0</v>
          </cell>
        </row>
        <row r="11225">
          <cell r="A11225">
            <v>0</v>
          </cell>
          <cell r="B11225">
            <v>0</v>
          </cell>
        </row>
        <row r="11226">
          <cell r="A11226">
            <v>0</v>
          </cell>
          <cell r="B11226">
            <v>0</v>
          </cell>
        </row>
        <row r="11227">
          <cell r="A11227">
            <v>0</v>
          </cell>
          <cell r="B11227">
            <v>0</v>
          </cell>
        </row>
        <row r="11228">
          <cell r="A11228">
            <v>0</v>
          </cell>
          <cell r="B11228">
            <v>0</v>
          </cell>
        </row>
        <row r="11229">
          <cell r="A11229">
            <v>0</v>
          </cell>
          <cell r="B11229">
            <v>0</v>
          </cell>
        </row>
        <row r="11230">
          <cell r="A11230">
            <v>0</v>
          </cell>
          <cell r="B11230">
            <v>0</v>
          </cell>
        </row>
        <row r="11231">
          <cell r="A11231">
            <v>0</v>
          </cell>
          <cell r="B11231">
            <v>0</v>
          </cell>
        </row>
        <row r="11232">
          <cell r="A11232">
            <v>0</v>
          </cell>
          <cell r="B11232">
            <v>0</v>
          </cell>
        </row>
        <row r="11233">
          <cell r="A11233">
            <v>0</v>
          </cell>
          <cell r="B11233">
            <v>0</v>
          </cell>
        </row>
        <row r="11234">
          <cell r="A11234">
            <v>0</v>
          </cell>
          <cell r="B11234">
            <v>0</v>
          </cell>
        </row>
        <row r="11235">
          <cell r="A11235">
            <v>0</v>
          </cell>
          <cell r="B11235">
            <v>0</v>
          </cell>
        </row>
        <row r="11236">
          <cell r="A11236">
            <v>0</v>
          </cell>
          <cell r="B11236">
            <v>0</v>
          </cell>
        </row>
        <row r="11237">
          <cell r="A11237">
            <v>0</v>
          </cell>
          <cell r="B11237">
            <v>0</v>
          </cell>
        </row>
      </sheetData>
      <sheetData sheetId="1" refreshError="1"/>
      <sheetData sheetId="2" refreshError="1"/>
      <sheetData sheetId="3" refreshError="1"/>
      <sheetData sheetId="4" refreshError="1"/>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Контрагенты общ."/>
      <sheetName val="2012"/>
      <sheetName val="Пл.-Ф.2012"/>
      <sheetName val="2013"/>
      <sheetName val="Пл.-Ф.2013"/>
      <sheetName val="Реестр оплаты 2013"/>
      <sheetName val="2014"/>
      <sheetName val="Пл.-Ф.2014"/>
      <sheetName val="Реестр оплаты 2014"/>
      <sheetName val="2015"/>
      <sheetName val="Пл.-Ф.2015"/>
      <sheetName val="Списки"/>
      <sheetName val="справка по НПО Лавочкина"/>
      <sheetName val="Реестр оплаты 2015"/>
      <sheetName val="Сторонние (реестр опл.)"/>
      <sheetName val="Лист1"/>
    </sheetNames>
    <sheetDataSet>
      <sheetData sheetId="0">
        <row r="8">
          <cell r="D8" t="str">
            <v>(217-2100-2011)-5553/9-2012</v>
          </cell>
        </row>
      </sheetData>
      <sheetData sheetId="1" refreshError="1"/>
      <sheetData sheetId="2" refreshError="1"/>
      <sheetData sheetId="3" refreshError="1"/>
      <sheetData sheetId="4" refreshError="1"/>
      <sheetData sheetId="5">
        <row r="6">
          <cell r="C6" t="str">
            <v>ПО ЖРД-250-5554-2011 эт.  05</v>
          </cell>
        </row>
        <row r="9">
          <cell r="P9" t="str">
            <v>ИСС им. Решетнёва ОАО</v>
          </cell>
          <cell r="Q9" t="str">
            <v>СЧ ОКР "КТКиСБ-ИСС"</v>
          </cell>
          <cell r="S9" t="str">
            <v>(235-5556-2011)-5556/26-2012</v>
          </cell>
        </row>
        <row r="10">
          <cell r="P10" t="str">
            <v>ИГиЛ СО РАН</v>
          </cell>
          <cell r="Q10" t="str">
            <v>СЧ ОКР "АСиМО-Ц МРУ"</v>
          </cell>
          <cell r="S10" t="str">
            <v>Ц-2100/2012-21</v>
          </cell>
        </row>
        <row r="11">
          <cell r="P11" t="str">
            <v>НИИСМ МГТУ им. Н.Э. Баумана</v>
          </cell>
          <cell r="Q11" t="str">
            <v>СЧ ОКР "КТК иСБ-МГТУ"</v>
          </cell>
          <cell r="S11" t="str">
            <v>М1-122 Ц/(235-5556-2011)/11-2013</v>
          </cell>
        </row>
        <row r="12">
          <cell r="P12" t="str">
            <v>ФЦДТ СОЮЗ ФГУП</v>
          </cell>
          <cell r="Q12" t="str">
            <v>ОКР "Влияние"</v>
          </cell>
          <cell r="S12" t="str">
            <v>2932/ПО (248-5554-2011)-5554/62-2013</v>
          </cell>
        </row>
        <row r="13">
          <cell r="P13" t="str">
            <v>КБХА ОАО</v>
          </cell>
          <cell r="Q13" t="str">
            <v>ОКР "ЦИКЛИКА"</v>
          </cell>
          <cell r="S13" t="str">
            <v>6486 (250-5554-2011)-5554/26-2013</v>
          </cell>
        </row>
        <row r="14">
          <cell r="P14" t="str">
            <v>РАРАН ГУ</v>
          </cell>
          <cell r="Q14" t="str">
            <v>СЧ ОКР "МКС" (Надежность наука) ГУ РАРАН</v>
          </cell>
          <cell r="S14" t="str">
            <v>2013-07 (16-1313-2013)-5557/195-2013</v>
          </cell>
        </row>
        <row r="15">
          <cell r="P15" t="str">
            <v>РАРАН ГУ</v>
          </cell>
          <cell r="Q15" t="str">
            <v>СЧ ОКР "МКС" (Надежность наука) ГУ РАРАН</v>
          </cell>
          <cell r="S15" t="str">
            <v>2013-07 (16-1313-2013)-5557/195-2013</v>
          </cell>
        </row>
        <row r="16">
          <cell r="P16" t="str">
            <v>ИКИ РАН ФГУП</v>
          </cell>
          <cell r="Q16" t="str">
            <v>СЧ ОКР "КТК иСБ-ИКИ РАН"</v>
          </cell>
          <cell r="S16" t="str">
            <v>1484/(235-5556-2011)-5556/257-2013</v>
          </cell>
        </row>
        <row r="17">
          <cell r="P17" t="str">
            <v>ИТ ТЕСТ-ПРИБОР ЗАО</v>
          </cell>
          <cell r="Q17" t="str">
            <v>СЧ ОКР "КТКиСБ-Тест-Прибор"</v>
          </cell>
          <cell r="S17" t="str">
            <v>182/13Ц(235-5556-2011)/27-2013</v>
          </cell>
        </row>
        <row r="18">
          <cell r="P18" t="str">
            <v>ЦНИИСМ ОАО</v>
          </cell>
          <cell r="Q18" t="str">
            <v>НИР "Композит-2020"</v>
          </cell>
          <cell r="S18" t="str">
            <v>234(110-2000-5551)-140-2013</v>
          </cell>
        </row>
        <row r="19">
          <cell r="P19" t="str">
            <v>ЦНИИСМ ОАО</v>
          </cell>
          <cell r="Q19" t="str">
            <v>НИР "Композит-2020"</v>
          </cell>
          <cell r="S19" t="str">
            <v>234(110-2000-5551)-140-2013</v>
          </cell>
        </row>
        <row r="20">
          <cell r="P20" t="str">
            <v>ИГиЛ СО РАН</v>
          </cell>
          <cell r="Q20" t="str">
            <v>СЧ ОКР "АСиМО-Ц МРУ"</v>
          </cell>
          <cell r="S20" t="str">
            <v>Ц-2100/2012-21</v>
          </cell>
        </row>
        <row r="21">
          <cell r="P21" t="str">
            <v>Новатест ООО</v>
          </cell>
          <cell r="Q21" t="str">
            <v>СЧ ОКР "КТКиСБ-НТ"</v>
          </cell>
          <cell r="S21" t="str">
            <v>(235-5556-2011)-5556/244-2013</v>
          </cell>
        </row>
        <row r="22">
          <cell r="P22" t="str">
            <v>РАРАН ГУ</v>
          </cell>
          <cell r="Q22" t="str">
            <v>СЧ ОКР "МКС" (Надежность наука) ГУ РАРАН</v>
          </cell>
          <cell r="S22" t="str">
            <v>2013-07 (16-1313-2013)-5557/195-2013</v>
          </cell>
        </row>
        <row r="23">
          <cell r="P23" t="str">
            <v>ВИАМ ФГУП</v>
          </cell>
          <cell r="Q23" t="str">
            <v>СЧ ОКР "МКС" (Надежность наука)</v>
          </cell>
          <cell r="S23" t="str">
            <v>607-13-13/5554-4/13 (16-1313-2013)-5551/345-2013</v>
          </cell>
        </row>
        <row r="24">
          <cell r="P24" t="str">
            <v>ИТ ТЕСТ-ПРИБОР ЗАО</v>
          </cell>
          <cell r="Q24" t="str">
            <v>СЧ ОКР "КТКиСБ-Тест-Прибор"</v>
          </cell>
          <cell r="S24" t="str">
            <v>182/13Ц(235-5556-2011)/27-2013</v>
          </cell>
        </row>
        <row r="25">
          <cell r="P25" t="str">
            <v>НИИСМ МГТУ им.Н.Э.Баумана</v>
          </cell>
          <cell r="Q25" t="str">
            <v>СЧ ОКР "КТК иСБ-МГТУ"</v>
          </cell>
          <cell r="S25" t="str">
            <v>М1-122 Ц/(235-5556-2011)/11-2013</v>
          </cell>
        </row>
        <row r="26">
          <cell r="P26" t="str">
            <v>НИЦ РКТ АНО</v>
          </cell>
          <cell r="Q26" t="str">
            <v>СЧ НИР "Эксперимент"</v>
          </cell>
          <cell r="S26" t="str">
            <v xml:space="preserve">204/НИР-13 (110-2000-2012)-5557/340-2013 </v>
          </cell>
        </row>
        <row r="27">
          <cell r="P27" t="str">
            <v>ИСС им. Решетнёва ОАО</v>
          </cell>
          <cell r="Q27" t="str">
            <v>СЧ ОКР "КТКиСБ-ИСС"</v>
          </cell>
          <cell r="S27" t="str">
            <v>(235-5556-2011)-5556/26-2012</v>
          </cell>
        </row>
        <row r="28">
          <cell r="P28" t="str">
            <v>ИКИ РАН ФГУП</v>
          </cell>
          <cell r="Q28" t="str">
            <v>СЧ ОКР "КТК иСБ-ИКИ РАН"</v>
          </cell>
          <cell r="S28" t="str">
            <v>1484/(235-5556-2011)-5556/257-2013</v>
          </cell>
        </row>
        <row r="29">
          <cell r="P29" t="str">
            <v>РАРАН ГУ</v>
          </cell>
          <cell r="Q29" t="str">
            <v>СЧ ОКР "МКС" (Надежность наука) ГУ РАРАН</v>
          </cell>
          <cell r="S29" t="str">
            <v>2013-07 (16-1313-2013)-5557/195-2013</v>
          </cell>
        </row>
        <row r="30">
          <cell r="P30" t="str">
            <v>ИГиЛ СО РАН</v>
          </cell>
          <cell r="Q30" t="str">
            <v>СЧ ОКР "АСиМО-Ц МРУ"</v>
          </cell>
          <cell r="S30" t="str">
            <v>Ц (91-2107-2012)-5557/50-2013</v>
          </cell>
        </row>
        <row r="31">
          <cell r="P31" t="str">
            <v>Новатест ООО</v>
          </cell>
          <cell r="Q31" t="str">
            <v>СЧ ОКР "КТКиСБ-НТ"</v>
          </cell>
          <cell r="S31" t="str">
            <v>(235-5556-2011)-5556/244-2013</v>
          </cell>
        </row>
        <row r="32">
          <cell r="P32" t="str">
            <v>НПО им. Лавочкина ФГУП</v>
          </cell>
          <cell r="Q32" t="str">
            <v>СЧ ОКР "КТКиСБ-НПОЛ"</v>
          </cell>
          <cell r="S32" t="str">
            <v>80/0034-И-12 (235-5556-2011)-5556/111-2012</v>
          </cell>
        </row>
        <row r="33">
          <cell r="P33" t="str">
            <v>ЦНИИСМ ОАО</v>
          </cell>
          <cell r="Q33" t="str">
            <v>НИР "Композит-2020"</v>
          </cell>
          <cell r="S33" t="str">
            <v>234(110-2000-5551)-140-2013</v>
          </cell>
        </row>
        <row r="34">
          <cell r="P34" t="str">
            <v>ТД Тензо-М ООО</v>
          </cell>
          <cell r="Q34" t="str">
            <v>СЧ ОКР АСиМО-Ц-ТЕНЗО</v>
          </cell>
          <cell r="S34" t="str">
            <v>Ц (91-2107-2012)/44-2013</v>
          </cell>
        </row>
        <row r="35">
          <cell r="P35" t="str">
            <v>ТД Тензо-М ООО</v>
          </cell>
          <cell r="Q35" t="str">
            <v>СЧ ОКР АСиМО-Ц-ТЕНЗО</v>
          </cell>
          <cell r="S35" t="str">
            <v>Ц (91-2107-2012)/44-2013</v>
          </cell>
        </row>
        <row r="36">
          <cell r="P36" t="str">
            <v>ЦНИИСМ ОАО</v>
          </cell>
          <cell r="Q36" t="str">
            <v>НИР "Композит-2020"</v>
          </cell>
          <cell r="S36" t="str">
            <v>234(110-2000-5551)-140-2013</v>
          </cell>
        </row>
        <row r="37">
          <cell r="P37" t="str">
            <v>ТД Тензо-М ООО</v>
          </cell>
          <cell r="Q37" t="str">
            <v>СЧ ОКР АСиМО-Ц-ТЕНЗО</v>
          </cell>
          <cell r="S37" t="str">
            <v>Ц (91-2107-2012)/44-2013</v>
          </cell>
        </row>
        <row r="38">
          <cell r="P38">
            <v>0</v>
          </cell>
          <cell r="Q38">
            <v>0</v>
          </cell>
          <cell r="S38">
            <v>0</v>
          </cell>
        </row>
        <row r="39">
          <cell r="P39">
            <v>0</v>
          </cell>
          <cell r="Q39">
            <v>0</v>
          </cell>
          <cell r="S39">
            <v>0</v>
          </cell>
        </row>
        <row r="40">
          <cell r="P40">
            <v>0</v>
          </cell>
          <cell r="Q40">
            <v>0</v>
          </cell>
          <cell r="S40">
            <v>0</v>
          </cell>
        </row>
        <row r="41">
          <cell r="P41">
            <v>0</v>
          </cell>
          <cell r="Q41">
            <v>0</v>
          </cell>
          <cell r="S41">
            <v>0</v>
          </cell>
        </row>
        <row r="42">
          <cell r="P42">
            <v>0</v>
          </cell>
          <cell r="Q42">
            <v>0</v>
          </cell>
          <cell r="S42">
            <v>0</v>
          </cell>
        </row>
        <row r="43">
          <cell r="P43">
            <v>0</v>
          </cell>
          <cell r="Q43">
            <v>0</v>
          </cell>
          <cell r="S43">
            <v>0</v>
          </cell>
        </row>
        <row r="44">
          <cell r="P44">
            <v>0</v>
          </cell>
          <cell r="Q44">
            <v>0</v>
          </cell>
          <cell r="S44">
            <v>0</v>
          </cell>
        </row>
        <row r="45">
          <cell r="P45">
            <v>0</v>
          </cell>
          <cell r="Q45">
            <v>0</v>
          </cell>
          <cell r="S45">
            <v>0</v>
          </cell>
        </row>
        <row r="46">
          <cell r="P46">
            <v>0</v>
          </cell>
          <cell r="Q46">
            <v>0</v>
          </cell>
          <cell r="S46">
            <v>0</v>
          </cell>
        </row>
        <row r="47">
          <cell r="P47">
            <v>0</v>
          </cell>
          <cell r="Q47">
            <v>0</v>
          </cell>
          <cell r="S47">
            <v>0</v>
          </cell>
        </row>
        <row r="48">
          <cell r="P48">
            <v>0</v>
          </cell>
          <cell r="Q48">
            <v>0</v>
          </cell>
          <cell r="S48">
            <v>0</v>
          </cell>
        </row>
        <row r="49">
          <cell r="P49">
            <v>0</v>
          </cell>
          <cell r="Q49">
            <v>0</v>
          </cell>
          <cell r="S49">
            <v>0</v>
          </cell>
        </row>
        <row r="50">
          <cell r="P50">
            <v>0</v>
          </cell>
          <cell r="Q50">
            <v>0</v>
          </cell>
          <cell r="S50">
            <v>0</v>
          </cell>
        </row>
        <row r="51">
          <cell r="P51">
            <v>0</v>
          </cell>
          <cell r="Q51">
            <v>0</v>
          </cell>
          <cell r="S51">
            <v>0</v>
          </cell>
        </row>
        <row r="52">
          <cell r="P52">
            <v>0</v>
          </cell>
          <cell r="Q52">
            <v>0</v>
          </cell>
          <cell r="S52">
            <v>0</v>
          </cell>
        </row>
        <row r="53">
          <cell r="P53">
            <v>0</v>
          </cell>
          <cell r="Q53">
            <v>0</v>
          </cell>
          <cell r="S53">
            <v>0</v>
          </cell>
        </row>
        <row r="54">
          <cell r="P54">
            <v>0</v>
          </cell>
          <cell r="Q54">
            <v>0</v>
          </cell>
          <cell r="S54">
            <v>0</v>
          </cell>
        </row>
        <row r="55">
          <cell r="P55">
            <v>0</v>
          </cell>
          <cell r="Q55">
            <v>0</v>
          </cell>
          <cell r="S55">
            <v>0</v>
          </cell>
        </row>
        <row r="56">
          <cell r="P56">
            <v>0</v>
          </cell>
          <cell r="Q56">
            <v>0</v>
          </cell>
          <cell r="S56">
            <v>0</v>
          </cell>
        </row>
        <row r="57">
          <cell r="P57">
            <v>0</v>
          </cell>
          <cell r="Q57">
            <v>0</v>
          </cell>
          <cell r="S57">
            <v>0</v>
          </cell>
        </row>
        <row r="58">
          <cell r="P58">
            <v>0</v>
          </cell>
          <cell r="Q58">
            <v>0</v>
          </cell>
          <cell r="S58">
            <v>0</v>
          </cell>
        </row>
        <row r="59">
          <cell r="P59">
            <v>0</v>
          </cell>
          <cell r="Q59">
            <v>0</v>
          </cell>
          <cell r="S59">
            <v>0</v>
          </cell>
        </row>
        <row r="60">
          <cell r="P60">
            <v>0</v>
          </cell>
          <cell r="Q60">
            <v>0</v>
          </cell>
          <cell r="S60">
            <v>0</v>
          </cell>
        </row>
        <row r="61">
          <cell r="P61">
            <v>0</v>
          </cell>
          <cell r="Q61">
            <v>0</v>
          </cell>
          <cell r="S61">
            <v>0</v>
          </cell>
        </row>
        <row r="62">
          <cell r="P62">
            <v>0</v>
          </cell>
          <cell r="Q62">
            <v>0</v>
          </cell>
          <cell r="S62">
            <v>0</v>
          </cell>
        </row>
        <row r="63">
          <cell r="P63">
            <v>0</v>
          </cell>
          <cell r="Q63">
            <v>0</v>
          </cell>
          <cell r="S63">
            <v>0</v>
          </cell>
        </row>
        <row r="64">
          <cell r="P64">
            <v>0</v>
          </cell>
          <cell r="Q64">
            <v>0</v>
          </cell>
          <cell r="S64">
            <v>0</v>
          </cell>
        </row>
        <row r="65">
          <cell r="P65">
            <v>0</v>
          </cell>
          <cell r="Q65">
            <v>0</v>
          </cell>
          <cell r="S65">
            <v>0</v>
          </cell>
        </row>
        <row r="66">
          <cell r="P66">
            <v>0</v>
          </cell>
          <cell r="Q66">
            <v>0</v>
          </cell>
          <cell r="S66">
            <v>0</v>
          </cell>
        </row>
        <row r="67">
          <cell r="P67">
            <v>0</v>
          </cell>
          <cell r="Q67">
            <v>0</v>
          </cell>
          <cell r="S67">
            <v>0</v>
          </cell>
        </row>
        <row r="68">
          <cell r="P68">
            <v>0</v>
          </cell>
          <cell r="Q68">
            <v>0</v>
          </cell>
          <cell r="S68">
            <v>0</v>
          </cell>
        </row>
        <row r="69">
          <cell r="P69">
            <v>0</v>
          </cell>
          <cell r="Q69">
            <v>0</v>
          </cell>
          <cell r="S69">
            <v>0</v>
          </cell>
        </row>
        <row r="70">
          <cell r="P70">
            <v>0</v>
          </cell>
          <cell r="Q70">
            <v>0</v>
          </cell>
          <cell r="S70">
            <v>0</v>
          </cell>
        </row>
        <row r="71">
          <cell r="P71">
            <v>0</v>
          </cell>
          <cell r="Q71">
            <v>0</v>
          </cell>
          <cell r="S71">
            <v>0</v>
          </cell>
        </row>
        <row r="72">
          <cell r="P72">
            <v>0</v>
          </cell>
          <cell r="Q72">
            <v>0</v>
          </cell>
          <cell r="S72">
            <v>0</v>
          </cell>
        </row>
        <row r="73">
          <cell r="P73">
            <v>0</v>
          </cell>
          <cell r="Q73">
            <v>0</v>
          </cell>
          <cell r="S73">
            <v>0</v>
          </cell>
        </row>
        <row r="74">
          <cell r="P74">
            <v>0</v>
          </cell>
          <cell r="Q74">
            <v>0</v>
          </cell>
          <cell r="S74">
            <v>0</v>
          </cell>
        </row>
        <row r="75">
          <cell r="P75">
            <v>0</v>
          </cell>
          <cell r="Q75">
            <v>0</v>
          </cell>
          <cell r="S75">
            <v>0</v>
          </cell>
        </row>
        <row r="76">
          <cell r="P76">
            <v>0</v>
          </cell>
          <cell r="Q76">
            <v>0</v>
          </cell>
          <cell r="S76">
            <v>0</v>
          </cell>
        </row>
        <row r="77">
          <cell r="P77">
            <v>0</v>
          </cell>
          <cell r="Q77">
            <v>0</v>
          </cell>
          <cell r="S77">
            <v>0</v>
          </cell>
        </row>
        <row r="78">
          <cell r="P78">
            <v>0</v>
          </cell>
          <cell r="Q78">
            <v>0</v>
          </cell>
          <cell r="S78">
            <v>0</v>
          </cell>
        </row>
        <row r="79">
          <cell r="P79">
            <v>0</v>
          </cell>
          <cell r="Q79">
            <v>0</v>
          </cell>
          <cell r="S79">
            <v>0</v>
          </cell>
        </row>
        <row r="80">
          <cell r="P80">
            <v>0</v>
          </cell>
          <cell r="Q80">
            <v>0</v>
          </cell>
          <cell r="S80">
            <v>0</v>
          </cell>
        </row>
        <row r="81">
          <cell r="P81">
            <v>0</v>
          </cell>
          <cell r="Q81">
            <v>0</v>
          </cell>
          <cell r="S81">
            <v>0</v>
          </cell>
        </row>
        <row r="82">
          <cell r="P82">
            <v>0</v>
          </cell>
          <cell r="Q82">
            <v>0</v>
          </cell>
          <cell r="S82">
            <v>0</v>
          </cell>
        </row>
        <row r="83">
          <cell r="P83">
            <v>0</v>
          </cell>
          <cell r="Q83">
            <v>0</v>
          </cell>
          <cell r="S83">
            <v>0</v>
          </cell>
        </row>
        <row r="84">
          <cell r="P84">
            <v>0</v>
          </cell>
          <cell r="Q84">
            <v>0</v>
          </cell>
          <cell r="S84">
            <v>0</v>
          </cell>
        </row>
        <row r="85">
          <cell r="P85">
            <v>0</v>
          </cell>
          <cell r="Q85">
            <v>0</v>
          </cell>
          <cell r="S85">
            <v>0</v>
          </cell>
        </row>
        <row r="86">
          <cell r="P86">
            <v>0</v>
          </cell>
          <cell r="Q86">
            <v>0</v>
          </cell>
          <cell r="S86">
            <v>0</v>
          </cell>
        </row>
        <row r="87">
          <cell r="P87">
            <v>0</v>
          </cell>
          <cell r="Q87">
            <v>0</v>
          </cell>
          <cell r="S87">
            <v>0</v>
          </cell>
        </row>
        <row r="88">
          <cell r="P88">
            <v>0</v>
          </cell>
          <cell r="Q88">
            <v>0</v>
          </cell>
          <cell r="S88">
            <v>0</v>
          </cell>
        </row>
        <row r="89">
          <cell r="P89">
            <v>0</v>
          </cell>
          <cell r="Q89">
            <v>0</v>
          </cell>
          <cell r="S89">
            <v>0</v>
          </cell>
        </row>
        <row r="90">
          <cell r="P90">
            <v>0</v>
          </cell>
          <cell r="Q90">
            <v>0</v>
          </cell>
          <cell r="S90">
            <v>0</v>
          </cell>
        </row>
        <row r="91">
          <cell r="P91">
            <v>0</v>
          </cell>
          <cell r="Q91">
            <v>0</v>
          </cell>
          <cell r="S91">
            <v>0</v>
          </cell>
        </row>
        <row r="92">
          <cell r="P92">
            <v>0</v>
          </cell>
          <cell r="Q92">
            <v>0</v>
          </cell>
          <cell r="S92">
            <v>0</v>
          </cell>
        </row>
        <row r="93">
          <cell r="P93">
            <v>0</v>
          </cell>
          <cell r="Q93">
            <v>0</v>
          </cell>
          <cell r="S93">
            <v>0</v>
          </cell>
        </row>
        <row r="94">
          <cell r="P94">
            <v>0</v>
          </cell>
          <cell r="Q94">
            <v>0</v>
          </cell>
          <cell r="S94">
            <v>0</v>
          </cell>
        </row>
        <row r="95">
          <cell r="P95">
            <v>0</v>
          </cell>
          <cell r="Q95">
            <v>0</v>
          </cell>
          <cell r="S95">
            <v>0</v>
          </cell>
        </row>
        <row r="96">
          <cell r="P96">
            <v>0</v>
          </cell>
          <cell r="Q96">
            <v>0</v>
          </cell>
          <cell r="S96">
            <v>0</v>
          </cell>
        </row>
        <row r="97">
          <cell r="P97">
            <v>0</v>
          </cell>
          <cell r="Q97">
            <v>0</v>
          </cell>
          <cell r="S97">
            <v>0</v>
          </cell>
        </row>
        <row r="98">
          <cell r="P98">
            <v>0</v>
          </cell>
          <cell r="Q98">
            <v>0</v>
          </cell>
          <cell r="S98">
            <v>0</v>
          </cell>
        </row>
        <row r="99">
          <cell r="P99">
            <v>0</v>
          </cell>
          <cell r="Q99">
            <v>0</v>
          </cell>
          <cell r="S99">
            <v>0</v>
          </cell>
        </row>
        <row r="100">
          <cell r="P100">
            <v>0</v>
          </cell>
          <cell r="Q100">
            <v>0</v>
          </cell>
          <cell r="S100">
            <v>0</v>
          </cell>
        </row>
        <row r="101">
          <cell r="P101">
            <v>0</v>
          </cell>
          <cell r="Q101">
            <v>0</v>
          </cell>
          <cell r="S101">
            <v>0</v>
          </cell>
        </row>
        <row r="102">
          <cell r="P102">
            <v>0</v>
          </cell>
          <cell r="Q102">
            <v>0</v>
          </cell>
          <cell r="S102">
            <v>0</v>
          </cell>
        </row>
        <row r="103">
          <cell r="P103">
            <v>0</v>
          </cell>
          <cell r="Q103">
            <v>0</v>
          </cell>
          <cell r="S103">
            <v>0</v>
          </cell>
        </row>
        <row r="104">
          <cell r="P104">
            <v>0</v>
          </cell>
          <cell r="Q104">
            <v>0</v>
          </cell>
          <cell r="S104">
            <v>0</v>
          </cell>
        </row>
        <row r="105">
          <cell r="P105">
            <v>0</v>
          </cell>
          <cell r="Q105">
            <v>0</v>
          </cell>
          <cell r="S105">
            <v>0</v>
          </cell>
        </row>
        <row r="106">
          <cell r="P106">
            <v>0</v>
          </cell>
          <cell r="Q106">
            <v>0</v>
          </cell>
          <cell r="S106">
            <v>0</v>
          </cell>
        </row>
        <row r="107">
          <cell r="P107">
            <v>0</v>
          </cell>
          <cell r="Q107">
            <v>0</v>
          </cell>
          <cell r="S107">
            <v>0</v>
          </cell>
        </row>
        <row r="108">
          <cell r="P108">
            <v>0</v>
          </cell>
          <cell r="Q108">
            <v>0</v>
          </cell>
          <cell r="S108">
            <v>0</v>
          </cell>
        </row>
        <row r="109">
          <cell r="P109">
            <v>0</v>
          </cell>
          <cell r="Q109">
            <v>0</v>
          </cell>
          <cell r="S109">
            <v>0</v>
          </cell>
        </row>
        <row r="110">
          <cell r="P110">
            <v>0</v>
          </cell>
          <cell r="Q110">
            <v>0</v>
          </cell>
          <cell r="S110">
            <v>0</v>
          </cell>
        </row>
        <row r="111">
          <cell r="P111">
            <v>0</v>
          </cell>
          <cell r="Q111">
            <v>0</v>
          </cell>
          <cell r="S111">
            <v>0</v>
          </cell>
        </row>
        <row r="112">
          <cell r="P112">
            <v>0</v>
          </cell>
          <cell r="Q112">
            <v>0</v>
          </cell>
          <cell r="S112">
            <v>0</v>
          </cell>
        </row>
        <row r="113">
          <cell r="P113">
            <v>0</v>
          </cell>
          <cell r="Q113">
            <v>0</v>
          </cell>
          <cell r="S113">
            <v>0</v>
          </cell>
        </row>
        <row r="114">
          <cell r="P114">
            <v>0</v>
          </cell>
          <cell r="Q114">
            <v>0</v>
          </cell>
          <cell r="S114">
            <v>0</v>
          </cell>
        </row>
        <row r="115">
          <cell r="P115">
            <v>0</v>
          </cell>
          <cell r="Q115">
            <v>0</v>
          </cell>
          <cell r="S115">
            <v>0</v>
          </cell>
        </row>
        <row r="116">
          <cell r="P116">
            <v>0</v>
          </cell>
          <cell r="Q116">
            <v>0</v>
          </cell>
          <cell r="S116">
            <v>0</v>
          </cell>
        </row>
        <row r="117">
          <cell r="P117">
            <v>0</v>
          </cell>
          <cell r="Q117">
            <v>0</v>
          </cell>
          <cell r="S117">
            <v>0</v>
          </cell>
        </row>
        <row r="118">
          <cell r="P118">
            <v>0</v>
          </cell>
          <cell r="Q118">
            <v>0</v>
          </cell>
          <cell r="S118">
            <v>0</v>
          </cell>
        </row>
        <row r="119">
          <cell r="P119">
            <v>0</v>
          </cell>
          <cell r="Q119">
            <v>0</v>
          </cell>
          <cell r="S119">
            <v>0</v>
          </cell>
        </row>
        <row r="120">
          <cell r="P120">
            <v>0</v>
          </cell>
          <cell r="Q120">
            <v>0</v>
          </cell>
          <cell r="S120">
            <v>0</v>
          </cell>
        </row>
        <row r="121">
          <cell r="P121">
            <v>0</v>
          </cell>
          <cell r="Q121">
            <v>0</v>
          </cell>
          <cell r="S121">
            <v>0</v>
          </cell>
        </row>
        <row r="122">
          <cell r="P122">
            <v>0</v>
          </cell>
          <cell r="Q122">
            <v>0</v>
          </cell>
          <cell r="S122">
            <v>0</v>
          </cell>
        </row>
        <row r="123">
          <cell r="P123">
            <v>0</v>
          </cell>
          <cell r="Q123">
            <v>0</v>
          </cell>
          <cell r="S123">
            <v>0</v>
          </cell>
        </row>
        <row r="124">
          <cell r="P124">
            <v>0</v>
          </cell>
          <cell r="Q124">
            <v>0</v>
          </cell>
          <cell r="S124">
            <v>0</v>
          </cell>
        </row>
        <row r="125">
          <cell r="P125">
            <v>0</v>
          </cell>
          <cell r="Q125">
            <v>0</v>
          </cell>
          <cell r="S125">
            <v>0</v>
          </cell>
        </row>
        <row r="126">
          <cell r="P126">
            <v>0</v>
          </cell>
          <cell r="Q126">
            <v>0</v>
          </cell>
          <cell r="S126">
            <v>0</v>
          </cell>
        </row>
        <row r="127">
          <cell r="P127">
            <v>0</v>
          </cell>
          <cell r="Q127">
            <v>0</v>
          </cell>
          <cell r="S127">
            <v>0</v>
          </cell>
        </row>
        <row r="128">
          <cell r="P128">
            <v>0</v>
          </cell>
          <cell r="Q128">
            <v>0</v>
          </cell>
          <cell r="S128">
            <v>0</v>
          </cell>
        </row>
        <row r="129">
          <cell r="P129">
            <v>0</v>
          </cell>
          <cell r="Q129">
            <v>0</v>
          </cell>
          <cell r="S129">
            <v>0</v>
          </cell>
        </row>
        <row r="130">
          <cell r="P130">
            <v>0</v>
          </cell>
          <cell r="Q130">
            <v>0</v>
          </cell>
          <cell r="S130">
            <v>0</v>
          </cell>
        </row>
        <row r="131">
          <cell r="P131">
            <v>0</v>
          </cell>
          <cell r="Q131">
            <v>0</v>
          </cell>
          <cell r="S131">
            <v>0</v>
          </cell>
        </row>
        <row r="132">
          <cell r="P132">
            <v>0</v>
          </cell>
          <cell r="Q132">
            <v>0</v>
          </cell>
          <cell r="S132">
            <v>0</v>
          </cell>
        </row>
        <row r="133">
          <cell r="P133">
            <v>0</v>
          </cell>
          <cell r="Q133">
            <v>0</v>
          </cell>
          <cell r="S133">
            <v>0</v>
          </cell>
        </row>
        <row r="134">
          <cell r="P134">
            <v>0</v>
          </cell>
          <cell r="Q134">
            <v>0</v>
          </cell>
          <cell r="S134">
            <v>0</v>
          </cell>
        </row>
        <row r="135">
          <cell r="P135">
            <v>0</v>
          </cell>
          <cell r="Q135">
            <v>0</v>
          </cell>
          <cell r="S135">
            <v>0</v>
          </cell>
        </row>
        <row r="136">
          <cell r="P136">
            <v>0</v>
          </cell>
          <cell r="Q136">
            <v>0</v>
          </cell>
          <cell r="S136">
            <v>0</v>
          </cell>
        </row>
        <row r="137">
          <cell r="P137">
            <v>0</v>
          </cell>
          <cell r="Q137">
            <v>0</v>
          </cell>
          <cell r="S137">
            <v>0</v>
          </cell>
        </row>
        <row r="138">
          <cell r="P138">
            <v>0</v>
          </cell>
          <cell r="Q138">
            <v>0</v>
          </cell>
          <cell r="S138">
            <v>0</v>
          </cell>
        </row>
        <row r="139">
          <cell r="P139">
            <v>0</v>
          </cell>
          <cell r="Q139">
            <v>0</v>
          </cell>
          <cell r="S139">
            <v>0</v>
          </cell>
        </row>
        <row r="140">
          <cell r="P140">
            <v>0</v>
          </cell>
          <cell r="Q140">
            <v>0</v>
          </cell>
          <cell r="S140">
            <v>0</v>
          </cell>
        </row>
        <row r="141">
          <cell r="P141">
            <v>0</v>
          </cell>
          <cell r="Q141">
            <v>0</v>
          </cell>
          <cell r="S141">
            <v>0</v>
          </cell>
        </row>
        <row r="142">
          <cell r="P142">
            <v>0</v>
          </cell>
          <cell r="Q142">
            <v>0</v>
          </cell>
          <cell r="S142">
            <v>0</v>
          </cell>
        </row>
        <row r="143">
          <cell r="P143">
            <v>0</v>
          </cell>
          <cell r="Q143">
            <v>0</v>
          </cell>
          <cell r="S143">
            <v>0</v>
          </cell>
        </row>
        <row r="144">
          <cell r="P144">
            <v>0</v>
          </cell>
          <cell r="Q144">
            <v>0</v>
          </cell>
          <cell r="S144">
            <v>0</v>
          </cell>
        </row>
        <row r="145">
          <cell r="P145">
            <v>0</v>
          </cell>
          <cell r="Q145">
            <v>0</v>
          </cell>
          <cell r="S145">
            <v>0</v>
          </cell>
        </row>
        <row r="146">
          <cell r="P146">
            <v>0</v>
          </cell>
          <cell r="Q146">
            <v>0</v>
          </cell>
          <cell r="S146">
            <v>0</v>
          </cell>
        </row>
        <row r="147">
          <cell r="P147">
            <v>0</v>
          </cell>
          <cell r="Q147">
            <v>0</v>
          </cell>
          <cell r="S147">
            <v>0</v>
          </cell>
        </row>
        <row r="148">
          <cell r="P148">
            <v>0</v>
          </cell>
          <cell r="Q148">
            <v>0</v>
          </cell>
          <cell r="S148">
            <v>0</v>
          </cell>
        </row>
        <row r="149">
          <cell r="P149">
            <v>0</v>
          </cell>
          <cell r="Q149">
            <v>0</v>
          </cell>
          <cell r="S149">
            <v>0</v>
          </cell>
        </row>
        <row r="150">
          <cell r="P150">
            <v>0</v>
          </cell>
          <cell r="Q150">
            <v>0</v>
          </cell>
          <cell r="S150">
            <v>0</v>
          </cell>
        </row>
        <row r="151">
          <cell r="P151">
            <v>0</v>
          </cell>
          <cell r="Q151">
            <v>0</v>
          </cell>
          <cell r="S151">
            <v>0</v>
          </cell>
        </row>
        <row r="152">
          <cell r="P152">
            <v>0</v>
          </cell>
          <cell r="Q152">
            <v>0</v>
          </cell>
          <cell r="S152">
            <v>0</v>
          </cell>
        </row>
        <row r="153">
          <cell r="P153">
            <v>0</v>
          </cell>
          <cell r="Q153">
            <v>0</v>
          </cell>
          <cell r="S153">
            <v>0</v>
          </cell>
        </row>
        <row r="154">
          <cell r="P154">
            <v>0</v>
          </cell>
          <cell r="Q154">
            <v>0</v>
          </cell>
          <cell r="S154">
            <v>0</v>
          </cell>
        </row>
        <row r="155">
          <cell r="P155">
            <v>0</v>
          </cell>
          <cell r="Q155">
            <v>0</v>
          </cell>
          <cell r="S155">
            <v>0</v>
          </cell>
        </row>
        <row r="156">
          <cell r="P156">
            <v>0</v>
          </cell>
          <cell r="Q156">
            <v>0</v>
          </cell>
          <cell r="S156">
            <v>0</v>
          </cell>
        </row>
        <row r="157">
          <cell r="P157">
            <v>0</v>
          </cell>
          <cell r="Q157">
            <v>0</v>
          </cell>
          <cell r="S157">
            <v>0</v>
          </cell>
        </row>
        <row r="158">
          <cell r="P158">
            <v>0</v>
          </cell>
          <cell r="Q158">
            <v>0</v>
          </cell>
          <cell r="S158">
            <v>0</v>
          </cell>
        </row>
        <row r="159">
          <cell r="P159">
            <v>0</v>
          </cell>
          <cell r="Q159">
            <v>0</v>
          </cell>
          <cell r="S159">
            <v>0</v>
          </cell>
        </row>
        <row r="160">
          <cell r="P160">
            <v>0</v>
          </cell>
          <cell r="Q160">
            <v>0</v>
          </cell>
          <cell r="S160">
            <v>0</v>
          </cell>
        </row>
        <row r="161">
          <cell r="P161">
            <v>0</v>
          </cell>
          <cell r="Q161">
            <v>0</v>
          </cell>
          <cell r="S161">
            <v>0</v>
          </cell>
        </row>
        <row r="162">
          <cell r="P162">
            <v>0</v>
          </cell>
          <cell r="Q162">
            <v>0</v>
          </cell>
          <cell r="S162">
            <v>0</v>
          </cell>
        </row>
        <row r="163">
          <cell r="P163">
            <v>0</v>
          </cell>
          <cell r="Q163">
            <v>0</v>
          </cell>
          <cell r="S163">
            <v>0</v>
          </cell>
        </row>
        <row r="164">
          <cell r="P164">
            <v>0</v>
          </cell>
          <cell r="Q164">
            <v>0</v>
          </cell>
          <cell r="S164">
            <v>0</v>
          </cell>
        </row>
        <row r="165">
          <cell r="P165">
            <v>0</v>
          </cell>
          <cell r="Q165">
            <v>0</v>
          </cell>
          <cell r="S165">
            <v>0</v>
          </cell>
        </row>
        <row r="166">
          <cell r="P166">
            <v>0</v>
          </cell>
          <cell r="Q166">
            <v>0</v>
          </cell>
          <cell r="S166">
            <v>0</v>
          </cell>
        </row>
        <row r="167">
          <cell r="P167">
            <v>0</v>
          </cell>
          <cell r="Q167">
            <v>0</v>
          </cell>
          <cell r="S167">
            <v>0</v>
          </cell>
        </row>
        <row r="168">
          <cell r="P168">
            <v>0</v>
          </cell>
          <cell r="Q168">
            <v>0</v>
          </cell>
          <cell r="S168">
            <v>0</v>
          </cell>
        </row>
        <row r="169">
          <cell r="P169">
            <v>0</v>
          </cell>
          <cell r="Q169">
            <v>0</v>
          </cell>
          <cell r="S169">
            <v>0</v>
          </cell>
        </row>
        <row r="170">
          <cell r="P170">
            <v>0</v>
          </cell>
          <cell r="Q170">
            <v>0</v>
          </cell>
          <cell r="S170">
            <v>0</v>
          </cell>
        </row>
        <row r="171">
          <cell r="P171">
            <v>0</v>
          </cell>
          <cell r="Q171">
            <v>0</v>
          </cell>
          <cell r="S171">
            <v>0</v>
          </cell>
        </row>
        <row r="172">
          <cell r="P172">
            <v>0</v>
          </cell>
          <cell r="Q172">
            <v>0</v>
          </cell>
          <cell r="S172">
            <v>0</v>
          </cell>
        </row>
        <row r="173">
          <cell r="P173">
            <v>0</v>
          </cell>
          <cell r="Q173">
            <v>0</v>
          </cell>
          <cell r="S173">
            <v>0</v>
          </cell>
        </row>
        <row r="174">
          <cell r="P174">
            <v>0</v>
          </cell>
          <cell r="Q174">
            <v>0</v>
          </cell>
          <cell r="S174">
            <v>0</v>
          </cell>
        </row>
        <row r="175">
          <cell r="P175">
            <v>0</v>
          </cell>
          <cell r="Q175">
            <v>0</v>
          </cell>
          <cell r="S175">
            <v>0</v>
          </cell>
        </row>
        <row r="176">
          <cell r="P176">
            <v>0</v>
          </cell>
          <cell r="Q176">
            <v>0</v>
          </cell>
          <cell r="S176">
            <v>0</v>
          </cell>
        </row>
        <row r="177">
          <cell r="P177">
            <v>0</v>
          </cell>
          <cell r="Q177">
            <v>0</v>
          </cell>
          <cell r="S177">
            <v>0</v>
          </cell>
        </row>
        <row r="178">
          <cell r="P178">
            <v>0</v>
          </cell>
          <cell r="Q178">
            <v>0</v>
          </cell>
          <cell r="S178">
            <v>0</v>
          </cell>
        </row>
        <row r="179">
          <cell r="P179">
            <v>0</v>
          </cell>
          <cell r="Q179">
            <v>0</v>
          </cell>
          <cell r="S179">
            <v>0</v>
          </cell>
        </row>
        <row r="180">
          <cell r="P180">
            <v>0</v>
          </cell>
          <cell r="Q180">
            <v>0</v>
          </cell>
          <cell r="S180">
            <v>0</v>
          </cell>
        </row>
        <row r="181">
          <cell r="P181">
            <v>0</v>
          </cell>
          <cell r="Q181">
            <v>0</v>
          </cell>
          <cell r="S181">
            <v>0</v>
          </cell>
        </row>
        <row r="182">
          <cell r="P182">
            <v>0</v>
          </cell>
          <cell r="Q182">
            <v>0</v>
          </cell>
          <cell r="S182">
            <v>0</v>
          </cell>
        </row>
        <row r="183">
          <cell r="P183">
            <v>0</v>
          </cell>
          <cell r="Q183">
            <v>0</v>
          </cell>
          <cell r="S183">
            <v>0</v>
          </cell>
        </row>
        <row r="184">
          <cell r="P184">
            <v>0</v>
          </cell>
          <cell r="Q184">
            <v>0</v>
          </cell>
          <cell r="S184">
            <v>0</v>
          </cell>
        </row>
        <row r="185">
          <cell r="P185">
            <v>0</v>
          </cell>
          <cell r="Q185">
            <v>0</v>
          </cell>
          <cell r="S185">
            <v>0</v>
          </cell>
        </row>
        <row r="186">
          <cell r="P186">
            <v>0</v>
          </cell>
          <cell r="Q186">
            <v>0</v>
          </cell>
          <cell r="S186">
            <v>0</v>
          </cell>
        </row>
        <row r="187">
          <cell r="P187">
            <v>0</v>
          </cell>
          <cell r="Q187">
            <v>0</v>
          </cell>
          <cell r="S187">
            <v>0</v>
          </cell>
        </row>
        <row r="188">
          <cell r="P188">
            <v>0</v>
          </cell>
          <cell r="Q188">
            <v>0</v>
          </cell>
          <cell r="S188">
            <v>0</v>
          </cell>
        </row>
        <row r="189">
          <cell r="P189">
            <v>0</v>
          </cell>
          <cell r="Q189">
            <v>0</v>
          </cell>
          <cell r="S189">
            <v>0</v>
          </cell>
        </row>
        <row r="190">
          <cell r="P190">
            <v>0</v>
          </cell>
          <cell r="Q190">
            <v>0</v>
          </cell>
          <cell r="S190">
            <v>0</v>
          </cell>
        </row>
        <row r="191">
          <cell r="P191">
            <v>0</v>
          </cell>
          <cell r="Q191">
            <v>0</v>
          </cell>
          <cell r="S191">
            <v>0</v>
          </cell>
        </row>
        <row r="192">
          <cell r="P192">
            <v>0</v>
          </cell>
          <cell r="Q192">
            <v>0</v>
          </cell>
          <cell r="S192">
            <v>0</v>
          </cell>
        </row>
        <row r="193">
          <cell r="P193">
            <v>0</v>
          </cell>
          <cell r="Q193">
            <v>0</v>
          </cell>
          <cell r="S193">
            <v>0</v>
          </cell>
        </row>
        <row r="194">
          <cell r="P194">
            <v>0</v>
          </cell>
          <cell r="Q194">
            <v>0</v>
          </cell>
          <cell r="S194">
            <v>0</v>
          </cell>
        </row>
        <row r="195">
          <cell r="P195">
            <v>0</v>
          </cell>
          <cell r="Q195">
            <v>0</v>
          </cell>
          <cell r="S195">
            <v>0</v>
          </cell>
        </row>
        <row r="196">
          <cell r="P196">
            <v>0</v>
          </cell>
          <cell r="Q196">
            <v>0</v>
          </cell>
          <cell r="S196">
            <v>0</v>
          </cell>
        </row>
        <row r="197">
          <cell r="P197">
            <v>0</v>
          </cell>
          <cell r="Q197">
            <v>0</v>
          </cell>
          <cell r="S197">
            <v>0</v>
          </cell>
        </row>
        <row r="198">
          <cell r="P198">
            <v>0</v>
          </cell>
          <cell r="Q198">
            <v>0</v>
          </cell>
          <cell r="S198">
            <v>0</v>
          </cell>
        </row>
        <row r="199">
          <cell r="P199">
            <v>0</v>
          </cell>
          <cell r="Q199">
            <v>0</v>
          </cell>
          <cell r="S199">
            <v>0</v>
          </cell>
        </row>
        <row r="200">
          <cell r="P200">
            <v>0</v>
          </cell>
          <cell r="Q200">
            <v>0</v>
          </cell>
          <cell r="S200">
            <v>0</v>
          </cell>
        </row>
        <row r="201">
          <cell r="P201">
            <v>0</v>
          </cell>
          <cell r="Q201">
            <v>0</v>
          </cell>
          <cell r="S201">
            <v>0</v>
          </cell>
        </row>
        <row r="202">
          <cell r="P202">
            <v>0</v>
          </cell>
          <cell r="Q202">
            <v>0</v>
          </cell>
          <cell r="S202">
            <v>0</v>
          </cell>
        </row>
        <row r="203">
          <cell r="P203">
            <v>0</v>
          </cell>
          <cell r="Q203">
            <v>0</v>
          </cell>
          <cell r="S203">
            <v>0</v>
          </cell>
        </row>
        <row r="204">
          <cell r="P204">
            <v>0</v>
          </cell>
          <cell r="Q204">
            <v>0</v>
          </cell>
          <cell r="S204">
            <v>0</v>
          </cell>
        </row>
        <row r="205">
          <cell r="P205">
            <v>0</v>
          </cell>
          <cell r="Q205">
            <v>0</v>
          </cell>
          <cell r="S205">
            <v>0</v>
          </cell>
        </row>
        <row r="206">
          <cell r="P206">
            <v>0</v>
          </cell>
          <cell r="Q206">
            <v>0</v>
          </cell>
          <cell r="S206">
            <v>0</v>
          </cell>
        </row>
        <row r="207">
          <cell r="P207">
            <v>0</v>
          </cell>
          <cell r="Q207">
            <v>0</v>
          </cell>
          <cell r="S207">
            <v>0</v>
          </cell>
        </row>
        <row r="208">
          <cell r="P208">
            <v>0</v>
          </cell>
          <cell r="Q208">
            <v>0</v>
          </cell>
          <cell r="S208">
            <v>0</v>
          </cell>
        </row>
        <row r="209">
          <cell r="P209">
            <v>0</v>
          </cell>
          <cell r="Q209">
            <v>0</v>
          </cell>
          <cell r="S209">
            <v>0</v>
          </cell>
        </row>
        <row r="210">
          <cell r="P210">
            <v>0</v>
          </cell>
          <cell r="Q210">
            <v>0</v>
          </cell>
          <cell r="S210">
            <v>0</v>
          </cell>
        </row>
        <row r="211">
          <cell r="P211">
            <v>0</v>
          </cell>
          <cell r="Q211">
            <v>0</v>
          </cell>
          <cell r="S211">
            <v>0</v>
          </cell>
        </row>
        <row r="212">
          <cell r="P212">
            <v>0</v>
          </cell>
          <cell r="Q212">
            <v>0</v>
          </cell>
          <cell r="S212">
            <v>0</v>
          </cell>
        </row>
        <row r="213">
          <cell r="P213">
            <v>0</v>
          </cell>
          <cell r="Q213">
            <v>0</v>
          </cell>
          <cell r="S213">
            <v>0</v>
          </cell>
        </row>
        <row r="214">
          <cell r="P214">
            <v>0</v>
          </cell>
          <cell r="Q214">
            <v>0</v>
          </cell>
          <cell r="S214">
            <v>0</v>
          </cell>
        </row>
        <row r="215">
          <cell r="P215">
            <v>0</v>
          </cell>
          <cell r="Q215">
            <v>0</v>
          </cell>
          <cell r="S215">
            <v>0</v>
          </cell>
        </row>
        <row r="216">
          <cell r="P216">
            <v>0</v>
          </cell>
          <cell r="Q216">
            <v>0</v>
          </cell>
          <cell r="S216">
            <v>0</v>
          </cell>
        </row>
        <row r="217">
          <cell r="P217">
            <v>0</v>
          </cell>
          <cell r="Q217">
            <v>0</v>
          </cell>
          <cell r="S217">
            <v>0</v>
          </cell>
        </row>
        <row r="218">
          <cell r="P218">
            <v>0</v>
          </cell>
          <cell r="Q218">
            <v>0</v>
          </cell>
          <cell r="S218">
            <v>0</v>
          </cell>
        </row>
        <row r="219">
          <cell r="P219">
            <v>0</v>
          </cell>
          <cell r="Q219">
            <v>0</v>
          </cell>
          <cell r="S219">
            <v>0</v>
          </cell>
        </row>
        <row r="220">
          <cell r="P220">
            <v>0</v>
          </cell>
          <cell r="Q220">
            <v>0</v>
          </cell>
          <cell r="S220">
            <v>0</v>
          </cell>
        </row>
        <row r="221">
          <cell r="P221">
            <v>0</v>
          </cell>
          <cell r="Q221">
            <v>0</v>
          </cell>
          <cell r="S221">
            <v>0</v>
          </cell>
        </row>
        <row r="222">
          <cell r="P222">
            <v>0</v>
          </cell>
          <cell r="Q222">
            <v>0</v>
          </cell>
          <cell r="S222">
            <v>0</v>
          </cell>
        </row>
        <row r="223">
          <cell r="P223">
            <v>0</v>
          </cell>
          <cell r="Q223">
            <v>0</v>
          </cell>
          <cell r="S223">
            <v>0</v>
          </cell>
        </row>
        <row r="224">
          <cell r="P224">
            <v>0</v>
          </cell>
          <cell r="Q224">
            <v>0</v>
          </cell>
          <cell r="S224">
            <v>0</v>
          </cell>
        </row>
        <row r="225">
          <cell r="P225">
            <v>0</v>
          </cell>
          <cell r="Q225">
            <v>0</v>
          </cell>
          <cell r="S225">
            <v>0</v>
          </cell>
        </row>
        <row r="226">
          <cell r="P226">
            <v>0</v>
          </cell>
          <cell r="Q226">
            <v>0</v>
          </cell>
          <cell r="S226">
            <v>0</v>
          </cell>
        </row>
        <row r="227">
          <cell r="P227">
            <v>0</v>
          </cell>
          <cell r="Q227">
            <v>0</v>
          </cell>
          <cell r="S227">
            <v>0</v>
          </cell>
        </row>
        <row r="228">
          <cell r="P228">
            <v>0</v>
          </cell>
          <cell r="Q228">
            <v>0</v>
          </cell>
          <cell r="S228">
            <v>0</v>
          </cell>
        </row>
        <row r="229">
          <cell r="P229">
            <v>0</v>
          </cell>
          <cell r="Q229">
            <v>0</v>
          </cell>
          <cell r="S229">
            <v>0</v>
          </cell>
        </row>
        <row r="230">
          <cell r="P230">
            <v>0</v>
          </cell>
          <cell r="Q230">
            <v>0</v>
          </cell>
          <cell r="S230">
            <v>0</v>
          </cell>
        </row>
        <row r="231">
          <cell r="P231">
            <v>0</v>
          </cell>
          <cell r="Q231">
            <v>0</v>
          </cell>
          <cell r="S231">
            <v>0</v>
          </cell>
        </row>
        <row r="232">
          <cell r="P232">
            <v>0</v>
          </cell>
          <cell r="Q232">
            <v>0</v>
          </cell>
          <cell r="S232">
            <v>0</v>
          </cell>
        </row>
        <row r="233">
          <cell r="P233">
            <v>0</v>
          </cell>
          <cell r="Q233">
            <v>0</v>
          </cell>
          <cell r="S233">
            <v>0</v>
          </cell>
        </row>
        <row r="234">
          <cell r="P234">
            <v>0</v>
          </cell>
          <cell r="Q234">
            <v>0</v>
          </cell>
          <cell r="S234">
            <v>0</v>
          </cell>
        </row>
        <row r="235">
          <cell r="P235">
            <v>0</v>
          </cell>
          <cell r="Q235">
            <v>0</v>
          </cell>
          <cell r="S235">
            <v>0</v>
          </cell>
        </row>
        <row r="236">
          <cell r="P236">
            <v>0</v>
          </cell>
          <cell r="Q236">
            <v>0</v>
          </cell>
          <cell r="S236">
            <v>0</v>
          </cell>
        </row>
        <row r="237">
          <cell r="P237">
            <v>0</v>
          </cell>
          <cell r="Q237">
            <v>0</v>
          </cell>
          <cell r="S237">
            <v>0</v>
          </cell>
        </row>
        <row r="238">
          <cell r="P238">
            <v>0</v>
          </cell>
          <cell r="Q238">
            <v>0</v>
          </cell>
          <cell r="S238">
            <v>0</v>
          </cell>
        </row>
        <row r="239">
          <cell r="P239">
            <v>0</v>
          </cell>
          <cell r="Q239">
            <v>0</v>
          </cell>
          <cell r="S239">
            <v>0</v>
          </cell>
        </row>
        <row r="240">
          <cell r="P240">
            <v>0</v>
          </cell>
          <cell r="Q240">
            <v>0</v>
          </cell>
          <cell r="S240">
            <v>0</v>
          </cell>
        </row>
        <row r="241">
          <cell r="P241">
            <v>0</v>
          </cell>
          <cell r="Q241">
            <v>0</v>
          </cell>
          <cell r="S241">
            <v>0</v>
          </cell>
        </row>
        <row r="242">
          <cell r="P242">
            <v>0</v>
          </cell>
          <cell r="Q242">
            <v>0</v>
          </cell>
          <cell r="S242">
            <v>0</v>
          </cell>
        </row>
        <row r="243">
          <cell r="P243">
            <v>0</v>
          </cell>
          <cell r="Q243">
            <v>0</v>
          </cell>
          <cell r="S243">
            <v>0</v>
          </cell>
        </row>
        <row r="244">
          <cell r="P244">
            <v>0</v>
          </cell>
          <cell r="Q244">
            <v>0</v>
          </cell>
          <cell r="S244">
            <v>0</v>
          </cell>
        </row>
        <row r="245">
          <cell r="P245">
            <v>0</v>
          </cell>
          <cell r="Q245">
            <v>0</v>
          </cell>
          <cell r="S245">
            <v>0</v>
          </cell>
        </row>
        <row r="246">
          <cell r="P246">
            <v>0</v>
          </cell>
          <cell r="Q246">
            <v>0</v>
          </cell>
          <cell r="S246">
            <v>0</v>
          </cell>
        </row>
        <row r="247">
          <cell r="P247">
            <v>0</v>
          </cell>
          <cell r="Q247">
            <v>0</v>
          </cell>
          <cell r="S247">
            <v>0</v>
          </cell>
        </row>
        <row r="248">
          <cell r="P248">
            <v>0</v>
          </cell>
          <cell r="Q248">
            <v>0</v>
          </cell>
          <cell r="S248">
            <v>0</v>
          </cell>
        </row>
        <row r="249">
          <cell r="P249">
            <v>0</v>
          </cell>
          <cell r="Q249">
            <v>0</v>
          </cell>
          <cell r="S249">
            <v>0</v>
          </cell>
        </row>
        <row r="250">
          <cell r="P250">
            <v>0</v>
          </cell>
          <cell r="Q250">
            <v>0</v>
          </cell>
          <cell r="S250">
            <v>0</v>
          </cell>
        </row>
        <row r="251">
          <cell r="P251">
            <v>0</v>
          </cell>
          <cell r="Q251">
            <v>0</v>
          </cell>
          <cell r="S251">
            <v>0</v>
          </cell>
        </row>
        <row r="252">
          <cell r="P252">
            <v>0</v>
          </cell>
          <cell r="Q252">
            <v>0</v>
          </cell>
          <cell r="S252">
            <v>0</v>
          </cell>
        </row>
        <row r="253">
          <cell r="P253">
            <v>0</v>
          </cell>
          <cell r="Q253">
            <v>0</v>
          </cell>
          <cell r="S253">
            <v>0</v>
          </cell>
        </row>
        <row r="254">
          <cell r="P254">
            <v>0</v>
          </cell>
          <cell r="Q254">
            <v>0</v>
          </cell>
          <cell r="S254">
            <v>0</v>
          </cell>
        </row>
        <row r="255">
          <cell r="P255">
            <v>0</v>
          </cell>
          <cell r="Q255">
            <v>0</v>
          </cell>
          <cell r="S255">
            <v>0</v>
          </cell>
        </row>
        <row r="256">
          <cell r="P256">
            <v>0</v>
          </cell>
          <cell r="Q256">
            <v>0</v>
          </cell>
          <cell r="S256">
            <v>0</v>
          </cell>
        </row>
        <row r="257">
          <cell r="P257">
            <v>0</v>
          </cell>
          <cell r="Q257">
            <v>0</v>
          </cell>
          <cell r="S257">
            <v>0</v>
          </cell>
        </row>
        <row r="258">
          <cell r="P258">
            <v>0</v>
          </cell>
          <cell r="Q258">
            <v>0</v>
          </cell>
          <cell r="S258">
            <v>0</v>
          </cell>
        </row>
        <row r="259">
          <cell r="P259">
            <v>0</v>
          </cell>
          <cell r="Q259">
            <v>0</v>
          </cell>
          <cell r="S259">
            <v>0</v>
          </cell>
        </row>
        <row r="260">
          <cell r="P260">
            <v>0</v>
          </cell>
          <cell r="Q260">
            <v>0</v>
          </cell>
          <cell r="S260">
            <v>0</v>
          </cell>
        </row>
        <row r="261">
          <cell r="P261">
            <v>0</v>
          </cell>
          <cell r="Q261">
            <v>0</v>
          </cell>
          <cell r="S261">
            <v>0</v>
          </cell>
        </row>
        <row r="262">
          <cell r="P262">
            <v>0</v>
          </cell>
          <cell r="Q262">
            <v>0</v>
          </cell>
          <cell r="S262">
            <v>0</v>
          </cell>
        </row>
        <row r="263">
          <cell r="P263">
            <v>0</v>
          </cell>
          <cell r="Q263">
            <v>0</v>
          </cell>
          <cell r="S263">
            <v>0</v>
          </cell>
        </row>
        <row r="264">
          <cell r="P264">
            <v>0</v>
          </cell>
          <cell r="Q264">
            <v>0</v>
          </cell>
          <cell r="S264">
            <v>0</v>
          </cell>
        </row>
        <row r="265">
          <cell r="P265">
            <v>0</v>
          </cell>
          <cell r="Q265">
            <v>0</v>
          </cell>
          <cell r="S265">
            <v>0</v>
          </cell>
        </row>
        <row r="266">
          <cell r="P266">
            <v>0</v>
          </cell>
          <cell r="Q266">
            <v>0</v>
          </cell>
          <cell r="S266">
            <v>0</v>
          </cell>
        </row>
        <row r="267">
          <cell r="P267">
            <v>0</v>
          </cell>
          <cell r="Q267">
            <v>0</v>
          </cell>
          <cell r="S267">
            <v>0</v>
          </cell>
        </row>
        <row r="268">
          <cell r="P268">
            <v>0</v>
          </cell>
          <cell r="Q268">
            <v>0</v>
          </cell>
          <cell r="S268">
            <v>0</v>
          </cell>
        </row>
        <row r="269">
          <cell r="P269">
            <v>0</v>
          </cell>
          <cell r="Q269">
            <v>0</v>
          </cell>
          <cell r="S269">
            <v>0</v>
          </cell>
        </row>
        <row r="270">
          <cell r="P270">
            <v>0</v>
          </cell>
          <cell r="Q270">
            <v>0</v>
          </cell>
          <cell r="S270">
            <v>0</v>
          </cell>
        </row>
        <row r="271">
          <cell r="P271">
            <v>0</v>
          </cell>
          <cell r="Q271">
            <v>0</v>
          </cell>
          <cell r="S271">
            <v>0</v>
          </cell>
        </row>
        <row r="272">
          <cell r="P272">
            <v>0</v>
          </cell>
          <cell r="Q272">
            <v>0</v>
          </cell>
          <cell r="S272">
            <v>0</v>
          </cell>
        </row>
        <row r="273">
          <cell r="P273">
            <v>0</v>
          </cell>
          <cell r="Q273">
            <v>0</v>
          </cell>
          <cell r="S273">
            <v>0</v>
          </cell>
        </row>
        <row r="274">
          <cell r="P274">
            <v>0</v>
          </cell>
          <cell r="Q274">
            <v>0</v>
          </cell>
          <cell r="S274">
            <v>0</v>
          </cell>
        </row>
        <row r="275">
          <cell r="P275">
            <v>0</v>
          </cell>
          <cell r="Q275">
            <v>0</v>
          </cell>
          <cell r="S275">
            <v>0</v>
          </cell>
        </row>
        <row r="276">
          <cell r="P276">
            <v>0</v>
          </cell>
          <cell r="Q276">
            <v>0</v>
          </cell>
          <cell r="S276">
            <v>0</v>
          </cell>
        </row>
        <row r="277">
          <cell r="P277">
            <v>0</v>
          </cell>
          <cell r="Q277">
            <v>0</v>
          </cell>
          <cell r="S277">
            <v>0</v>
          </cell>
        </row>
        <row r="278">
          <cell r="P278">
            <v>0</v>
          </cell>
          <cell r="Q278">
            <v>0</v>
          </cell>
          <cell r="S278">
            <v>0</v>
          </cell>
        </row>
        <row r="279">
          <cell r="P279">
            <v>0</v>
          </cell>
          <cell r="Q279">
            <v>0</v>
          </cell>
          <cell r="S279">
            <v>0</v>
          </cell>
        </row>
        <row r="280">
          <cell r="P280">
            <v>0</v>
          </cell>
          <cell r="Q280">
            <v>0</v>
          </cell>
          <cell r="S280">
            <v>0</v>
          </cell>
        </row>
        <row r="281">
          <cell r="P281">
            <v>0</v>
          </cell>
          <cell r="Q281">
            <v>0</v>
          </cell>
          <cell r="S281">
            <v>0</v>
          </cell>
        </row>
        <row r="282">
          <cell r="P282">
            <v>0</v>
          </cell>
          <cell r="Q282">
            <v>0</v>
          </cell>
          <cell r="S282">
            <v>0</v>
          </cell>
        </row>
        <row r="283">
          <cell r="P283">
            <v>0</v>
          </cell>
          <cell r="Q283">
            <v>0</v>
          </cell>
          <cell r="S283">
            <v>0</v>
          </cell>
        </row>
        <row r="284">
          <cell r="P284">
            <v>0</v>
          </cell>
          <cell r="Q284">
            <v>0</v>
          </cell>
          <cell r="S284">
            <v>0</v>
          </cell>
        </row>
        <row r="285">
          <cell r="P285">
            <v>0</v>
          </cell>
          <cell r="Q285">
            <v>0</v>
          </cell>
          <cell r="S285">
            <v>0</v>
          </cell>
        </row>
        <row r="286">
          <cell r="P286">
            <v>0</v>
          </cell>
          <cell r="Q286">
            <v>0</v>
          </cell>
          <cell r="S286">
            <v>0</v>
          </cell>
        </row>
        <row r="287">
          <cell r="P287">
            <v>0</v>
          </cell>
          <cell r="Q287">
            <v>0</v>
          </cell>
          <cell r="S287">
            <v>0</v>
          </cell>
        </row>
        <row r="288">
          <cell r="P288">
            <v>0</v>
          </cell>
          <cell r="Q288">
            <v>0</v>
          </cell>
          <cell r="S288">
            <v>0</v>
          </cell>
        </row>
        <row r="289">
          <cell r="P289">
            <v>0</v>
          </cell>
          <cell r="Q289">
            <v>0</v>
          </cell>
          <cell r="S289">
            <v>0</v>
          </cell>
        </row>
        <row r="290">
          <cell r="P290">
            <v>0</v>
          </cell>
          <cell r="Q290">
            <v>0</v>
          </cell>
          <cell r="S290">
            <v>0</v>
          </cell>
        </row>
        <row r="291">
          <cell r="P291">
            <v>0</v>
          </cell>
          <cell r="Q291">
            <v>0</v>
          </cell>
          <cell r="S291">
            <v>0</v>
          </cell>
        </row>
        <row r="292">
          <cell r="P292">
            <v>0</v>
          </cell>
          <cell r="Q292">
            <v>0</v>
          </cell>
          <cell r="S292">
            <v>0</v>
          </cell>
        </row>
        <row r="293">
          <cell r="P293">
            <v>0</v>
          </cell>
          <cell r="Q293">
            <v>0</v>
          </cell>
          <cell r="S293">
            <v>0</v>
          </cell>
        </row>
        <row r="294">
          <cell r="P294">
            <v>0</v>
          </cell>
          <cell r="Q294">
            <v>0</v>
          </cell>
          <cell r="S294">
            <v>0</v>
          </cell>
        </row>
        <row r="295">
          <cell r="P295">
            <v>0</v>
          </cell>
          <cell r="Q295">
            <v>0</v>
          </cell>
          <cell r="S295">
            <v>0</v>
          </cell>
        </row>
        <row r="296">
          <cell r="P296">
            <v>0</v>
          </cell>
          <cell r="Q296">
            <v>0</v>
          </cell>
          <cell r="S296">
            <v>0</v>
          </cell>
        </row>
        <row r="297">
          <cell r="P297">
            <v>0</v>
          </cell>
          <cell r="Q297">
            <v>0</v>
          </cell>
          <cell r="S297">
            <v>0</v>
          </cell>
        </row>
        <row r="298">
          <cell r="P298">
            <v>0</v>
          </cell>
          <cell r="Q298">
            <v>0</v>
          </cell>
          <cell r="S298">
            <v>0</v>
          </cell>
        </row>
        <row r="299">
          <cell r="P299">
            <v>0</v>
          </cell>
          <cell r="Q299">
            <v>0</v>
          </cell>
          <cell r="S299">
            <v>0</v>
          </cell>
        </row>
        <row r="300">
          <cell r="P300">
            <v>0</v>
          </cell>
          <cell r="Q300">
            <v>0</v>
          </cell>
          <cell r="S300">
            <v>0</v>
          </cell>
        </row>
        <row r="301">
          <cell r="P301">
            <v>0</v>
          </cell>
          <cell r="Q301">
            <v>0</v>
          </cell>
          <cell r="S301">
            <v>0</v>
          </cell>
        </row>
        <row r="302">
          <cell r="P302">
            <v>0</v>
          </cell>
          <cell r="Q302">
            <v>0</v>
          </cell>
          <cell r="S302">
            <v>0</v>
          </cell>
        </row>
        <row r="303">
          <cell r="P303">
            <v>0</v>
          </cell>
          <cell r="Q303">
            <v>0</v>
          </cell>
          <cell r="S303">
            <v>0</v>
          </cell>
        </row>
        <row r="304">
          <cell r="P304">
            <v>0</v>
          </cell>
          <cell r="Q304">
            <v>0</v>
          </cell>
          <cell r="S304">
            <v>0</v>
          </cell>
        </row>
        <row r="305">
          <cell r="P305">
            <v>0</v>
          </cell>
          <cell r="Q305">
            <v>0</v>
          </cell>
          <cell r="S305">
            <v>0</v>
          </cell>
        </row>
        <row r="306">
          <cell r="P306">
            <v>0</v>
          </cell>
          <cell r="Q306">
            <v>0</v>
          </cell>
          <cell r="S306">
            <v>0</v>
          </cell>
        </row>
        <row r="307">
          <cell r="P307">
            <v>0</v>
          </cell>
          <cell r="Q307">
            <v>0</v>
          </cell>
          <cell r="S307">
            <v>0</v>
          </cell>
        </row>
        <row r="308">
          <cell r="P308">
            <v>0</v>
          </cell>
          <cell r="Q308">
            <v>0</v>
          </cell>
          <cell r="S308">
            <v>0</v>
          </cell>
        </row>
        <row r="309">
          <cell r="P309">
            <v>0</v>
          </cell>
          <cell r="Q309">
            <v>0</v>
          </cell>
          <cell r="S309">
            <v>0</v>
          </cell>
        </row>
        <row r="310">
          <cell r="P310">
            <v>0</v>
          </cell>
          <cell r="Q310">
            <v>0</v>
          </cell>
          <cell r="S310">
            <v>0</v>
          </cell>
        </row>
        <row r="311">
          <cell r="P311">
            <v>0</v>
          </cell>
          <cell r="Q311">
            <v>0</v>
          </cell>
          <cell r="S311">
            <v>0</v>
          </cell>
        </row>
        <row r="312">
          <cell r="P312">
            <v>0</v>
          </cell>
          <cell r="Q312">
            <v>0</v>
          </cell>
          <cell r="S312">
            <v>0</v>
          </cell>
        </row>
        <row r="313">
          <cell r="P313">
            <v>0</v>
          </cell>
          <cell r="Q313">
            <v>0</v>
          </cell>
          <cell r="S313">
            <v>0</v>
          </cell>
        </row>
        <row r="314">
          <cell r="P314">
            <v>0</v>
          </cell>
          <cell r="Q314">
            <v>0</v>
          </cell>
          <cell r="S314">
            <v>0</v>
          </cell>
        </row>
        <row r="315">
          <cell r="P315">
            <v>0</v>
          </cell>
          <cell r="Q315">
            <v>0</v>
          </cell>
          <cell r="S315">
            <v>0</v>
          </cell>
        </row>
        <row r="316">
          <cell r="P316">
            <v>0</v>
          </cell>
          <cell r="Q316">
            <v>0</v>
          </cell>
          <cell r="S316">
            <v>0</v>
          </cell>
        </row>
        <row r="317">
          <cell r="P317">
            <v>0</v>
          </cell>
          <cell r="Q317">
            <v>0</v>
          </cell>
          <cell r="S317">
            <v>0</v>
          </cell>
        </row>
        <row r="318">
          <cell r="P318">
            <v>0</v>
          </cell>
          <cell r="Q318">
            <v>0</v>
          </cell>
          <cell r="S318">
            <v>0</v>
          </cell>
        </row>
        <row r="319">
          <cell r="P319">
            <v>0</v>
          </cell>
          <cell r="Q319">
            <v>0</v>
          </cell>
          <cell r="S319">
            <v>0</v>
          </cell>
        </row>
        <row r="320">
          <cell r="P320">
            <v>0</v>
          </cell>
          <cell r="Q320">
            <v>0</v>
          </cell>
          <cell r="S320">
            <v>0</v>
          </cell>
        </row>
        <row r="321">
          <cell r="P321">
            <v>0</v>
          </cell>
          <cell r="Q321">
            <v>0</v>
          </cell>
          <cell r="S321">
            <v>0</v>
          </cell>
        </row>
        <row r="322">
          <cell r="P322">
            <v>0</v>
          </cell>
          <cell r="Q322">
            <v>0</v>
          </cell>
          <cell r="S322">
            <v>0</v>
          </cell>
        </row>
        <row r="323">
          <cell r="P323">
            <v>0</v>
          </cell>
          <cell r="Q323">
            <v>0</v>
          </cell>
          <cell r="S323">
            <v>0</v>
          </cell>
        </row>
        <row r="324">
          <cell r="P324">
            <v>0</v>
          </cell>
          <cell r="Q324">
            <v>0</v>
          </cell>
          <cell r="S324">
            <v>0</v>
          </cell>
        </row>
        <row r="325">
          <cell r="P325">
            <v>0</v>
          </cell>
          <cell r="Q325">
            <v>0</v>
          </cell>
          <cell r="S325">
            <v>0</v>
          </cell>
        </row>
        <row r="326">
          <cell r="P326">
            <v>0</v>
          </cell>
          <cell r="Q326">
            <v>0</v>
          </cell>
          <cell r="S326">
            <v>0</v>
          </cell>
        </row>
        <row r="327">
          <cell r="P327">
            <v>0</v>
          </cell>
          <cell r="Q327">
            <v>0</v>
          </cell>
          <cell r="S327">
            <v>0</v>
          </cell>
        </row>
        <row r="328">
          <cell r="P328">
            <v>0</v>
          </cell>
          <cell r="Q328">
            <v>0</v>
          </cell>
          <cell r="S328">
            <v>0</v>
          </cell>
        </row>
        <row r="329">
          <cell r="P329">
            <v>0</v>
          </cell>
          <cell r="Q329">
            <v>0</v>
          </cell>
          <cell r="S329">
            <v>0</v>
          </cell>
        </row>
        <row r="330">
          <cell r="P330">
            <v>0</v>
          </cell>
          <cell r="Q330">
            <v>0</v>
          </cell>
          <cell r="S330">
            <v>0</v>
          </cell>
        </row>
        <row r="331">
          <cell r="P331">
            <v>0</v>
          </cell>
          <cell r="Q331">
            <v>0</v>
          </cell>
          <cell r="S331">
            <v>0</v>
          </cell>
        </row>
        <row r="332">
          <cell r="P332">
            <v>0</v>
          </cell>
          <cell r="Q332">
            <v>0</v>
          </cell>
          <cell r="S332">
            <v>0</v>
          </cell>
        </row>
        <row r="333">
          <cell r="P333">
            <v>0</v>
          </cell>
          <cell r="Q333">
            <v>0</v>
          </cell>
          <cell r="S333">
            <v>0</v>
          </cell>
        </row>
        <row r="334">
          <cell r="P334">
            <v>0</v>
          </cell>
          <cell r="Q334">
            <v>0</v>
          </cell>
          <cell r="S334">
            <v>0</v>
          </cell>
        </row>
        <row r="335">
          <cell r="P335">
            <v>0</v>
          </cell>
          <cell r="Q335">
            <v>0</v>
          </cell>
          <cell r="S335">
            <v>0</v>
          </cell>
        </row>
        <row r="336">
          <cell r="P336">
            <v>0</v>
          </cell>
          <cell r="Q336">
            <v>0</v>
          </cell>
          <cell r="S336">
            <v>0</v>
          </cell>
        </row>
        <row r="337">
          <cell r="P337">
            <v>0</v>
          </cell>
          <cell r="Q337">
            <v>0</v>
          </cell>
          <cell r="S337">
            <v>0</v>
          </cell>
        </row>
        <row r="338">
          <cell r="P338">
            <v>0</v>
          </cell>
          <cell r="Q338">
            <v>0</v>
          </cell>
          <cell r="S338">
            <v>0</v>
          </cell>
        </row>
        <row r="339">
          <cell r="P339">
            <v>0</v>
          </cell>
          <cell r="Q339">
            <v>0</v>
          </cell>
          <cell r="S339">
            <v>0</v>
          </cell>
        </row>
        <row r="340">
          <cell r="P340">
            <v>0</v>
          </cell>
          <cell r="Q340">
            <v>0</v>
          </cell>
          <cell r="S340">
            <v>0</v>
          </cell>
        </row>
        <row r="341">
          <cell r="P341">
            <v>0</v>
          </cell>
          <cell r="Q341">
            <v>0</v>
          </cell>
          <cell r="S341">
            <v>0</v>
          </cell>
        </row>
        <row r="342">
          <cell r="P342">
            <v>0</v>
          </cell>
          <cell r="Q342">
            <v>0</v>
          </cell>
          <cell r="S342">
            <v>0</v>
          </cell>
        </row>
        <row r="343">
          <cell r="P343">
            <v>0</v>
          </cell>
          <cell r="Q343">
            <v>0</v>
          </cell>
          <cell r="S343">
            <v>0</v>
          </cell>
        </row>
        <row r="344">
          <cell r="P344">
            <v>0</v>
          </cell>
          <cell r="Q344">
            <v>0</v>
          </cell>
          <cell r="S344">
            <v>0</v>
          </cell>
        </row>
        <row r="345">
          <cell r="P345">
            <v>0</v>
          </cell>
          <cell r="Q345">
            <v>0</v>
          </cell>
          <cell r="S345">
            <v>0</v>
          </cell>
        </row>
        <row r="346">
          <cell r="P346">
            <v>0</v>
          </cell>
          <cell r="Q346">
            <v>0</v>
          </cell>
          <cell r="S346">
            <v>0</v>
          </cell>
        </row>
        <row r="347">
          <cell r="P347">
            <v>0</v>
          </cell>
          <cell r="Q347">
            <v>0</v>
          </cell>
          <cell r="S347">
            <v>0</v>
          </cell>
        </row>
        <row r="348">
          <cell r="P348">
            <v>0</v>
          </cell>
          <cell r="Q348">
            <v>0</v>
          </cell>
          <cell r="S348">
            <v>0</v>
          </cell>
        </row>
        <row r="349">
          <cell r="P349">
            <v>0</v>
          </cell>
          <cell r="Q349">
            <v>0</v>
          </cell>
          <cell r="S349">
            <v>0</v>
          </cell>
        </row>
        <row r="350">
          <cell r="P350">
            <v>0</v>
          </cell>
          <cell r="Q350">
            <v>0</v>
          </cell>
          <cell r="S350">
            <v>0</v>
          </cell>
        </row>
        <row r="351">
          <cell r="P351">
            <v>0</v>
          </cell>
          <cell r="Q351">
            <v>0</v>
          </cell>
          <cell r="S351">
            <v>0</v>
          </cell>
        </row>
        <row r="352">
          <cell r="P352">
            <v>0</v>
          </cell>
          <cell r="Q352">
            <v>0</v>
          </cell>
          <cell r="S352">
            <v>0</v>
          </cell>
        </row>
        <row r="353">
          <cell r="P353">
            <v>0</v>
          </cell>
          <cell r="Q353">
            <v>0</v>
          </cell>
          <cell r="S353">
            <v>0</v>
          </cell>
        </row>
        <row r="354">
          <cell r="P354">
            <v>0</v>
          </cell>
          <cell r="Q354">
            <v>0</v>
          </cell>
          <cell r="S354">
            <v>0</v>
          </cell>
        </row>
        <row r="355">
          <cell r="P355">
            <v>0</v>
          </cell>
          <cell r="Q355">
            <v>0</v>
          </cell>
          <cell r="S355">
            <v>0</v>
          </cell>
        </row>
        <row r="356">
          <cell r="P356">
            <v>0</v>
          </cell>
          <cell r="Q356">
            <v>0</v>
          </cell>
          <cell r="S356">
            <v>0</v>
          </cell>
        </row>
        <row r="357">
          <cell r="P357">
            <v>0</v>
          </cell>
          <cell r="Q357">
            <v>0</v>
          </cell>
          <cell r="S357">
            <v>0</v>
          </cell>
        </row>
        <row r="358">
          <cell r="P358">
            <v>0</v>
          </cell>
          <cell r="Q358">
            <v>0</v>
          </cell>
          <cell r="S358">
            <v>0</v>
          </cell>
        </row>
        <row r="359">
          <cell r="P359">
            <v>0</v>
          </cell>
          <cell r="Q359">
            <v>0</v>
          </cell>
          <cell r="S359">
            <v>0</v>
          </cell>
        </row>
        <row r="360">
          <cell r="P360">
            <v>0</v>
          </cell>
          <cell r="Q360">
            <v>0</v>
          </cell>
          <cell r="S360">
            <v>0</v>
          </cell>
        </row>
        <row r="361">
          <cell r="P361">
            <v>0</v>
          </cell>
          <cell r="Q361">
            <v>0</v>
          </cell>
          <cell r="S361">
            <v>0</v>
          </cell>
        </row>
        <row r="362">
          <cell r="P362">
            <v>0</v>
          </cell>
          <cell r="Q362">
            <v>0</v>
          </cell>
          <cell r="S362">
            <v>0</v>
          </cell>
        </row>
        <row r="363">
          <cell r="P363">
            <v>0</v>
          </cell>
          <cell r="Q363">
            <v>0</v>
          </cell>
          <cell r="S363">
            <v>0</v>
          </cell>
        </row>
        <row r="364">
          <cell r="P364">
            <v>0</v>
          </cell>
          <cell r="Q364">
            <v>0</v>
          </cell>
          <cell r="S364">
            <v>0</v>
          </cell>
        </row>
        <row r="365">
          <cell r="P365">
            <v>0</v>
          </cell>
          <cell r="Q365">
            <v>0</v>
          </cell>
          <cell r="S365">
            <v>0</v>
          </cell>
        </row>
        <row r="366">
          <cell r="P366">
            <v>0</v>
          </cell>
          <cell r="Q366">
            <v>0</v>
          </cell>
          <cell r="S366">
            <v>0</v>
          </cell>
        </row>
        <row r="367">
          <cell r="P367">
            <v>0</v>
          </cell>
          <cell r="Q367">
            <v>0</v>
          </cell>
          <cell r="S367">
            <v>0</v>
          </cell>
        </row>
        <row r="368">
          <cell r="P368">
            <v>0</v>
          </cell>
          <cell r="Q368">
            <v>0</v>
          </cell>
          <cell r="S368">
            <v>0</v>
          </cell>
        </row>
        <row r="369">
          <cell r="P369">
            <v>0</v>
          </cell>
          <cell r="Q369">
            <v>0</v>
          </cell>
          <cell r="S369">
            <v>0</v>
          </cell>
        </row>
        <row r="370">
          <cell r="P370">
            <v>0</v>
          </cell>
          <cell r="Q370">
            <v>0</v>
          </cell>
          <cell r="S370">
            <v>0</v>
          </cell>
        </row>
        <row r="371">
          <cell r="P371">
            <v>0</v>
          </cell>
          <cell r="Q371">
            <v>0</v>
          </cell>
          <cell r="S371">
            <v>0</v>
          </cell>
        </row>
        <row r="372">
          <cell r="P372">
            <v>0</v>
          </cell>
          <cell r="Q372">
            <v>0</v>
          </cell>
          <cell r="S372">
            <v>0</v>
          </cell>
        </row>
        <row r="373">
          <cell r="P373">
            <v>0</v>
          </cell>
          <cell r="Q373">
            <v>0</v>
          </cell>
          <cell r="S373">
            <v>0</v>
          </cell>
        </row>
        <row r="374">
          <cell r="P374">
            <v>0</v>
          </cell>
          <cell r="Q374">
            <v>0</v>
          </cell>
          <cell r="S374">
            <v>0</v>
          </cell>
        </row>
        <row r="375">
          <cell r="P375">
            <v>0</v>
          </cell>
          <cell r="Q375">
            <v>0</v>
          </cell>
          <cell r="S375">
            <v>0</v>
          </cell>
        </row>
        <row r="376">
          <cell r="P376">
            <v>0</v>
          </cell>
          <cell r="Q376">
            <v>0</v>
          </cell>
          <cell r="S376">
            <v>0</v>
          </cell>
        </row>
        <row r="377">
          <cell r="P377">
            <v>0</v>
          </cell>
          <cell r="Q377">
            <v>0</v>
          </cell>
          <cell r="S377">
            <v>0</v>
          </cell>
        </row>
        <row r="378">
          <cell r="P378">
            <v>0</v>
          </cell>
          <cell r="Q378">
            <v>0</v>
          </cell>
          <cell r="S378">
            <v>0</v>
          </cell>
        </row>
        <row r="379">
          <cell r="P379">
            <v>0</v>
          </cell>
          <cell r="Q379">
            <v>0</v>
          </cell>
          <cell r="S379">
            <v>0</v>
          </cell>
        </row>
        <row r="380">
          <cell r="P380">
            <v>0</v>
          </cell>
          <cell r="Q380">
            <v>0</v>
          </cell>
          <cell r="S380">
            <v>0</v>
          </cell>
        </row>
        <row r="381">
          <cell r="P381">
            <v>0</v>
          </cell>
          <cell r="Q381">
            <v>0</v>
          </cell>
          <cell r="S381">
            <v>0</v>
          </cell>
        </row>
        <row r="382">
          <cell r="P382">
            <v>0</v>
          </cell>
          <cell r="Q382">
            <v>0</v>
          </cell>
          <cell r="S382">
            <v>0</v>
          </cell>
        </row>
        <row r="383">
          <cell r="P383">
            <v>0</v>
          </cell>
          <cell r="Q383">
            <v>0</v>
          </cell>
          <cell r="S383">
            <v>0</v>
          </cell>
        </row>
        <row r="384">
          <cell r="P384">
            <v>0</v>
          </cell>
          <cell r="Q384">
            <v>0</v>
          </cell>
          <cell r="S384">
            <v>0</v>
          </cell>
        </row>
        <row r="385">
          <cell r="P385">
            <v>0</v>
          </cell>
          <cell r="Q385">
            <v>0</v>
          </cell>
          <cell r="S385">
            <v>0</v>
          </cell>
        </row>
        <row r="386">
          <cell r="P386">
            <v>0</v>
          </cell>
          <cell r="Q386">
            <v>0</v>
          </cell>
          <cell r="S386">
            <v>0</v>
          </cell>
        </row>
        <row r="387">
          <cell r="P387">
            <v>0</v>
          </cell>
          <cell r="Q387">
            <v>0</v>
          </cell>
          <cell r="S387">
            <v>0</v>
          </cell>
        </row>
        <row r="388">
          <cell r="P388">
            <v>0</v>
          </cell>
          <cell r="Q388">
            <v>0</v>
          </cell>
          <cell r="S388">
            <v>0</v>
          </cell>
        </row>
        <row r="389">
          <cell r="P389">
            <v>0</v>
          </cell>
          <cell r="Q389">
            <v>0</v>
          </cell>
          <cell r="S389">
            <v>0</v>
          </cell>
        </row>
        <row r="390">
          <cell r="P390">
            <v>0</v>
          </cell>
          <cell r="Q390">
            <v>0</v>
          </cell>
          <cell r="S390">
            <v>0</v>
          </cell>
        </row>
        <row r="391">
          <cell r="P391">
            <v>0</v>
          </cell>
          <cell r="Q391">
            <v>0</v>
          </cell>
          <cell r="S391">
            <v>0</v>
          </cell>
        </row>
        <row r="392">
          <cell r="P392">
            <v>0</v>
          </cell>
          <cell r="Q392">
            <v>0</v>
          </cell>
          <cell r="S392">
            <v>0</v>
          </cell>
        </row>
        <row r="393">
          <cell r="P393">
            <v>0</v>
          </cell>
          <cell r="Q393">
            <v>0</v>
          </cell>
          <cell r="S393">
            <v>0</v>
          </cell>
        </row>
        <row r="394">
          <cell r="P394">
            <v>0</v>
          </cell>
          <cell r="Q394">
            <v>0</v>
          </cell>
          <cell r="S394">
            <v>0</v>
          </cell>
        </row>
        <row r="395">
          <cell r="P395">
            <v>0</v>
          </cell>
          <cell r="Q395">
            <v>0</v>
          </cell>
          <cell r="S395">
            <v>0</v>
          </cell>
        </row>
        <row r="396">
          <cell r="P396">
            <v>0</v>
          </cell>
          <cell r="Q396">
            <v>0</v>
          </cell>
          <cell r="S396">
            <v>0</v>
          </cell>
        </row>
        <row r="397">
          <cell r="P397">
            <v>0</v>
          </cell>
          <cell r="Q397">
            <v>0</v>
          </cell>
          <cell r="S397">
            <v>0</v>
          </cell>
        </row>
        <row r="398">
          <cell r="P398">
            <v>0</v>
          </cell>
          <cell r="Q398">
            <v>0</v>
          </cell>
          <cell r="S398">
            <v>0</v>
          </cell>
        </row>
        <row r="399">
          <cell r="P399">
            <v>0</v>
          </cell>
          <cell r="Q399">
            <v>0</v>
          </cell>
          <cell r="S399">
            <v>0</v>
          </cell>
        </row>
        <row r="400">
          <cell r="P400">
            <v>0</v>
          </cell>
          <cell r="Q400">
            <v>0</v>
          </cell>
          <cell r="S400">
            <v>0</v>
          </cell>
        </row>
        <row r="401">
          <cell r="P401">
            <v>0</v>
          </cell>
          <cell r="Q401">
            <v>0</v>
          </cell>
          <cell r="S401">
            <v>0</v>
          </cell>
        </row>
        <row r="402">
          <cell r="P402">
            <v>0</v>
          </cell>
          <cell r="Q402">
            <v>0</v>
          </cell>
          <cell r="S402">
            <v>0</v>
          </cell>
        </row>
        <row r="403">
          <cell r="P403">
            <v>0</v>
          </cell>
          <cell r="Q403">
            <v>0</v>
          </cell>
          <cell r="S403">
            <v>0</v>
          </cell>
        </row>
        <row r="404">
          <cell r="P404">
            <v>0</v>
          </cell>
          <cell r="Q404">
            <v>0</v>
          </cell>
          <cell r="S404">
            <v>0</v>
          </cell>
        </row>
        <row r="405">
          <cell r="P405">
            <v>0</v>
          </cell>
          <cell r="Q405">
            <v>0</v>
          </cell>
          <cell r="S405">
            <v>0</v>
          </cell>
        </row>
        <row r="406">
          <cell r="P406">
            <v>0</v>
          </cell>
          <cell r="Q406">
            <v>0</v>
          </cell>
          <cell r="S406">
            <v>0</v>
          </cell>
        </row>
        <row r="407">
          <cell r="P407">
            <v>0</v>
          </cell>
          <cell r="Q407">
            <v>0</v>
          </cell>
          <cell r="S407">
            <v>0</v>
          </cell>
        </row>
        <row r="408">
          <cell r="P408">
            <v>0</v>
          </cell>
          <cell r="Q408">
            <v>0</v>
          </cell>
          <cell r="S408">
            <v>0</v>
          </cell>
        </row>
      </sheetData>
      <sheetData sheetId="6" refreshError="1"/>
      <sheetData sheetId="7" refreshError="1"/>
      <sheetData sheetId="8">
        <row r="6">
          <cell r="C6" t="str">
            <v>КТКиСБ-235-5556-2011 эт.  04</v>
          </cell>
        </row>
      </sheetData>
      <sheetData sheetId="9">
        <row r="8">
          <cell r="D8" t="str">
            <v>(235-5556-2011)-5556/26-2012</v>
          </cell>
        </row>
      </sheetData>
      <sheetData sheetId="10" refreshError="1"/>
      <sheetData sheetId="11">
        <row r="2">
          <cell r="A2" t="str">
            <v>Эксперимент-110-2000-2012 эт.  15</v>
          </cell>
        </row>
      </sheetData>
      <sheetData sheetId="12" refreshError="1"/>
      <sheetData sheetId="13">
        <row r="2">
          <cell r="A2" t="str">
            <v>Эксперимент-110-2000-2012 эт.  15</v>
          </cell>
        </row>
      </sheetData>
      <sheetData sheetId="14">
        <row r="2">
          <cell r="A2" t="str">
            <v>Эксперимент-110-2000-2012 эт.  15</v>
          </cell>
        </row>
      </sheetData>
      <sheetData sheetId="15"/>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Список на надбавку за гос.тайну"/>
      <sheetName val="Сводная таблица"/>
      <sheetName val="СПИСОК"/>
      <sheetName val="Список должностей"/>
      <sheetName val="для ИРИНЫ ГАМЛЕТОВНЫ"/>
      <sheetName val="Переводка"/>
      <sheetName val="Изменения"/>
      <sheetName val="Лист3"/>
      <sheetName val="Лист2"/>
      <sheetName val="митин"/>
      <sheetName val="Лист4"/>
      <sheetName val="Лист6"/>
      <sheetName val="Аналитическая справка"/>
    </sheetNames>
    <sheetDataSet>
      <sheetData sheetId="0" refreshError="1"/>
      <sheetData sheetId="1" refreshError="1"/>
      <sheetData sheetId="2" refreshError="1"/>
      <sheetData sheetId="3" refreshError="1">
        <row r="2">
          <cell r="A2" t="str">
            <v>Ведущий инженер</v>
          </cell>
        </row>
        <row r="3">
          <cell r="A3" t="str">
            <v>Ведущий инженер-конструктор</v>
          </cell>
        </row>
        <row r="4">
          <cell r="A4" t="str">
            <v>Ведущий экономист</v>
          </cell>
        </row>
        <row r="5">
          <cell r="A5" t="str">
            <v>Ведущий научный сотрудник</v>
          </cell>
        </row>
        <row r="6">
          <cell r="A6" t="str">
            <v>Ведущий специалист</v>
          </cell>
        </row>
        <row r="7">
          <cell r="A7" t="str">
            <v>Водитель погрузчика</v>
          </cell>
        </row>
        <row r="8">
          <cell r="A8" t="str">
            <v>Главный научный сотрудник</v>
          </cell>
        </row>
        <row r="9">
          <cell r="A9" t="str">
            <v>Главный специалист</v>
          </cell>
        </row>
        <row r="10">
          <cell r="A10" t="str">
            <v>Главный специалист - начальник группы</v>
          </cell>
        </row>
        <row r="11">
          <cell r="A11" t="str">
            <v xml:space="preserve">Заместитель начальника Центра по экспериментальной базе - главный инженер </v>
          </cell>
        </row>
        <row r="12">
          <cell r="A12" t="str">
            <v xml:space="preserve">Заместитель начальника лаборатории </v>
          </cell>
        </row>
        <row r="13">
          <cell r="A13" t="str">
            <v xml:space="preserve">Заместитель начальника Центра прочности по экономической работе и планированию </v>
          </cell>
        </row>
        <row r="14">
          <cell r="A14" t="str">
            <v>Заместитель главного инженера Центра 5.</v>
          </cell>
        </row>
        <row r="15">
          <cell r="A15" t="str">
            <v>Заместитель начальника отдела</v>
          </cell>
        </row>
        <row r="16">
          <cell r="A16" t="str">
            <v xml:space="preserve">Заместитель начальника отдела - ведущий научный сотрудник </v>
          </cell>
        </row>
        <row r="17">
          <cell r="A17" t="str">
            <v xml:space="preserve">Заместитель начальника отдела - главный специалист </v>
          </cell>
        </row>
        <row r="18">
          <cell r="A18" t="str">
            <v>Заместитель начальника отдела - начальник сектора</v>
          </cell>
        </row>
        <row r="19">
          <cell r="A19" t="str">
            <v>Заведующий хозяйством</v>
          </cell>
        </row>
        <row r="20">
          <cell r="A20" t="str">
            <v>Заведующий складом ВВ</v>
          </cell>
        </row>
        <row r="21">
          <cell r="A21" t="str">
            <v>Заместитель начальника Центра по измерениям</v>
          </cell>
        </row>
        <row r="22">
          <cell r="A22" t="str">
            <v>И.О. начальника лаборатории</v>
          </cell>
        </row>
        <row r="23">
          <cell r="A23" t="str">
            <v>Инженер</v>
          </cell>
        </row>
        <row r="24">
          <cell r="A24" t="str">
            <v>Инженер 1 категории</v>
          </cell>
        </row>
        <row r="25">
          <cell r="A25" t="str">
            <v>Инженер-конструктор 1 категории</v>
          </cell>
        </row>
        <row r="26">
          <cell r="A26" t="str">
            <v>Инженер 2 категории</v>
          </cell>
        </row>
        <row r="27">
          <cell r="A27" t="str">
            <v>Испытатель измерительных систем 3 разряд</v>
          </cell>
        </row>
        <row r="28">
          <cell r="A28" t="str">
            <v>Испытатель измерительных систем 4 разряд</v>
          </cell>
        </row>
        <row r="29">
          <cell r="A29" t="str">
            <v>Испытатель измерительных систем 5 разряд</v>
          </cell>
        </row>
        <row r="30">
          <cell r="A30" t="str">
            <v>Испытатель измерительных систем 6 разряд</v>
          </cell>
        </row>
        <row r="31">
          <cell r="A31" t="str">
            <v>Консультант (научный)</v>
          </cell>
        </row>
        <row r="32">
          <cell r="A32" t="str">
            <v>Лаборант по физико-механическим испытаниям 5 разряд</v>
          </cell>
        </row>
        <row r="33">
          <cell r="A33" t="str">
            <v>Лаборант по физико-механическим испытаниям 6 разряд</v>
          </cell>
        </row>
        <row r="34">
          <cell r="A34" t="str">
            <v>Машинист крана 6 разряд (крановщик)</v>
          </cell>
        </row>
        <row r="35">
          <cell r="A35" t="str">
            <v>Монтажник электроизмерительной и специальной аппаратуры, 3 разряд</v>
          </cell>
        </row>
        <row r="36">
          <cell r="A36" t="str">
            <v>Монтажник электроизмерительной и специальной аппаратуры, 5 разряд</v>
          </cell>
        </row>
        <row r="37">
          <cell r="A37" t="str">
            <v>Монтажник электроизмерительной и специальной аппаратуры, 6 разряд</v>
          </cell>
        </row>
        <row r="38">
          <cell r="A38" t="str">
            <v>Младший научный сотрудник</v>
          </cell>
        </row>
        <row r="39">
          <cell r="A39" t="str">
            <v>Начальник группы</v>
          </cell>
        </row>
        <row r="40">
          <cell r="A40" t="str">
            <v>Начальник лаборатории</v>
          </cell>
        </row>
        <row r="41">
          <cell r="A41" t="str">
            <v>Начальник лаборатории - руководитель взрывных работ</v>
          </cell>
        </row>
        <row r="42">
          <cell r="A42" t="str">
            <v>Начальник отдела</v>
          </cell>
        </row>
        <row r="43">
          <cell r="A43" t="str">
            <v>Начальник ПЭБ</v>
          </cell>
        </row>
        <row r="44">
          <cell r="A44" t="str">
            <v>Начальник сектора</v>
          </cell>
        </row>
        <row r="45">
          <cell r="A45" t="str">
            <v>Начальник сектора - Заместитель начальника отдела</v>
          </cell>
        </row>
        <row r="46">
          <cell r="A46" t="str">
            <v>Начальник сектора -руководитель взрывных работ</v>
          </cell>
        </row>
        <row r="47">
          <cell r="A47" t="str">
            <v>Начальник стенда</v>
          </cell>
        </row>
        <row r="48">
          <cell r="A48" t="str">
            <v>Начальник стенда - руководитель группы</v>
          </cell>
        </row>
        <row r="49">
          <cell r="A49" t="str">
            <v>Начальник центра прочности</v>
          </cell>
        </row>
        <row r="50">
          <cell r="A50" t="str">
            <v>Помощник руководителя</v>
          </cell>
        </row>
        <row r="51">
          <cell r="A51" t="str">
            <v>Слесарь-испытатель 5 разряд</v>
          </cell>
        </row>
        <row r="52">
          <cell r="A52" t="str">
            <v>Слесарь-испытатель, взрывник 6 разряд</v>
          </cell>
        </row>
        <row r="53">
          <cell r="A53" t="str">
            <v>Слесарь-испытатель 4 разряд</v>
          </cell>
        </row>
        <row r="54">
          <cell r="A54" t="str">
            <v>Слесарь-испытатель изделий 3 разряд</v>
          </cell>
        </row>
        <row r="55">
          <cell r="A55" t="str">
            <v>Слесарь-испытатель 6 разряд</v>
          </cell>
        </row>
        <row r="56">
          <cell r="A56" t="str">
            <v>Слесарь-сборщик 6 разряд</v>
          </cell>
        </row>
        <row r="57">
          <cell r="A57" t="str">
            <v>Слесарь по КИПиА 5 разряд</v>
          </cell>
        </row>
        <row r="58">
          <cell r="A58" t="str">
            <v>Слесарь-ремонтник 2 разряд</v>
          </cell>
        </row>
        <row r="59">
          <cell r="A59" t="str">
            <v>Слесарь-ремонтник 5 разряд</v>
          </cell>
        </row>
        <row r="60">
          <cell r="A60" t="str">
            <v>Слесарь-ремонтник 6 разряд</v>
          </cell>
        </row>
        <row r="61">
          <cell r="A61" t="str">
            <v>Специалист</v>
          </cell>
        </row>
        <row r="62">
          <cell r="A62" t="str">
            <v>Старший инспектор</v>
          </cell>
        </row>
        <row r="63">
          <cell r="A63" t="str">
            <v>Старший научный сотрудник</v>
          </cell>
        </row>
        <row r="64">
          <cell r="A64" t="str">
            <v>Старший табельщик</v>
          </cell>
        </row>
        <row r="65">
          <cell r="A65" t="str">
            <v>Техник</v>
          </cell>
        </row>
        <row r="66">
          <cell r="A66" t="str">
            <v>Техник 1 категории</v>
          </cell>
        </row>
        <row r="67">
          <cell r="A67" t="str">
            <v>Техник 2 категории</v>
          </cell>
        </row>
        <row r="68">
          <cell r="A68" t="str">
            <v>Токарь 6 разряд</v>
          </cell>
        </row>
        <row r="69">
          <cell r="A69" t="str">
            <v>Уборщик производственных помещений</v>
          </cell>
        </row>
        <row r="70">
          <cell r="A70" t="str">
            <v>Уборщик производственных и служебных помещений</v>
          </cell>
        </row>
        <row r="71">
          <cell r="A71" t="str">
            <v>Экономист 1 категории</v>
          </cell>
        </row>
        <row r="72">
          <cell r="A72" t="str">
            <v>Электромонтер по ремонту и обслуживанию электрооборудования 6 разряд</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Ввод_данных"/>
      <sheetName val="Стр гориз"/>
      <sheetName val="Структура"/>
      <sheetName val="ФОТ"/>
      <sheetName val="ФОТ 14%"/>
      <sheetName val="ПЗ г"/>
      <sheetName val="ПЗ 2"/>
      <sheetName val="ПЗ э"/>
      <sheetName val="Матер"/>
      <sheetName val="Прочие"/>
      <sheetName val="Спецобор-е"/>
      <sheetName val="Стор-е"/>
      <sheetName val="Лист соглас."/>
      <sheetName val="ПрТвЦ"/>
      <sheetName val="КЗ"/>
      <sheetName val="Решение"/>
      <sheetName val="ЛР"/>
      <sheetName val="Списк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B3" t="str">
            <v>НИР</v>
          </cell>
          <cell r="L3" t="str">
            <v>ОАО ИСС им. ак. М.Ф.Решетнева</v>
          </cell>
        </row>
        <row r="4">
          <cell r="L4" t="str">
            <v>ООО Новатест</v>
          </cell>
        </row>
        <row r="5">
          <cell r="L5" t="str">
            <v>ИКИ РАН</v>
          </cell>
        </row>
        <row r="6">
          <cell r="L6" t="str">
            <v>ФГУП НПО им.С.А.Лавочкина</v>
          </cell>
        </row>
        <row r="7">
          <cell r="L7" t="str">
            <v>ОАО Конструкторское бюро химавтоматики</v>
          </cell>
        </row>
        <row r="8">
          <cell r="L8" t="str">
            <v>ФГУП ФЦДТ Союз</v>
          </cell>
        </row>
        <row r="9">
          <cell r="L9" t="str">
            <v>ФГУП НПЦ АП им. Н.А.Пилюгина</v>
          </cell>
        </row>
        <row r="10">
          <cell r="L10" t="str">
            <v>ФГУП ЦЭНКИ</v>
          </cell>
        </row>
        <row r="11">
          <cell r="L11" t="str">
            <v>ФГУП ГКНПЦ им. М.В.Хруничева»</v>
          </cell>
        </row>
        <row r="12">
          <cell r="L12" t="str">
            <v xml:space="preserve">Московский авиационный институт (национальный исследовательский университет) МАИ. </v>
          </cell>
        </row>
        <row r="13">
          <cell r="L13" t="str">
            <v xml:space="preserve">НИИ ПМЭ МАИ. </v>
          </cell>
        </row>
        <row r="14">
          <cell r="L14" t="str">
            <v xml:space="preserve">ИПМ им. М.В. Келдыша РАН. </v>
          </cell>
        </row>
        <row r="15">
          <cell r="L15" t="str">
            <v xml:space="preserve">ОАО НПО Орион. </v>
          </cell>
        </row>
        <row r="16">
          <cell r="L16" t="str">
            <v>Автономная некоммерческая организация Научно-инновационный центр ракетно-космических технологий (АНО НИЦ РКТ)</v>
          </cell>
        </row>
        <row r="17">
          <cell r="L17" t="str">
            <v>ООО Лаборатория автоматизированных систем (АС)</v>
          </cell>
        </row>
      </sheetData>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стрк (расчет)"/>
      <sheetName val="Струк для соглас крупной сделки"/>
      <sheetName val="ЛС к пр.разногласий"/>
      <sheetName val="ЛС к договору"/>
      <sheetName val="Пр тв цены"/>
      <sheetName val="ПЗ (Ф 1)"/>
      <sheetName val="Смета (Ф 2)"/>
      <sheetName val="Стр (Ф 3)"/>
      <sheetName val="ФОТ (Ф 5)"/>
      <sheetName val="ФОТ 14"/>
      <sheetName val="ЛР "/>
      <sheetName val="КЗ (30.03.15)"/>
      <sheetName val="Ф1 (Протокол цены)"/>
      <sheetName val="Ф2 (НИОКР)"/>
      <sheetName val="Ф2.1 (этапы)"/>
      <sheetName val="Ф6 (ФОТ)"/>
      <sheetName val="Ф6.1 (ФОТ осн)"/>
      <sheetName val="КЗ (действ.)"/>
    </sheetNames>
    <sheetDataSet>
      <sheetData sheetId="0">
        <row r="19">
          <cell r="C19">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Протокол"/>
      <sheetName val="Смета"/>
      <sheetName val="Смета НР"/>
      <sheetName val="Лист1"/>
      <sheetName val="СВОД_НР"/>
      <sheetName val="СВОД_НР_2017_2018"/>
      <sheetName val="25"/>
      <sheetName val="26"/>
      <sheetName val="ОПР"/>
      <sheetName val="ОХР"/>
      <sheetName val="Смета (2)"/>
      <sheetName val="Смета НР (2)"/>
      <sheetName val="Лист7"/>
      <sheetName val="СВОД_НР_2018"/>
      <sheetName val="25_2018"/>
      <sheetName val="26_2018"/>
      <sheetName val="ОПР_2018"/>
      <sheetName val="ОХР_2018"/>
      <sheetName val="таблица с данным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Договор"/>
      <sheetName val="Доп_согл"/>
      <sheetName val="Протокол"/>
      <sheetName val="Протокол (мод 1-1)Мал"/>
      <sheetName val="Протокол (мод 1-1)Мар"/>
      <sheetName val="п.зап."/>
      <sheetName val="структ_цен"/>
      <sheetName val="Спец_об"/>
      <sheetName val="материалы"/>
      <sheetName val="материалы (2)"/>
      <sheetName val="труд - ть"/>
      <sheetName val="расш_зарпл."/>
      <sheetName val="к_агенты"/>
      <sheetName val="ком."/>
      <sheetName val="закл_ПЗ"/>
      <sheetName val="закл_ПЗ (мод1-1)"/>
      <sheetName val="Сопр_письмо"/>
      <sheetName val="Сопр_письмо (К-А)"/>
      <sheetName val="Сопр_письмо (факт_затр)"/>
      <sheetName val="Воронеж_к-а"/>
      <sheetName val="материалы. (факт)"/>
    </sheetNames>
    <sheetDataSet>
      <sheetData sheetId="0">
        <row r="242">
          <cell r="B242">
            <v>2500000</v>
          </cell>
        </row>
        <row r="246">
          <cell r="B246">
            <v>300000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theme="9" tint="0.7999816888943144"/>
    <outlinePr summaryBelow="1" summaryRight="1"/>
    <pageSetUpPr fitToPage="1"/>
  </sheetPr>
  <dimension ref="A1:O29"/>
  <sheetViews>
    <sheetView view="pageBreakPreview" topLeftCell="A10" zoomScale="71" zoomScaleNormal="90" zoomScaleSheetLayoutView="71" zoomScalePageLayoutView="70" workbookViewId="0">
      <selection activeCell="K28" sqref="K28:K29"/>
    </sheetView>
  </sheetViews>
  <sheetFormatPr baseColWidth="8" defaultColWidth="0.85546875" defaultRowHeight="12.75"/>
  <cols>
    <col width="6.140625" customWidth="1" style="22" min="1" max="1"/>
    <col width="54.5703125" customWidth="1" style="22" min="2" max="2"/>
    <col width="14.5703125" customWidth="1" style="22" min="3" max="3"/>
    <col width="11" customWidth="1" style="22" min="4" max="4"/>
    <col width="10.85546875" customWidth="1" style="22" min="5" max="5"/>
    <col width="12.85546875" customWidth="1" style="22" min="6" max="6"/>
    <col width="33.7109375" customWidth="1" style="22" min="7" max="7"/>
    <col width="13.5703125" customWidth="1" style="22" min="8" max="8"/>
    <col width="15.42578125" customWidth="1" style="22" min="9" max="9"/>
    <col width="19.85546875" customWidth="1" style="22" min="10" max="10"/>
    <col width="23.5703125" customWidth="1" style="22" min="11" max="11"/>
    <col width="19.7109375" customWidth="1" style="22" min="12" max="12"/>
    <col width="20.5703125" customWidth="1" style="22" min="13" max="13"/>
    <col width="14.85546875" customWidth="1" style="22" min="14" max="14"/>
    <col width="19.42578125" customWidth="1" style="22" min="15" max="15"/>
    <col width="0.85546875" customWidth="1" style="22" min="16" max="256"/>
    <col width="6.140625" customWidth="1" style="22" min="257" max="257"/>
    <col width="42.85546875" customWidth="1" style="22" min="258" max="258"/>
    <col width="14.5703125" customWidth="1" style="22" min="259" max="259"/>
    <col width="11" customWidth="1" style="22" min="260" max="260"/>
    <col width="10.85546875" customWidth="1" style="22" min="261" max="261"/>
    <col width="12" customWidth="1" style="22" min="262" max="262"/>
    <col width="41.5703125" customWidth="1" style="22" min="263" max="263"/>
    <col width="13.5703125" customWidth="1" style="22" min="264" max="264"/>
    <col width="15.42578125" customWidth="1" style="22" min="265" max="265"/>
    <col width="26.42578125" customWidth="1" style="22" min="266" max="266"/>
    <col width="27" customWidth="1" style="22" min="267" max="267"/>
    <col width="24.85546875" customWidth="1" style="22" min="268" max="268"/>
    <col width="20.5703125" customWidth="1" style="22" min="269" max="269"/>
    <col width="14.85546875" customWidth="1" style="22" min="270" max="270"/>
    <col width="19.5703125" customWidth="1" style="22" min="271" max="271"/>
    <col width="0.85546875" customWidth="1" style="22" min="272" max="512"/>
    <col width="6.140625" customWidth="1" style="22" min="513" max="513"/>
    <col width="42.85546875" customWidth="1" style="22" min="514" max="514"/>
    <col width="14.5703125" customWidth="1" style="22" min="515" max="515"/>
    <col width="11" customWidth="1" style="22" min="516" max="516"/>
    <col width="10.85546875" customWidth="1" style="22" min="517" max="517"/>
    <col width="12" customWidth="1" style="22" min="518" max="518"/>
    <col width="41.5703125" customWidth="1" style="22" min="519" max="519"/>
    <col width="13.5703125" customWidth="1" style="22" min="520" max="520"/>
    <col width="15.42578125" customWidth="1" style="22" min="521" max="521"/>
    <col width="26.42578125" customWidth="1" style="22" min="522" max="522"/>
    <col width="27" customWidth="1" style="22" min="523" max="523"/>
    <col width="24.85546875" customWidth="1" style="22" min="524" max="524"/>
    <col width="20.5703125" customWidth="1" style="22" min="525" max="525"/>
    <col width="14.85546875" customWidth="1" style="22" min="526" max="526"/>
    <col width="19.5703125" customWidth="1" style="22" min="527" max="527"/>
    <col width="0.85546875" customWidth="1" style="22" min="528" max="768"/>
    <col width="6.140625" customWidth="1" style="22" min="769" max="769"/>
    <col width="42.85546875" customWidth="1" style="22" min="770" max="770"/>
    <col width="14.5703125" customWidth="1" style="22" min="771" max="771"/>
    <col width="11" customWidth="1" style="22" min="772" max="772"/>
    <col width="10.85546875" customWidth="1" style="22" min="773" max="773"/>
    <col width="12" customWidth="1" style="22" min="774" max="774"/>
    <col width="41.5703125" customWidth="1" style="22" min="775" max="775"/>
    <col width="13.5703125" customWidth="1" style="22" min="776" max="776"/>
    <col width="15.42578125" customWidth="1" style="22" min="777" max="777"/>
    <col width="26.42578125" customWidth="1" style="22" min="778" max="778"/>
    <col width="27" customWidth="1" style="22" min="779" max="779"/>
    <col width="24.85546875" customWidth="1" style="22" min="780" max="780"/>
    <col width="20.5703125" customWidth="1" style="22" min="781" max="781"/>
    <col width="14.85546875" customWidth="1" style="22" min="782" max="782"/>
    <col width="19.5703125" customWidth="1" style="22" min="783" max="783"/>
    <col width="0.85546875" customWidth="1" style="22" min="784" max="1024"/>
    <col width="6.140625" customWidth="1" style="22" min="1025" max="1025"/>
    <col width="42.85546875" customWidth="1" style="22" min="1026" max="1026"/>
    <col width="14.5703125" customWidth="1" style="22" min="1027" max="1027"/>
    <col width="11" customWidth="1" style="22" min="1028" max="1028"/>
    <col width="10.85546875" customWidth="1" style="22" min="1029" max="1029"/>
    <col width="12" customWidth="1" style="22" min="1030" max="1030"/>
    <col width="41.5703125" customWidth="1" style="22" min="1031" max="1031"/>
    <col width="13.5703125" customWidth="1" style="22" min="1032" max="1032"/>
    <col width="15.42578125" customWidth="1" style="22" min="1033" max="1033"/>
    <col width="26.42578125" customWidth="1" style="22" min="1034" max="1034"/>
    <col width="27" customWidth="1" style="22" min="1035" max="1035"/>
    <col width="24.85546875" customWidth="1" style="22" min="1036" max="1036"/>
    <col width="20.5703125" customWidth="1" style="22" min="1037" max="1037"/>
    <col width="14.85546875" customWidth="1" style="22" min="1038" max="1038"/>
    <col width="19.5703125" customWidth="1" style="22" min="1039" max="1039"/>
    <col width="0.85546875" customWidth="1" style="22" min="1040" max="1280"/>
    <col width="6.140625" customWidth="1" style="22" min="1281" max="1281"/>
    <col width="42.85546875" customWidth="1" style="22" min="1282" max="1282"/>
    <col width="14.5703125" customWidth="1" style="22" min="1283" max="1283"/>
    <col width="11" customWidth="1" style="22" min="1284" max="1284"/>
    <col width="10.85546875" customWidth="1" style="22" min="1285" max="1285"/>
    <col width="12" customWidth="1" style="22" min="1286" max="1286"/>
    <col width="41.5703125" customWidth="1" style="22" min="1287" max="1287"/>
    <col width="13.5703125" customWidth="1" style="22" min="1288" max="1288"/>
    <col width="15.42578125" customWidth="1" style="22" min="1289" max="1289"/>
    <col width="26.42578125" customWidth="1" style="22" min="1290" max="1290"/>
    <col width="27" customWidth="1" style="22" min="1291" max="1291"/>
    <col width="24.85546875" customWidth="1" style="22" min="1292" max="1292"/>
    <col width="20.5703125" customWidth="1" style="22" min="1293" max="1293"/>
    <col width="14.85546875" customWidth="1" style="22" min="1294" max="1294"/>
    <col width="19.5703125" customWidth="1" style="22" min="1295" max="1295"/>
    <col width="0.85546875" customWidth="1" style="22" min="1296" max="1536"/>
    <col width="6.140625" customWidth="1" style="22" min="1537" max="1537"/>
    <col width="42.85546875" customWidth="1" style="22" min="1538" max="1538"/>
    <col width="14.5703125" customWidth="1" style="22" min="1539" max="1539"/>
    <col width="11" customWidth="1" style="22" min="1540" max="1540"/>
    <col width="10.85546875" customWidth="1" style="22" min="1541" max="1541"/>
    <col width="12" customWidth="1" style="22" min="1542" max="1542"/>
    <col width="41.5703125" customWidth="1" style="22" min="1543" max="1543"/>
    <col width="13.5703125" customWidth="1" style="22" min="1544" max="1544"/>
    <col width="15.42578125" customWidth="1" style="22" min="1545" max="1545"/>
    <col width="26.42578125" customWidth="1" style="22" min="1546" max="1546"/>
    <col width="27" customWidth="1" style="22" min="1547" max="1547"/>
    <col width="24.85546875" customWidth="1" style="22" min="1548" max="1548"/>
    <col width="20.5703125" customWidth="1" style="22" min="1549" max="1549"/>
    <col width="14.85546875" customWidth="1" style="22" min="1550" max="1550"/>
    <col width="19.5703125" customWidth="1" style="22" min="1551" max="1551"/>
    <col width="0.85546875" customWidth="1" style="22" min="1552" max="1792"/>
    <col width="6.140625" customWidth="1" style="22" min="1793" max="1793"/>
    <col width="42.85546875" customWidth="1" style="22" min="1794" max="1794"/>
    <col width="14.5703125" customWidth="1" style="22" min="1795" max="1795"/>
    <col width="11" customWidth="1" style="22" min="1796" max="1796"/>
    <col width="10.85546875" customWidth="1" style="22" min="1797" max="1797"/>
    <col width="12" customWidth="1" style="22" min="1798" max="1798"/>
    <col width="41.5703125" customWidth="1" style="22" min="1799" max="1799"/>
    <col width="13.5703125" customWidth="1" style="22" min="1800" max="1800"/>
    <col width="15.42578125" customWidth="1" style="22" min="1801" max="1801"/>
    <col width="26.42578125" customWidth="1" style="22" min="1802" max="1802"/>
    <col width="27" customWidth="1" style="22" min="1803" max="1803"/>
    <col width="24.85546875" customWidth="1" style="22" min="1804" max="1804"/>
    <col width="20.5703125" customWidth="1" style="22" min="1805" max="1805"/>
    <col width="14.85546875" customWidth="1" style="22" min="1806" max="1806"/>
    <col width="19.5703125" customWidth="1" style="22" min="1807" max="1807"/>
    <col width="0.85546875" customWidth="1" style="22" min="1808" max="2048"/>
    <col width="6.140625" customWidth="1" style="22" min="2049" max="2049"/>
    <col width="42.85546875" customWidth="1" style="22" min="2050" max="2050"/>
    <col width="14.5703125" customWidth="1" style="22" min="2051" max="2051"/>
    <col width="11" customWidth="1" style="22" min="2052" max="2052"/>
    <col width="10.85546875" customWidth="1" style="22" min="2053" max="2053"/>
    <col width="12" customWidth="1" style="22" min="2054" max="2054"/>
    <col width="41.5703125" customWidth="1" style="22" min="2055" max="2055"/>
    <col width="13.5703125" customWidth="1" style="22" min="2056" max="2056"/>
    <col width="15.42578125" customWidth="1" style="22" min="2057" max="2057"/>
    <col width="26.42578125" customWidth="1" style="22" min="2058" max="2058"/>
    <col width="27" customWidth="1" style="22" min="2059" max="2059"/>
    <col width="24.85546875" customWidth="1" style="22" min="2060" max="2060"/>
    <col width="20.5703125" customWidth="1" style="22" min="2061" max="2061"/>
    <col width="14.85546875" customWidth="1" style="22" min="2062" max="2062"/>
    <col width="19.5703125" customWidth="1" style="22" min="2063" max="2063"/>
    <col width="0.85546875" customWidth="1" style="22" min="2064" max="2304"/>
    <col width="6.140625" customWidth="1" style="22" min="2305" max="2305"/>
    <col width="42.85546875" customWidth="1" style="22" min="2306" max="2306"/>
    <col width="14.5703125" customWidth="1" style="22" min="2307" max="2307"/>
    <col width="11" customWidth="1" style="22" min="2308" max="2308"/>
    <col width="10.85546875" customWidth="1" style="22" min="2309" max="2309"/>
    <col width="12" customWidth="1" style="22" min="2310" max="2310"/>
    <col width="41.5703125" customWidth="1" style="22" min="2311" max="2311"/>
    <col width="13.5703125" customWidth="1" style="22" min="2312" max="2312"/>
    <col width="15.42578125" customWidth="1" style="22" min="2313" max="2313"/>
    <col width="26.42578125" customWidth="1" style="22" min="2314" max="2314"/>
    <col width="27" customWidth="1" style="22" min="2315" max="2315"/>
    <col width="24.85546875" customWidth="1" style="22" min="2316" max="2316"/>
    <col width="20.5703125" customWidth="1" style="22" min="2317" max="2317"/>
    <col width="14.85546875" customWidth="1" style="22" min="2318" max="2318"/>
    <col width="19.5703125" customWidth="1" style="22" min="2319" max="2319"/>
    <col width="0.85546875" customWidth="1" style="22" min="2320" max="2560"/>
    <col width="6.140625" customWidth="1" style="22" min="2561" max="2561"/>
    <col width="42.85546875" customWidth="1" style="22" min="2562" max="2562"/>
    <col width="14.5703125" customWidth="1" style="22" min="2563" max="2563"/>
    <col width="11" customWidth="1" style="22" min="2564" max="2564"/>
    <col width="10.85546875" customWidth="1" style="22" min="2565" max="2565"/>
    <col width="12" customWidth="1" style="22" min="2566" max="2566"/>
    <col width="41.5703125" customWidth="1" style="22" min="2567" max="2567"/>
    <col width="13.5703125" customWidth="1" style="22" min="2568" max="2568"/>
    <col width="15.42578125" customWidth="1" style="22" min="2569" max="2569"/>
    <col width="26.42578125" customWidth="1" style="22" min="2570" max="2570"/>
    <col width="27" customWidth="1" style="22" min="2571" max="2571"/>
    <col width="24.85546875" customWidth="1" style="22" min="2572" max="2572"/>
    <col width="20.5703125" customWidth="1" style="22" min="2573" max="2573"/>
    <col width="14.85546875" customWidth="1" style="22" min="2574" max="2574"/>
    <col width="19.5703125" customWidth="1" style="22" min="2575" max="2575"/>
    <col width="0.85546875" customWidth="1" style="22" min="2576" max="2816"/>
    <col width="6.140625" customWidth="1" style="22" min="2817" max="2817"/>
    <col width="42.85546875" customWidth="1" style="22" min="2818" max="2818"/>
    <col width="14.5703125" customWidth="1" style="22" min="2819" max="2819"/>
    <col width="11" customWidth="1" style="22" min="2820" max="2820"/>
    <col width="10.85546875" customWidth="1" style="22" min="2821" max="2821"/>
    <col width="12" customWidth="1" style="22" min="2822" max="2822"/>
    <col width="41.5703125" customWidth="1" style="22" min="2823" max="2823"/>
    <col width="13.5703125" customWidth="1" style="22" min="2824" max="2824"/>
    <col width="15.42578125" customWidth="1" style="22" min="2825" max="2825"/>
    <col width="26.42578125" customWidth="1" style="22" min="2826" max="2826"/>
    <col width="27" customWidth="1" style="22" min="2827" max="2827"/>
    <col width="24.85546875" customWidth="1" style="22" min="2828" max="2828"/>
    <col width="20.5703125" customWidth="1" style="22" min="2829" max="2829"/>
    <col width="14.85546875" customWidth="1" style="22" min="2830" max="2830"/>
    <col width="19.5703125" customWidth="1" style="22" min="2831" max="2831"/>
    <col width="0.85546875" customWidth="1" style="22" min="2832" max="3072"/>
    <col width="6.140625" customWidth="1" style="22" min="3073" max="3073"/>
    <col width="42.85546875" customWidth="1" style="22" min="3074" max="3074"/>
    <col width="14.5703125" customWidth="1" style="22" min="3075" max="3075"/>
    <col width="11" customWidth="1" style="22" min="3076" max="3076"/>
    <col width="10.85546875" customWidth="1" style="22" min="3077" max="3077"/>
    <col width="12" customWidth="1" style="22" min="3078" max="3078"/>
    <col width="41.5703125" customWidth="1" style="22" min="3079" max="3079"/>
    <col width="13.5703125" customWidth="1" style="22" min="3080" max="3080"/>
    <col width="15.42578125" customWidth="1" style="22" min="3081" max="3081"/>
    <col width="26.42578125" customWidth="1" style="22" min="3082" max="3082"/>
    <col width="27" customWidth="1" style="22" min="3083" max="3083"/>
    <col width="24.85546875" customWidth="1" style="22" min="3084" max="3084"/>
    <col width="20.5703125" customWidth="1" style="22" min="3085" max="3085"/>
    <col width="14.85546875" customWidth="1" style="22" min="3086" max="3086"/>
    <col width="19.5703125" customWidth="1" style="22" min="3087" max="3087"/>
    <col width="0.85546875" customWidth="1" style="22" min="3088" max="3328"/>
    <col width="6.140625" customWidth="1" style="22" min="3329" max="3329"/>
    <col width="42.85546875" customWidth="1" style="22" min="3330" max="3330"/>
    <col width="14.5703125" customWidth="1" style="22" min="3331" max="3331"/>
    <col width="11" customWidth="1" style="22" min="3332" max="3332"/>
    <col width="10.85546875" customWidth="1" style="22" min="3333" max="3333"/>
    <col width="12" customWidth="1" style="22" min="3334" max="3334"/>
    <col width="41.5703125" customWidth="1" style="22" min="3335" max="3335"/>
    <col width="13.5703125" customWidth="1" style="22" min="3336" max="3336"/>
    <col width="15.42578125" customWidth="1" style="22" min="3337" max="3337"/>
    <col width="26.42578125" customWidth="1" style="22" min="3338" max="3338"/>
    <col width="27" customWidth="1" style="22" min="3339" max="3339"/>
    <col width="24.85546875" customWidth="1" style="22" min="3340" max="3340"/>
    <col width="20.5703125" customWidth="1" style="22" min="3341" max="3341"/>
    <col width="14.85546875" customWidth="1" style="22" min="3342" max="3342"/>
    <col width="19.5703125" customWidth="1" style="22" min="3343" max="3343"/>
    <col width="0.85546875" customWidth="1" style="22" min="3344" max="3584"/>
    <col width="6.140625" customWidth="1" style="22" min="3585" max="3585"/>
    <col width="42.85546875" customWidth="1" style="22" min="3586" max="3586"/>
    <col width="14.5703125" customWidth="1" style="22" min="3587" max="3587"/>
    <col width="11" customWidth="1" style="22" min="3588" max="3588"/>
    <col width="10.85546875" customWidth="1" style="22" min="3589" max="3589"/>
    <col width="12" customWidth="1" style="22" min="3590" max="3590"/>
    <col width="41.5703125" customWidth="1" style="22" min="3591" max="3591"/>
    <col width="13.5703125" customWidth="1" style="22" min="3592" max="3592"/>
    <col width="15.42578125" customWidth="1" style="22" min="3593" max="3593"/>
    <col width="26.42578125" customWidth="1" style="22" min="3594" max="3594"/>
    <col width="27" customWidth="1" style="22" min="3595" max="3595"/>
    <col width="24.85546875" customWidth="1" style="22" min="3596" max="3596"/>
    <col width="20.5703125" customWidth="1" style="22" min="3597" max="3597"/>
    <col width="14.85546875" customWidth="1" style="22" min="3598" max="3598"/>
    <col width="19.5703125" customWidth="1" style="22" min="3599" max="3599"/>
    <col width="0.85546875" customWidth="1" style="22" min="3600" max="3840"/>
    <col width="6.140625" customWidth="1" style="22" min="3841" max="3841"/>
    <col width="42.85546875" customWidth="1" style="22" min="3842" max="3842"/>
    <col width="14.5703125" customWidth="1" style="22" min="3843" max="3843"/>
    <col width="11" customWidth="1" style="22" min="3844" max="3844"/>
    <col width="10.85546875" customWidth="1" style="22" min="3845" max="3845"/>
    <col width="12" customWidth="1" style="22" min="3846" max="3846"/>
    <col width="41.5703125" customWidth="1" style="22" min="3847" max="3847"/>
    <col width="13.5703125" customWidth="1" style="22" min="3848" max="3848"/>
    <col width="15.42578125" customWidth="1" style="22" min="3849" max="3849"/>
    <col width="26.42578125" customWidth="1" style="22" min="3850" max="3850"/>
    <col width="27" customWidth="1" style="22" min="3851" max="3851"/>
    <col width="24.85546875" customWidth="1" style="22" min="3852" max="3852"/>
    <col width="20.5703125" customWidth="1" style="22" min="3853" max="3853"/>
    <col width="14.85546875" customWidth="1" style="22" min="3854" max="3854"/>
    <col width="19.5703125" customWidth="1" style="22" min="3855" max="3855"/>
    <col width="0.85546875" customWidth="1" style="22" min="3856" max="4096"/>
    <col width="6.140625" customWidth="1" style="22" min="4097" max="4097"/>
    <col width="42.85546875" customWidth="1" style="22" min="4098" max="4098"/>
    <col width="14.5703125" customWidth="1" style="22" min="4099" max="4099"/>
    <col width="11" customWidth="1" style="22" min="4100" max="4100"/>
    <col width="10.85546875" customWidth="1" style="22" min="4101" max="4101"/>
    <col width="12" customWidth="1" style="22" min="4102" max="4102"/>
    <col width="41.5703125" customWidth="1" style="22" min="4103" max="4103"/>
    <col width="13.5703125" customWidth="1" style="22" min="4104" max="4104"/>
    <col width="15.42578125" customWidth="1" style="22" min="4105" max="4105"/>
    <col width="26.42578125" customWidth="1" style="22" min="4106" max="4106"/>
    <col width="27" customWidth="1" style="22" min="4107" max="4107"/>
    <col width="24.85546875" customWidth="1" style="22" min="4108" max="4108"/>
    <col width="20.5703125" customWidth="1" style="22" min="4109" max="4109"/>
    <col width="14.85546875" customWidth="1" style="22" min="4110" max="4110"/>
    <col width="19.5703125" customWidth="1" style="22" min="4111" max="4111"/>
    <col width="0.85546875" customWidth="1" style="22" min="4112" max="4352"/>
    <col width="6.140625" customWidth="1" style="22" min="4353" max="4353"/>
    <col width="42.85546875" customWidth="1" style="22" min="4354" max="4354"/>
    <col width="14.5703125" customWidth="1" style="22" min="4355" max="4355"/>
    <col width="11" customWidth="1" style="22" min="4356" max="4356"/>
    <col width="10.85546875" customWidth="1" style="22" min="4357" max="4357"/>
    <col width="12" customWidth="1" style="22" min="4358" max="4358"/>
    <col width="41.5703125" customWidth="1" style="22" min="4359" max="4359"/>
    <col width="13.5703125" customWidth="1" style="22" min="4360" max="4360"/>
    <col width="15.42578125" customWidth="1" style="22" min="4361" max="4361"/>
    <col width="26.42578125" customWidth="1" style="22" min="4362" max="4362"/>
    <col width="27" customWidth="1" style="22" min="4363" max="4363"/>
    <col width="24.85546875" customWidth="1" style="22" min="4364" max="4364"/>
    <col width="20.5703125" customWidth="1" style="22" min="4365" max="4365"/>
    <col width="14.85546875" customWidth="1" style="22" min="4366" max="4366"/>
    <col width="19.5703125" customWidth="1" style="22" min="4367" max="4367"/>
    <col width="0.85546875" customWidth="1" style="22" min="4368" max="4608"/>
    <col width="6.140625" customWidth="1" style="22" min="4609" max="4609"/>
    <col width="42.85546875" customWidth="1" style="22" min="4610" max="4610"/>
    <col width="14.5703125" customWidth="1" style="22" min="4611" max="4611"/>
    <col width="11" customWidth="1" style="22" min="4612" max="4612"/>
    <col width="10.85546875" customWidth="1" style="22" min="4613" max="4613"/>
    <col width="12" customWidth="1" style="22" min="4614" max="4614"/>
    <col width="41.5703125" customWidth="1" style="22" min="4615" max="4615"/>
    <col width="13.5703125" customWidth="1" style="22" min="4616" max="4616"/>
    <col width="15.42578125" customWidth="1" style="22" min="4617" max="4617"/>
    <col width="26.42578125" customWidth="1" style="22" min="4618" max="4618"/>
    <col width="27" customWidth="1" style="22" min="4619" max="4619"/>
    <col width="24.85546875" customWidth="1" style="22" min="4620" max="4620"/>
    <col width="20.5703125" customWidth="1" style="22" min="4621" max="4621"/>
    <col width="14.85546875" customWidth="1" style="22" min="4622" max="4622"/>
    <col width="19.5703125" customWidth="1" style="22" min="4623" max="4623"/>
    <col width="0.85546875" customWidth="1" style="22" min="4624" max="4864"/>
    <col width="6.140625" customWidth="1" style="22" min="4865" max="4865"/>
    <col width="42.85546875" customWidth="1" style="22" min="4866" max="4866"/>
    <col width="14.5703125" customWidth="1" style="22" min="4867" max="4867"/>
    <col width="11" customWidth="1" style="22" min="4868" max="4868"/>
    <col width="10.85546875" customWidth="1" style="22" min="4869" max="4869"/>
    <col width="12" customWidth="1" style="22" min="4870" max="4870"/>
    <col width="41.5703125" customWidth="1" style="22" min="4871" max="4871"/>
    <col width="13.5703125" customWidth="1" style="22" min="4872" max="4872"/>
    <col width="15.42578125" customWidth="1" style="22" min="4873" max="4873"/>
    <col width="26.42578125" customWidth="1" style="22" min="4874" max="4874"/>
    <col width="27" customWidth="1" style="22" min="4875" max="4875"/>
    <col width="24.85546875" customWidth="1" style="22" min="4876" max="4876"/>
    <col width="20.5703125" customWidth="1" style="22" min="4877" max="4877"/>
    <col width="14.85546875" customWidth="1" style="22" min="4878" max="4878"/>
    <col width="19.5703125" customWidth="1" style="22" min="4879" max="4879"/>
    <col width="0.85546875" customWidth="1" style="22" min="4880" max="5120"/>
    <col width="6.140625" customWidth="1" style="22" min="5121" max="5121"/>
    <col width="42.85546875" customWidth="1" style="22" min="5122" max="5122"/>
    <col width="14.5703125" customWidth="1" style="22" min="5123" max="5123"/>
    <col width="11" customWidth="1" style="22" min="5124" max="5124"/>
    <col width="10.85546875" customWidth="1" style="22" min="5125" max="5125"/>
    <col width="12" customWidth="1" style="22" min="5126" max="5126"/>
    <col width="41.5703125" customWidth="1" style="22" min="5127" max="5127"/>
    <col width="13.5703125" customWidth="1" style="22" min="5128" max="5128"/>
    <col width="15.42578125" customWidth="1" style="22" min="5129" max="5129"/>
    <col width="26.42578125" customWidth="1" style="22" min="5130" max="5130"/>
    <col width="27" customWidth="1" style="22" min="5131" max="5131"/>
    <col width="24.85546875" customWidth="1" style="22" min="5132" max="5132"/>
    <col width="20.5703125" customWidth="1" style="22" min="5133" max="5133"/>
    <col width="14.85546875" customWidth="1" style="22" min="5134" max="5134"/>
    <col width="19.5703125" customWidth="1" style="22" min="5135" max="5135"/>
    <col width="0.85546875" customWidth="1" style="22" min="5136" max="5376"/>
    <col width="6.140625" customWidth="1" style="22" min="5377" max="5377"/>
    <col width="42.85546875" customWidth="1" style="22" min="5378" max="5378"/>
    <col width="14.5703125" customWidth="1" style="22" min="5379" max="5379"/>
    <col width="11" customWidth="1" style="22" min="5380" max="5380"/>
    <col width="10.85546875" customWidth="1" style="22" min="5381" max="5381"/>
    <col width="12" customWidth="1" style="22" min="5382" max="5382"/>
    <col width="41.5703125" customWidth="1" style="22" min="5383" max="5383"/>
    <col width="13.5703125" customWidth="1" style="22" min="5384" max="5384"/>
    <col width="15.42578125" customWidth="1" style="22" min="5385" max="5385"/>
    <col width="26.42578125" customWidth="1" style="22" min="5386" max="5386"/>
    <col width="27" customWidth="1" style="22" min="5387" max="5387"/>
    <col width="24.85546875" customWidth="1" style="22" min="5388" max="5388"/>
    <col width="20.5703125" customWidth="1" style="22" min="5389" max="5389"/>
    <col width="14.85546875" customWidth="1" style="22" min="5390" max="5390"/>
    <col width="19.5703125" customWidth="1" style="22" min="5391" max="5391"/>
    <col width="0.85546875" customWidth="1" style="22" min="5392" max="5632"/>
    <col width="6.140625" customWidth="1" style="22" min="5633" max="5633"/>
    <col width="42.85546875" customWidth="1" style="22" min="5634" max="5634"/>
    <col width="14.5703125" customWidth="1" style="22" min="5635" max="5635"/>
    <col width="11" customWidth="1" style="22" min="5636" max="5636"/>
    <col width="10.85546875" customWidth="1" style="22" min="5637" max="5637"/>
    <col width="12" customWidth="1" style="22" min="5638" max="5638"/>
    <col width="41.5703125" customWidth="1" style="22" min="5639" max="5639"/>
    <col width="13.5703125" customWidth="1" style="22" min="5640" max="5640"/>
    <col width="15.42578125" customWidth="1" style="22" min="5641" max="5641"/>
    <col width="26.42578125" customWidth="1" style="22" min="5642" max="5642"/>
    <col width="27" customWidth="1" style="22" min="5643" max="5643"/>
    <col width="24.85546875" customWidth="1" style="22" min="5644" max="5644"/>
    <col width="20.5703125" customWidth="1" style="22" min="5645" max="5645"/>
    <col width="14.85546875" customWidth="1" style="22" min="5646" max="5646"/>
    <col width="19.5703125" customWidth="1" style="22" min="5647" max="5647"/>
    <col width="0.85546875" customWidth="1" style="22" min="5648" max="5888"/>
    <col width="6.140625" customWidth="1" style="22" min="5889" max="5889"/>
    <col width="42.85546875" customWidth="1" style="22" min="5890" max="5890"/>
    <col width="14.5703125" customWidth="1" style="22" min="5891" max="5891"/>
    <col width="11" customWidth="1" style="22" min="5892" max="5892"/>
    <col width="10.85546875" customWidth="1" style="22" min="5893" max="5893"/>
    <col width="12" customWidth="1" style="22" min="5894" max="5894"/>
    <col width="41.5703125" customWidth="1" style="22" min="5895" max="5895"/>
    <col width="13.5703125" customWidth="1" style="22" min="5896" max="5896"/>
    <col width="15.42578125" customWidth="1" style="22" min="5897" max="5897"/>
    <col width="26.42578125" customWidth="1" style="22" min="5898" max="5898"/>
    <col width="27" customWidth="1" style="22" min="5899" max="5899"/>
    <col width="24.85546875" customWidth="1" style="22" min="5900" max="5900"/>
    <col width="20.5703125" customWidth="1" style="22" min="5901" max="5901"/>
    <col width="14.85546875" customWidth="1" style="22" min="5902" max="5902"/>
    <col width="19.5703125" customWidth="1" style="22" min="5903" max="5903"/>
    <col width="0.85546875" customWidth="1" style="22" min="5904" max="6144"/>
    <col width="6.140625" customWidth="1" style="22" min="6145" max="6145"/>
    <col width="42.85546875" customWidth="1" style="22" min="6146" max="6146"/>
    <col width="14.5703125" customWidth="1" style="22" min="6147" max="6147"/>
    <col width="11" customWidth="1" style="22" min="6148" max="6148"/>
    <col width="10.85546875" customWidth="1" style="22" min="6149" max="6149"/>
    <col width="12" customWidth="1" style="22" min="6150" max="6150"/>
    <col width="41.5703125" customWidth="1" style="22" min="6151" max="6151"/>
    <col width="13.5703125" customWidth="1" style="22" min="6152" max="6152"/>
    <col width="15.42578125" customWidth="1" style="22" min="6153" max="6153"/>
    <col width="26.42578125" customWidth="1" style="22" min="6154" max="6154"/>
    <col width="27" customWidth="1" style="22" min="6155" max="6155"/>
    <col width="24.85546875" customWidth="1" style="22" min="6156" max="6156"/>
    <col width="20.5703125" customWidth="1" style="22" min="6157" max="6157"/>
    <col width="14.85546875" customWidth="1" style="22" min="6158" max="6158"/>
    <col width="19.5703125" customWidth="1" style="22" min="6159" max="6159"/>
    <col width="0.85546875" customWidth="1" style="22" min="6160" max="6400"/>
    <col width="6.140625" customWidth="1" style="22" min="6401" max="6401"/>
    <col width="42.85546875" customWidth="1" style="22" min="6402" max="6402"/>
    <col width="14.5703125" customWidth="1" style="22" min="6403" max="6403"/>
    <col width="11" customWidth="1" style="22" min="6404" max="6404"/>
    <col width="10.85546875" customWidth="1" style="22" min="6405" max="6405"/>
    <col width="12" customWidth="1" style="22" min="6406" max="6406"/>
    <col width="41.5703125" customWidth="1" style="22" min="6407" max="6407"/>
    <col width="13.5703125" customWidth="1" style="22" min="6408" max="6408"/>
    <col width="15.42578125" customWidth="1" style="22" min="6409" max="6409"/>
    <col width="26.42578125" customWidth="1" style="22" min="6410" max="6410"/>
    <col width="27" customWidth="1" style="22" min="6411" max="6411"/>
    <col width="24.85546875" customWidth="1" style="22" min="6412" max="6412"/>
    <col width="20.5703125" customWidth="1" style="22" min="6413" max="6413"/>
    <col width="14.85546875" customWidth="1" style="22" min="6414" max="6414"/>
    <col width="19.5703125" customWidth="1" style="22" min="6415" max="6415"/>
    <col width="0.85546875" customWidth="1" style="22" min="6416" max="6656"/>
    <col width="6.140625" customWidth="1" style="22" min="6657" max="6657"/>
    <col width="42.85546875" customWidth="1" style="22" min="6658" max="6658"/>
    <col width="14.5703125" customWidth="1" style="22" min="6659" max="6659"/>
    <col width="11" customWidth="1" style="22" min="6660" max="6660"/>
    <col width="10.85546875" customWidth="1" style="22" min="6661" max="6661"/>
    <col width="12" customWidth="1" style="22" min="6662" max="6662"/>
    <col width="41.5703125" customWidth="1" style="22" min="6663" max="6663"/>
    <col width="13.5703125" customWidth="1" style="22" min="6664" max="6664"/>
    <col width="15.42578125" customWidth="1" style="22" min="6665" max="6665"/>
    <col width="26.42578125" customWidth="1" style="22" min="6666" max="6666"/>
    <col width="27" customWidth="1" style="22" min="6667" max="6667"/>
    <col width="24.85546875" customWidth="1" style="22" min="6668" max="6668"/>
    <col width="20.5703125" customWidth="1" style="22" min="6669" max="6669"/>
    <col width="14.85546875" customWidth="1" style="22" min="6670" max="6670"/>
    <col width="19.5703125" customWidth="1" style="22" min="6671" max="6671"/>
    <col width="0.85546875" customWidth="1" style="22" min="6672" max="6912"/>
    <col width="6.140625" customWidth="1" style="22" min="6913" max="6913"/>
    <col width="42.85546875" customWidth="1" style="22" min="6914" max="6914"/>
    <col width="14.5703125" customWidth="1" style="22" min="6915" max="6915"/>
    <col width="11" customWidth="1" style="22" min="6916" max="6916"/>
    <col width="10.85546875" customWidth="1" style="22" min="6917" max="6917"/>
    <col width="12" customWidth="1" style="22" min="6918" max="6918"/>
    <col width="41.5703125" customWidth="1" style="22" min="6919" max="6919"/>
    <col width="13.5703125" customWidth="1" style="22" min="6920" max="6920"/>
    <col width="15.42578125" customWidth="1" style="22" min="6921" max="6921"/>
    <col width="26.42578125" customWidth="1" style="22" min="6922" max="6922"/>
    <col width="27" customWidth="1" style="22" min="6923" max="6923"/>
    <col width="24.85546875" customWidth="1" style="22" min="6924" max="6924"/>
    <col width="20.5703125" customWidth="1" style="22" min="6925" max="6925"/>
    <col width="14.85546875" customWidth="1" style="22" min="6926" max="6926"/>
    <col width="19.5703125" customWidth="1" style="22" min="6927" max="6927"/>
    <col width="0.85546875" customWidth="1" style="22" min="6928" max="7168"/>
    <col width="6.140625" customWidth="1" style="22" min="7169" max="7169"/>
    <col width="42.85546875" customWidth="1" style="22" min="7170" max="7170"/>
    <col width="14.5703125" customWidth="1" style="22" min="7171" max="7171"/>
    <col width="11" customWidth="1" style="22" min="7172" max="7172"/>
    <col width="10.85546875" customWidth="1" style="22" min="7173" max="7173"/>
    <col width="12" customWidth="1" style="22" min="7174" max="7174"/>
    <col width="41.5703125" customWidth="1" style="22" min="7175" max="7175"/>
    <col width="13.5703125" customWidth="1" style="22" min="7176" max="7176"/>
    <col width="15.42578125" customWidth="1" style="22" min="7177" max="7177"/>
    <col width="26.42578125" customWidth="1" style="22" min="7178" max="7178"/>
    <col width="27" customWidth="1" style="22" min="7179" max="7179"/>
    <col width="24.85546875" customWidth="1" style="22" min="7180" max="7180"/>
    <col width="20.5703125" customWidth="1" style="22" min="7181" max="7181"/>
    <col width="14.85546875" customWidth="1" style="22" min="7182" max="7182"/>
    <col width="19.5703125" customWidth="1" style="22" min="7183" max="7183"/>
    <col width="0.85546875" customWidth="1" style="22" min="7184" max="7424"/>
    <col width="6.140625" customWidth="1" style="22" min="7425" max="7425"/>
    <col width="42.85546875" customWidth="1" style="22" min="7426" max="7426"/>
    <col width="14.5703125" customWidth="1" style="22" min="7427" max="7427"/>
    <col width="11" customWidth="1" style="22" min="7428" max="7428"/>
    <col width="10.85546875" customWidth="1" style="22" min="7429" max="7429"/>
    <col width="12" customWidth="1" style="22" min="7430" max="7430"/>
    <col width="41.5703125" customWidth="1" style="22" min="7431" max="7431"/>
    <col width="13.5703125" customWidth="1" style="22" min="7432" max="7432"/>
    <col width="15.42578125" customWidth="1" style="22" min="7433" max="7433"/>
    <col width="26.42578125" customWidth="1" style="22" min="7434" max="7434"/>
    <col width="27" customWidth="1" style="22" min="7435" max="7435"/>
    <col width="24.85546875" customWidth="1" style="22" min="7436" max="7436"/>
    <col width="20.5703125" customWidth="1" style="22" min="7437" max="7437"/>
    <col width="14.85546875" customWidth="1" style="22" min="7438" max="7438"/>
    <col width="19.5703125" customWidth="1" style="22" min="7439" max="7439"/>
    <col width="0.85546875" customWidth="1" style="22" min="7440" max="7680"/>
    <col width="6.140625" customWidth="1" style="22" min="7681" max="7681"/>
    <col width="42.85546875" customWidth="1" style="22" min="7682" max="7682"/>
    <col width="14.5703125" customWidth="1" style="22" min="7683" max="7683"/>
    <col width="11" customWidth="1" style="22" min="7684" max="7684"/>
    <col width="10.85546875" customWidth="1" style="22" min="7685" max="7685"/>
    <col width="12" customWidth="1" style="22" min="7686" max="7686"/>
    <col width="41.5703125" customWidth="1" style="22" min="7687" max="7687"/>
    <col width="13.5703125" customWidth="1" style="22" min="7688" max="7688"/>
    <col width="15.42578125" customWidth="1" style="22" min="7689" max="7689"/>
    <col width="26.42578125" customWidth="1" style="22" min="7690" max="7690"/>
    <col width="27" customWidth="1" style="22" min="7691" max="7691"/>
    <col width="24.85546875" customWidth="1" style="22" min="7692" max="7692"/>
    <col width="20.5703125" customWidth="1" style="22" min="7693" max="7693"/>
    <col width="14.85546875" customWidth="1" style="22" min="7694" max="7694"/>
    <col width="19.5703125" customWidth="1" style="22" min="7695" max="7695"/>
    <col width="0.85546875" customWidth="1" style="22" min="7696" max="7936"/>
    <col width="6.140625" customWidth="1" style="22" min="7937" max="7937"/>
    <col width="42.85546875" customWidth="1" style="22" min="7938" max="7938"/>
    <col width="14.5703125" customWidth="1" style="22" min="7939" max="7939"/>
    <col width="11" customWidth="1" style="22" min="7940" max="7940"/>
    <col width="10.85546875" customWidth="1" style="22" min="7941" max="7941"/>
    <col width="12" customWidth="1" style="22" min="7942" max="7942"/>
    <col width="41.5703125" customWidth="1" style="22" min="7943" max="7943"/>
    <col width="13.5703125" customWidth="1" style="22" min="7944" max="7944"/>
    <col width="15.42578125" customWidth="1" style="22" min="7945" max="7945"/>
    <col width="26.42578125" customWidth="1" style="22" min="7946" max="7946"/>
    <col width="27" customWidth="1" style="22" min="7947" max="7947"/>
    <col width="24.85546875" customWidth="1" style="22" min="7948" max="7948"/>
    <col width="20.5703125" customWidth="1" style="22" min="7949" max="7949"/>
    <col width="14.85546875" customWidth="1" style="22" min="7950" max="7950"/>
    <col width="19.5703125" customWidth="1" style="22" min="7951" max="7951"/>
    <col width="0.85546875" customWidth="1" style="22" min="7952" max="8192"/>
    <col width="6.140625" customWidth="1" style="22" min="8193" max="8193"/>
    <col width="42.85546875" customWidth="1" style="22" min="8194" max="8194"/>
    <col width="14.5703125" customWidth="1" style="22" min="8195" max="8195"/>
    <col width="11" customWidth="1" style="22" min="8196" max="8196"/>
    <col width="10.85546875" customWidth="1" style="22" min="8197" max="8197"/>
    <col width="12" customWidth="1" style="22" min="8198" max="8198"/>
    <col width="41.5703125" customWidth="1" style="22" min="8199" max="8199"/>
    <col width="13.5703125" customWidth="1" style="22" min="8200" max="8200"/>
    <col width="15.42578125" customWidth="1" style="22" min="8201" max="8201"/>
    <col width="26.42578125" customWidth="1" style="22" min="8202" max="8202"/>
    <col width="27" customWidth="1" style="22" min="8203" max="8203"/>
    <col width="24.85546875" customWidth="1" style="22" min="8204" max="8204"/>
    <col width="20.5703125" customWidth="1" style="22" min="8205" max="8205"/>
    <col width="14.85546875" customWidth="1" style="22" min="8206" max="8206"/>
    <col width="19.5703125" customWidth="1" style="22" min="8207" max="8207"/>
    <col width="0.85546875" customWidth="1" style="22" min="8208" max="8448"/>
    <col width="6.140625" customWidth="1" style="22" min="8449" max="8449"/>
    <col width="42.85546875" customWidth="1" style="22" min="8450" max="8450"/>
    <col width="14.5703125" customWidth="1" style="22" min="8451" max="8451"/>
    <col width="11" customWidth="1" style="22" min="8452" max="8452"/>
    <col width="10.85546875" customWidth="1" style="22" min="8453" max="8453"/>
    <col width="12" customWidth="1" style="22" min="8454" max="8454"/>
    <col width="41.5703125" customWidth="1" style="22" min="8455" max="8455"/>
    <col width="13.5703125" customWidth="1" style="22" min="8456" max="8456"/>
    <col width="15.42578125" customWidth="1" style="22" min="8457" max="8457"/>
    <col width="26.42578125" customWidth="1" style="22" min="8458" max="8458"/>
    <col width="27" customWidth="1" style="22" min="8459" max="8459"/>
    <col width="24.85546875" customWidth="1" style="22" min="8460" max="8460"/>
    <col width="20.5703125" customWidth="1" style="22" min="8461" max="8461"/>
    <col width="14.85546875" customWidth="1" style="22" min="8462" max="8462"/>
    <col width="19.5703125" customWidth="1" style="22" min="8463" max="8463"/>
    <col width="0.85546875" customWidth="1" style="22" min="8464" max="8704"/>
    <col width="6.140625" customWidth="1" style="22" min="8705" max="8705"/>
    <col width="42.85546875" customWidth="1" style="22" min="8706" max="8706"/>
    <col width="14.5703125" customWidth="1" style="22" min="8707" max="8707"/>
    <col width="11" customWidth="1" style="22" min="8708" max="8708"/>
    <col width="10.85546875" customWidth="1" style="22" min="8709" max="8709"/>
    <col width="12" customWidth="1" style="22" min="8710" max="8710"/>
    <col width="41.5703125" customWidth="1" style="22" min="8711" max="8711"/>
    <col width="13.5703125" customWidth="1" style="22" min="8712" max="8712"/>
    <col width="15.42578125" customWidth="1" style="22" min="8713" max="8713"/>
    <col width="26.42578125" customWidth="1" style="22" min="8714" max="8714"/>
    <col width="27" customWidth="1" style="22" min="8715" max="8715"/>
    <col width="24.85546875" customWidth="1" style="22" min="8716" max="8716"/>
    <col width="20.5703125" customWidth="1" style="22" min="8717" max="8717"/>
    <col width="14.85546875" customWidth="1" style="22" min="8718" max="8718"/>
    <col width="19.5703125" customWidth="1" style="22" min="8719" max="8719"/>
    <col width="0.85546875" customWidth="1" style="22" min="8720" max="8960"/>
    <col width="6.140625" customWidth="1" style="22" min="8961" max="8961"/>
    <col width="42.85546875" customWidth="1" style="22" min="8962" max="8962"/>
    <col width="14.5703125" customWidth="1" style="22" min="8963" max="8963"/>
    <col width="11" customWidth="1" style="22" min="8964" max="8964"/>
    <col width="10.85546875" customWidth="1" style="22" min="8965" max="8965"/>
    <col width="12" customWidth="1" style="22" min="8966" max="8966"/>
    <col width="41.5703125" customWidth="1" style="22" min="8967" max="8967"/>
    <col width="13.5703125" customWidth="1" style="22" min="8968" max="8968"/>
    <col width="15.42578125" customWidth="1" style="22" min="8969" max="8969"/>
    <col width="26.42578125" customWidth="1" style="22" min="8970" max="8970"/>
    <col width="27" customWidth="1" style="22" min="8971" max="8971"/>
    <col width="24.85546875" customWidth="1" style="22" min="8972" max="8972"/>
    <col width="20.5703125" customWidth="1" style="22" min="8973" max="8973"/>
    <col width="14.85546875" customWidth="1" style="22" min="8974" max="8974"/>
    <col width="19.5703125" customWidth="1" style="22" min="8975" max="8975"/>
    <col width="0.85546875" customWidth="1" style="22" min="8976" max="9216"/>
    <col width="6.140625" customWidth="1" style="22" min="9217" max="9217"/>
    <col width="42.85546875" customWidth="1" style="22" min="9218" max="9218"/>
    <col width="14.5703125" customWidth="1" style="22" min="9219" max="9219"/>
    <col width="11" customWidth="1" style="22" min="9220" max="9220"/>
    <col width="10.85546875" customWidth="1" style="22" min="9221" max="9221"/>
    <col width="12" customWidth="1" style="22" min="9222" max="9222"/>
    <col width="41.5703125" customWidth="1" style="22" min="9223" max="9223"/>
    <col width="13.5703125" customWidth="1" style="22" min="9224" max="9224"/>
    <col width="15.42578125" customWidth="1" style="22" min="9225" max="9225"/>
    <col width="26.42578125" customWidth="1" style="22" min="9226" max="9226"/>
    <col width="27" customWidth="1" style="22" min="9227" max="9227"/>
    <col width="24.85546875" customWidth="1" style="22" min="9228" max="9228"/>
    <col width="20.5703125" customWidth="1" style="22" min="9229" max="9229"/>
    <col width="14.85546875" customWidth="1" style="22" min="9230" max="9230"/>
    <col width="19.5703125" customWidth="1" style="22" min="9231" max="9231"/>
    <col width="0.85546875" customWidth="1" style="22" min="9232" max="9472"/>
    <col width="6.140625" customWidth="1" style="22" min="9473" max="9473"/>
    <col width="42.85546875" customWidth="1" style="22" min="9474" max="9474"/>
    <col width="14.5703125" customWidth="1" style="22" min="9475" max="9475"/>
    <col width="11" customWidth="1" style="22" min="9476" max="9476"/>
    <col width="10.85546875" customWidth="1" style="22" min="9477" max="9477"/>
    <col width="12" customWidth="1" style="22" min="9478" max="9478"/>
    <col width="41.5703125" customWidth="1" style="22" min="9479" max="9479"/>
    <col width="13.5703125" customWidth="1" style="22" min="9480" max="9480"/>
    <col width="15.42578125" customWidth="1" style="22" min="9481" max="9481"/>
    <col width="26.42578125" customWidth="1" style="22" min="9482" max="9482"/>
    <col width="27" customWidth="1" style="22" min="9483" max="9483"/>
    <col width="24.85546875" customWidth="1" style="22" min="9484" max="9484"/>
    <col width="20.5703125" customWidth="1" style="22" min="9485" max="9485"/>
    <col width="14.85546875" customWidth="1" style="22" min="9486" max="9486"/>
    <col width="19.5703125" customWidth="1" style="22" min="9487" max="9487"/>
    <col width="0.85546875" customWidth="1" style="22" min="9488" max="9728"/>
    <col width="6.140625" customWidth="1" style="22" min="9729" max="9729"/>
    <col width="42.85546875" customWidth="1" style="22" min="9730" max="9730"/>
    <col width="14.5703125" customWidth="1" style="22" min="9731" max="9731"/>
    <col width="11" customWidth="1" style="22" min="9732" max="9732"/>
    <col width="10.85546875" customWidth="1" style="22" min="9733" max="9733"/>
    <col width="12" customWidth="1" style="22" min="9734" max="9734"/>
    <col width="41.5703125" customWidth="1" style="22" min="9735" max="9735"/>
    <col width="13.5703125" customWidth="1" style="22" min="9736" max="9736"/>
    <col width="15.42578125" customWidth="1" style="22" min="9737" max="9737"/>
    <col width="26.42578125" customWidth="1" style="22" min="9738" max="9738"/>
    <col width="27" customWidth="1" style="22" min="9739" max="9739"/>
    <col width="24.85546875" customWidth="1" style="22" min="9740" max="9740"/>
    <col width="20.5703125" customWidth="1" style="22" min="9741" max="9741"/>
    <col width="14.85546875" customWidth="1" style="22" min="9742" max="9742"/>
    <col width="19.5703125" customWidth="1" style="22" min="9743" max="9743"/>
    <col width="0.85546875" customWidth="1" style="22" min="9744" max="9984"/>
    <col width="6.140625" customWidth="1" style="22" min="9985" max="9985"/>
    <col width="42.85546875" customWidth="1" style="22" min="9986" max="9986"/>
    <col width="14.5703125" customWidth="1" style="22" min="9987" max="9987"/>
    <col width="11" customWidth="1" style="22" min="9988" max="9988"/>
    <col width="10.85546875" customWidth="1" style="22" min="9989" max="9989"/>
    <col width="12" customWidth="1" style="22" min="9990" max="9990"/>
    <col width="41.5703125" customWidth="1" style="22" min="9991" max="9991"/>
    <col width="13.5703125" customWidth="1" style="22" min="9992" max="9992"/>
    <col width="15.42578125" customWidth="1" style="22" min="9993" max="9993"/>
    <col width="26.42578125" customWidth="1" style="22" min="9994" max="9994"/>
    <col width="27" customWidth="1" style="22" min="9995" max="9995"/>
    <col width="24.85546875" customWidth="1" style="22" min="9996" max="9996"/>
    <col width="20.5703125" customWidth="1" style="22" min="9997" max="9997"/>
    <col width="14.85546875" customWidth="1" style="22" min="9998" max="9998"/>
    <col width="19.5703125" customWidth="1" style="22" min="9999" max="9999"/>
    <col width="0.85546875" customWidth="1" style="22" min="10000" max="10240"/>
    <col width="6.140625" customWidth="1" style="22" min="10241" max="10241"/>
    <col width="42.85546875" customWidth="1" style="22" min="10242" max="10242"/>
    <col width="14.5703125" customWidth="1" style="22" min="10243" max="10243"/>
    <col width="11" customWidth="1" style="22" min="10244" max="10244"/>
    <col width="10.85546875" customWidth="1" style="22" min="10245" max="10245"/>
    <col width="12" customWidth="1" style="22" min="10246" max="10246"/>
    <col width="41.5703125" customWidth="1" style="22" min="10247" max="10247"/>
    <col width="13.5703125" customWidth="1" style="22" min="10248" max="10248"/>
    <col width="15.42578125" customWidth="1" style="22" min="10249" max="10249"/>
    <col width="26.42578125" customWidth="1" style="22" min="10250" max="10250"/>
    <col width="27" customWidth="1" style="22" min="10251" max="10251"/>
    <col width="24.85546875" customWidth="1" style="22" min="10252" max="10252"/>
    <col width="20.5703125" customWidth="1" style="22" min="10253" max="10253"/>
    <col width="14.85546875" customWidth="1" style="22" min="10254" max="10254"/>
    <col width="19.5703125" customWidth="1" style="22" min="10255" max="10255"/>
    <col width="0.85546875" customWidth="1" style="22" min="10256" max="10496"/>
    <col width="6.140625" customWidth="1" style="22" min="10497" max="10497"/>
    <col width="42.85546875" customWidth="1" style="22" min="10498" max="10498"/>
    <col width="14.5703125" customWidth="1" style="22" min="10499" max="10499"/>
    <col width="11" customWidth="1" style="22" min="10500" max="10500"/>
    <col width="10.85546875" customWidth="1" style="22" min="10501" max="10501"/>
    <col width="12" customWidth="1" style="22" min="10502" max="10502"/>
    <col width="41.5703125" customWidth="1" style="22" min="10503" max="10503"/>
    <col width="13.5703125" customWidth="1" style="22" min="10504" max="10504"/>
    <col width="15.42578125" customWidth="1" style="22" min="10505" max="10505"/>
    <col width="26.42578125" customWidth="1" style="22" min="10506" max="10506"/>
    <col width="27" customWidth="1" style="22" min="10507" max="10507"/>
    <col width="24.85546875" customWidth="1" style="22" min="10508" max="10508"/>
    <col width="20.5703125" customWidth="1" style="22" min="10509" max="10509"/>
    <col width="14.85546875" customWidth="1" style="22" min="10510" max="10510"/>
    <col width="19.5703125" customWidth="1" style="22" min="10511" max="10511"/>
    <col width="0.85546875" customWidth="1" style="22" min="10512" max="10752"/>
    <col width="6.140625" customWidth="1" style="22" min="10753" max="10753"/>
    <col width="42.85546875" customWidth="1" style="22" min="10754" max="10754"/>
    <col width="14.5703125" customWidth="1" style="22" min="10755" max="10755"/>
    <col width="11" customWidth="1" style="22" min="10756" max="10756"/>
    <col width="10.85546875" customWidth="1" style="22" min="10757" max="10757"/>
    <col width="12" customWidth="1" style="22" min="10758" max="10758"/>
    <col width="41.5703125" customWidth="1" style="22" min="10759" max="10759"/>
    <col width="13.5703125" customWidth="1" style="22" min="10760" max="10760"/>
    <col width="15.42578125" customWidth="1" style="22" min="10761" max="10761"/>
    <col width="26.42578125" customWidth="1" style="22" min="10762" max="10762"/>
    <col width="27" customWidth="1" style="22" min="10763" max="10763"/>
    <col width="24.85546875" customWidth="1" style="22" min="10764" max="10764"/>
    <col width="20.5703125" customWidth="1" style="22" min="10765" max="10765"/>
    <col width="14.85546875" customWidth="1" style="22" min="10766" max="10766"/>
    <col width="19.5703125" customWidth="1" style="22" min="10767" max="10767"/>
    <col width="0.85546875" customWidth="1" style="22" min="10768" max="11008"/>
    <col width="6.140625" customWidth="1" style="22" min="11009" max="11009"/>
    <col width="42.85546875" customWidth="1" style="22" min="11010" max="11010"/>
    <col width="14.5703125" customWidth="1" style="22" min="11011" max="11011"/>
    <col width="11" customWidth="1" style="22" min="11012" max="11012"/>
    <col width="10.85546875" customWidth="1" style="22" min="11013" max="11013"/>
    <col width="12" customWidth="1" style="22" min="11014" max="11014"/>
    <col width="41.5703125" customWidth="1" style="22" min="11015" max="11015"/>
    <col width="13.5703125" customWidth="1" style="22" min="11016" max="11016"/>
    <col width="15.42578125" customWidth="1" style="22" min="11017" max="11017"/>
    <col width="26.42578125" customWidth="1" style="22" min="11018" max="11018"/>
    <col width="27" customWidth="1" style="22" min="11019" max="11019"/>
    <col width="24.85546875" customWidth="1" style="22" min="11020" max="11020"/>
    <col width="20.5703125" customWidth="1" style="22" min="11021" max="11021"/>
    <col width="14.85546875" customWidth="1" style="22" min="11022" max="11022"/>
    <col width="19.5703125" customWidth="1" style="22" min="11023" max="11023"/>
    <col width="0.85546875" customWidth="1" style="22" min="11024" max="11264"/>
    <col width="6.140625" customWidth="1" style="22" min="11265" max="11265"/>
    <col width="42.85546875" customWidth="1" style="22" min="11266" max="11266"/>
    <col width="14.5703125" customWidth="1" style="22" min="11267" max="11267"/>
    <col width="11" customWidth="1" style="22" min="11268" max="11268"/>
    <col width="10.85546875" customWidth="1" style="22" min="11269" max="11269"/>
    <col width="12" customWidth="1" style="22" min="11270" max="11270"/>
    <col width="41.5703125" customWidth="1" style="22" min="11271" max="11271"/>
    <col width="13.5703125" customWidth="1" style="22" min="11272" max="11272"/>
    <col width="15.42578125" customWidth="1" style="22" min="11273" max="11273"/>
    <col width="26.42578125" customWidth="1" style="22" min="11274" max="11274"/>
    <col width="27" customWidth="1" style="22" min="11275" max="11275"/>
    <col width="24.85546875" customWidth="1" style="22" min="11276" max="11276"/>
    <col width="20.5703125" customWidth="1" style="22" min="11277" max="11277"/>
    <col width="14.85546875" customWidth="1" style="22" min="11278" max="11278"/>
    <col width="19.5703125" customWidth="1" style="22" min="11279" max="11279"/>
    <col width="0.85546875" customWidth="1" style="22" min="11280" max="11520"/>
    <col width="6.140625" customWidth="1" style="22" min="11521" max="11521"/>
    <col width="42.85546875" customWidth="1" style="22" min="11522" max="11522"/>
    <col width="14.5703125" customWidth="1" style="22" min="11523" max="11523"/>
    <col width="11" customWidth="1" style="22" min="11524" max="11524"/>
    <col width="10.85546875" customWidth="1" style="22" min="11525" max="11525"/>
    <col width="12" customWidth="1" style="22" min="11526" max="11526"/>
    <col width="41.5703125" customWidth="1" style="22" min="11527" max="11527"/>
    <col width="13.5703125" customWidth="1" style="22" min="11528" max="11528"/>
    <col width="15.42578125" customWidth="1" style="22" min="11529" max="11529"/>
    <col width="26.42578125" customWidth="1" style="22" min="11530" max="11530"/>
    <col width="27" customWidth="1" style="22" min="11531" max="11531"/>
    <col width="24.85546875" customWidth="1" style="22" min="11532" max="11532"/>
    <col width="20.5703125" customWidth="1" style="22" min="11533" max="11533"/>
    <col width="14.85546875" customWidth="1" style="22" min="11534" max="11534"/>
    <col width="19.5703125" customWidth="1" style="22" min="11535" max="11535"/>
    <col width="0.85546875" customWidth="1" style="22" min="11536" max="11776"/>
    <col width="6.140625" customWidth="1" style="22" min="11777" max="11777"/>
    <col width="42.85546875" customWidth="1" style="22" min="11778" max="11778"/>
    <col width="14.5703125" customWidth="1" style="22" min="11779" max="11779"/>
    <col width="11" customWidth="1" style="22" min="11780" max="11780"/>
    <col width="10.85546875" customWidth="1" style="22" min="11781" max="11781"/>
    <col width="12" customWidth="1" style="22" min="11782" max="11782"/>
    <col width="41.5703125" customWidth="1" style="22" min="11783" max="11783"/>
    <col width="13.5703125" customWidth="1" style="22" min="11784" max="11784"/>
    <col width="15.42578125" customWidth="1" style="22" min="11785" max="11785"/>
    <col width="26.42578125" customWidth="1" style="22" min="11786" max="11786"/>
    <col width="27" customWidth="1" style="22" min="11787" max="11787"/>
    <col width="24.85546875" customWidth="1" style="22" min="11788" max="11788"/>
    <col width="20.5703125" customWidth="1" style="22" min="11789" max="11789"/>
    <col width="14.85546875" customWidth="1" style="22" min="11790" max="11790"/>
    <col width="19.5703125" customWidth="1" style="22" min="11791" max="11791"/>
    <col width="0.85546875" customWidth="1" style="22" min="11792" max="12032"/>
    <col width="6.140625" customWidth="1" style="22" min="12033" max="12033"/>
    <col width="42.85546875" customWidth="1" style="22" min="12034" max="12034"/>
    <col width="14.5703125" customWidth="1" style="22" min="12035" max="12035"/>
    <col width="11" customWidth="1" style="22" min="12036" max="12036"/>
    <col width="10.85546875" customWidth="1" style="22" min="12037" max="12037"/>
    <col width="12" customWidth="1" style="22" min="12038" max="12038"/>
    <col width="41.5703125" customWidth="1" style="22" min="12039" max="12039"/>
    <col width="13.5703125" customWidth="1" style="22" min="12040" max="12040"/>
    <col width="15.42578125" customWidth="1" style="22" min="12041" max="12041"/>
    <col width="26.42578125" customWidth="1" style="22" min="12042" max="12042"/>
    <col width="27" customWidth="1" style="22" min="12043" max="12043"/>
    <col width="24.85546875" customWidth="1" style="22" min="12044" max="12044"/>
    <col width="20.5703125" customWidth="1" style="22" min="12045" max="12045"/>
    <col width="14.85546875" customWidth="1" style="22" min="12046" max="12046"/>
    <col width="19.5703125" customWidth="1" style="22" min="12047" max="12047"/>
    <col width="0.85546875" customWidth="1" style="22" min="12048" max="12288"/>
    <col width="6.140625" customWidth="1" style="22" min="12289" max="12289"/>
    <col width="42.85546875" customWidth="1" style="22" min="12290" max="12290"/>
    <col width="14.5703125" customWidth="1" style="22" min="12291" max="12291"/>
    <col width="11" customWidth="1" style="22" min="12292" max="12292"/>
    <col width="10.85546875" customWidth="1" style="22" min="12293" max="12293"/>
    <col width="12" customWidth="1" style="22" min="12294" max="12294"/>
    <col width="41.5703125" customWidth="1" style="22" min="12295" max="12295"/>
    <col width="13.5703125" customWidth="1" style="22" min="12296" max="12296"/>
    <col width="15.42578125" customWidth="1" style="22" min="12297" max="12297"/>
    <col width="26.42578125" customWidth="1" style="22" min="12298" max="12298"/>
    <col width="27" customWidth="1" style="22" min="12299" max="12299"/>
    <col width="24.85546875" customWidth="1" style="22" min="12300" max="12300"/>
    <col width="20.5703125" customWidth="1" style="22" min="12301" max="12301"/>
    <col width="14.85546875" customWidth="1" style="22" min="12302" max="12302"/>
    <col width="19.5703125" customWidth="1" style="22" min="12303" max="12303"/>
    <col width="0.85546875" customWidth="1" style="22" min="12304" max="12544"/>
    <col width="6.140625" customWidth="1" style="22" min="12545" max="12545"/>
    <col width="42.85546875" customWidth="1" style="22" min="12546" max="12546"/>
    <col width="14.5703125" customWidth="1" style="22" min="12547" max="12547"/>
    <col width="11" customWidth="1" style="22" min="12548" max="12548"/>
    <col width="10.85546875" customWidth="1" style="22" min="12549" max="12549"/>
    <col width="12" customWidth="1" style="22" min="12550" max="12550"/>
    <col width="41.5703125" customWidth="1" style="22" min="12551" max="12551"/>
    <col width="13.5703125" customWidth="1" style="22" min="12552" max="12552"/>
    <col width="15.42578125" customWidth="1" style="22" min="12553" max="12553"/>
    <col width="26.42578125" customWidth="1" style="22" min="12554" max="12554"/>
    <col width="27" customWidth="1" style="22" min="12555" max="12555"/>
    <col width="24.85546875" customWidth="1" style="22" min="12556" max="12556"/>
    <col width="20.5703125" customWidth="1" style="22" min="12557" max="12557"/>
    <col width="14.85546875" customWidth="1" style="22" min="12558" max="12558"/>
    <col width="19.5703125" customWidth="1" style="22" min="12559" max="12559"/>
    <col width="0.85546875" customWidth="1" style="22" min="12560" max="12800"/>
    <col width="6.140625" customWidth="1" style="22" min="12801" max="12801"/>
    <col width="42.85546875" customWidth="1" style="22" min="12802" max="12802"/>
    <col width="14.5703125" customWidth="1" style="22" min="12803" max="12803"/>
    <col width="11" customWidth="1" style="22" min="12804" max="12804"/>
    <col width="10.85546875" customWidth="1" style="22" min="12805" max="12805"/>
    <col width="12" customWidth="1" style="22" min="12806" max="12806"/>
    <col width="41.5703125" customWidth="1" style="22" min="12807" max="12807"/>
    <col width="13.5703125" customWidth="1" style="22" min="12808" max="12808"/>
    <col width="15.42578125" customWidth="1" style="22" min="12809" max="12809"/>
    <col width="26.42578125" customWidth="1" style="22" min="12810" max="12810"/>
    <col width="27" customWidth="1" style="22" min="12811" max="12811"/>
    <col width="24.85546875" customWidth="1" style="22" min="12812" max="12812"/>
    <col width="20.5703125" customWidth="1" style="22" min="12813" max="12813"/>
    <col width="14.85546875" customWidth="1" style="22" min="12814" max="12814"/>
    <col width="19.5703125" customWidth="1" style="22" min="12815" max="12815"/>
    <col width="0.85546875" customWidth="1" style="22" min="12816" max="13056"/>
    <col width="6.140625" customWidth="1" style="22" min="13057" max="13057"/>
    <col width="42.85546875" customWidth="1" style="22" min="13058" max="13058"/>
    <col width="14.5703125" customWidth="1" style="22" min="13059" max="13059"/>
    <col width="11" customWidth="1" style="22" min="13060" max="13060"/>
    <col width="10.85546875" customWidth="1" style="22" min="13061" max="13061"/>
    <col width="12" customWidth="1" style="22" min="13062" max="13062"/>
    <col width="41.5703125" customWidth="1" style="22" min="13063" max="13063"/>
    <col width="13.5703125" customWidth="1" style="22" min="13064" max="13064"/>
    <col width="15.42578125" customWidth="1" style="22" min="13065" max="13065"/>
    <col width="26.42578125" customWidth="1" style="22" min="13066" max="13066"/>
    <col width="27" customWidth="1" style="22" min="13067" max="13067"/>
    <col width="24.85546875" customWidth="1" style="22" min="13068" max="13068"/>
    <col width="20.5703125" customWidth="1" style="22" min="13069" max="13069"/>
    <col width="14.85546875" customWidth="1" style="22" min="13070" max="13070"/>
    <col width="19.5703125" customWidth="1" style="22" min="13071" max="13071"/>
    <col width="0.85546875" customWidth="1" style="22" min="13072" max="13312"/>
    <col width="6.140625" customWidth="1" style="22" min="13313" max="13313"/>
    <col width="42.85546875" customWidth="1" style="22" min="13314" max="13314"/>
    <col width="14.5703125" customWidth="1" style="22" min="13315" max="13315"/>
    <col width="11" customWidth="1" style="22" min="13316" max="13316"/>
    <col width="10.85546875" customWidth="1" style="22" min="13317" max="13317"/>
    <col width="12" customWidth="1" style="22" min="13318" max="13318"/>
    <col width="41.5703125" customWidth="1" style="22" min="13319" max="13319"/>
    <col width="13.5703125" customWidth="1" style="22" min="13320" max="13320"/>
    <col width="15.42578125" customWidth="1" style="22" min="13321" max="13321"/>
    <col width="26.42578125" customWidth="1" style="22" min="13322" max="13322"/>
    <col width="27" customWidth="1" style="22" min="13323" max="13323"/>
    <col width="24.85546875" customWidth="1" style="22" min="13324" max="13324"/>
    <col width="20.5703125" customWidth="1" style="22" min="13325" max="13325"/>
    <col width="14.85546875" customWidth="1" style="22" min="13326" max="13326"/>
    <col width="19.5703125" customWidth="1" style="22" min="13327" max="13327"/>
    <col width="0.85546875" customWidth="1" style="22" min="13328" max="13568"/>
    <col width="6.140625" customWidth="1" style="22" min="13569" max="13569"/>
    <col width="42.85546875" customWidth="1" style="22" min="13570" max="13570"/>
    <col width="14.5703125" customWidth="1" style="22" min="13571" max="13571"/>
    <col width="11" customWidth="1" style="22" min="13572" max="13572"/>
    <col width="10.85546875" customWidth="1" style="22" min="13573" max="13573"/>
    <col width="12" customWidth="1" style="22" min="13574" max="13574"/>
    <col width="41.5703125" customWidth="1" style="22" min="13575" max="13575"/>
    <col width="13.5703125" customWidth="1" style="22" min="13576" max="13576"/>
    <col width="15.42578125" customWidth="1" style="22" min="13577" max="13577"/>
    <col width="26.42578125" customWidth="1" style="22" min="13578" max="13578"/>
    <col width="27" customWidth="1" style="22" min="13579" max="13579"/>
    <col width="24.85546875" customWidth="1" style="22" min="13580" max="13580"/>
    <col width="20.5703125" customWidth="1" style="22" min="13581" max="13581"/>
    <col width="14.85546875" customWidth="1" style="22" min="13582" max="13582"/>
    <col width="19.5703125" customWidth="1" style="22" min="13583" max="13583"/>
    <col width="0.85546875" customWidth="1" style="22" min="13584" max="13824"/>
    <col width="6.140625" customWidth="1" style="22" min="13825" max="13825"/>
    <col width="42.85546875" customWidth="1" style="22" min="13826" max="13826"/>
    <col width="14.5703125" customWidth="1" style="22" min="13827" max="13827"/>
    <col width="11" customWidth="1" style="22" min="13828" max="13828"/>
    <col width="10.85546875" customWidth="1" style="22" min="13829" max="13829"/>
    <col width="12" customWidth="1" style="22" min="13830" max="13830"/>
    <col width="41.5703125" customWidth="1" style="22" min="13831" max="13831"/>
    <col width="13.5703125" customWidth="1" style="22" min="13832" max="13832"/>
    <col width="15.42578125" customWidth="1" style="22" min="13833" max="13833"/>
    <col width="26.42578125" customWidth="1" style="22" min="13834" max="13834"/>
    <col width="27" customWidth="1" style="22" min="13835" max="13835"/>
    <col width="24.85546875" customWidth="1" style="22" min="13836" max="13836"/>
    <col width="20.5703125" customWidth="1" style="22" min="13837" max="13837"/>
    <col width="14.85546875" customWidth="1" style="22" min="13838" max="13838"/>
    <col width="19.5703125" customWidth="1" style="22" min="13839" max="13839"/>
    <col width="0.85546875" customWidth="1" style="22" min="13840" max="14080"/>
    <col width="6.140625" customWidth="1" style="22" min="14081" max="14081"/>
    <col width="42.85546875" customWidth="1" style="22" min="14082" max="14082"/>
    <col width="14.5703125" customWidth="1" style="22" min="14083" max="14083"/>
    <col width="11" customWidth="1" style="22" min="14084" max="14084"/>
    <col width="10.85546875" customWidth="1" style="22" min="14085" max="14085"/>
    <col width="12" customWidth="1" style="22" min="14086" max="14086"/>
    <col width="41.5703125" customWidth="1" style="22" min="14087" max="14087"/>
    <col width="13.5703125" customWidth="1" style="22" min="14088" max="14088"/>
    <col width="15.42578125" customWidth="1" style="22" min="14089" max="14089"/>
    <col width="26.42578125" customWidth="1" style="22" min="14090" max="14090"/>
    <col width="27" customWidth="1" style="22" min="14091" max="14091"/>
    <col width="24.85546875" customWidth="1" style="22" min="14092" max="14092"/>
    <col width="20.5703125" customWidth="1" style="22" min="14093" max="14093"/>
    <col width="14.85546875" customWidth="1" style="22" min="14094" max="14094"/>
    <col width="19.5703125" customWidth="1" style="22" min="14095" max="14095"/>
    <col width="0.85546875" customWidth="1" style="22" min="14096" max="14336"/>
    <col width="6.140625" customWidth="1" style="22" min="14337" max="14337"/>
    <col width="42.85546875" customWidth="1" style="22" min="14338" max="14338"/>
    <col width="14.5703125" customWidth="1" style="22" min="14339" max="14339"/>
    <col width="11" customWidth="1" style="22" min="14340" max="14340"/>
    <col width="10.85546875" customWidth="1" style="22" min="14341" max="14341"/>
    <col width="12" customWidth="1" style="22" min="14342" max="14342"/>
    <col width="41.5703125" customWidth="1" style="22" min="14343" max="14343"/>
    <col width="13.5703125" customWidth="1" style="22" min="14344" max="14344"/>
    <col width="15.42578125" customWidth="1" style="22" min="14345" max="14345"/>
    <col width="26.42578125" customWidth="1" style="22" min="14346" max="14346"/>
    <col width="27" customWidth="1" style="22" min="14347" max="14347"/>
    <col width="24.85546875" customWidth="1" style="22" min="14348" max="14348"/>
    <col width="20.5703125" customWidth="1" style="22" min="14349" max="14349"/>
    <col width="14.85546875" customWidth="1" style="22" min="14350" max="14350"/>
    <col width="19.5703125" customWidth="1" style="22" min="14351" max="14351"/>
    <col width="0.85546875" customWidth="1" style="22" min="14352" max="14592"/>
    <col width="6.140625" customWidth="1" style="22" min="14593" max="14593"/>
    <col width="42.85546875" customWidth="1" style="22" min="14594" max="14594"/>
    <col width="14.5703125" customWidth="1" style="22" min="14595" max="14595"/>
    <col width="11" customWidth="1" style="22" min="14596" max="14596"/>
    <col width="10.85546875" customWidth="1" style="22" min="14597" max="14597"/>
    <col width="12" customWidth="1" style="22" min="14598" max="14598"/>
    <col width="41.5703125" customWidth="1" style="22" min="14599" max="14599"/>
    <col width="13.5703125" customWidth="1" style="22" min="14600" max="14600"/>
    <col width="15.42578125" customWidth="1" style="22" min="14601" max="14601"/>
    <col width="26.42578125" customWidth="1" style="22" min="14602" max="14602"/>
    <col width="27" customWidth="1" style="22" min="14603" max="14603"/>
    <col width="24.85546875" customWidth="1" style="22" min="14604" max="14604"/>
    <col width="20.5703125" customWidth="1" style="22" min="14605" max="14605"/>
    <col width="14.85546875" customWidth="1" style="22" min="14606" max="14606"/>
    <col width="19.5703125" customWidth="1" style="22" min="14607" max="14607"/>
    <col width="0.85546875" customWidth="1" style="22" min="14608" max="14848"/>
    <col width="6.140625" customWidth="1" style="22" min="14849" max="14849"/>
    <col width="42.85546875" customWidth="1" style="22" min="14850" max="14850"/>
    <col width="14.5703125" customWidth="1" style="22" min="14851" max="14851"/>
    <col width="11" customWidth="1" style="22" min="14852" max="14852"/>
    <col width="10.85546875" customWidth="1" style="22" min="14853" max="14853"/>
    <col width="12" customWidth="1" style="22" min="14854" max="14854"/>
    <col width="41.5703125" customWidth="1" style="22" min="14855" max="14855"/>
    <col width="13.5703125" customWidth="1" style="22" min="14856" max="14856"/>
    <col width="15.42578125" customWidth="1" style="22" min="14857" max="14857"/>
    <col width="26.42578125" customWidth="1" style="22" min="14858" max="14858"/>
    <col width="27" customWidth="1" style="22" min="14859" max="14859"/>
    <col width="24.85546875" customWidth="1" style="22" min="14860" max="14860"/>
    <col width="20.5703125" customWidth="1" style="22" min="14861" max="14861"/>
    <col width="14.85546875" customWidth="1" style="22" min="14862" max="14862"/>
    <col width="19.5703125" customWidth="1" style="22" min="14863" max="14863"/>
    <col width="0.85546875" customWidth="1" style="22" min="14864" max="15104"/>
    <col width="6.140625" customWidth="1" style="22" min="15105" max="15105"/>
    <col width="42.85546875" customWidth="1" style="22" min="15106" max="15106"/>
    <col width="14.5703125" customWidth="1" style="22" min="15107" max="15107"/>
    <col width="11" customWidth="1" style="22" min="15108" max="15108"/>
    <col width="10.85546875" customWidth="1" style="22" min="15109" max="15109"/>
    <col width="12" customWidth="1" style="22" min="15110" max="15110"/>
    <col width="41.5703125" customWidth="1" style="22" min="15111" max="15111"/>
    <col width="13.5703125" customWidth="1" style="22" min="15112" max="15112"/>
    <col width="15.42578125" customWidth="1" style="22" min="15113" max="15113"/>
    <col width="26.42578125" customWidth="1" style="22" min="15114" max="15114"/>
    <col width="27" customWidth="1" style="22" min="15115" max="15115"/>
    <col width="24.85546875" customWidth="1" style="22" min="15116" max="15116"/>
    <col width="20.5703125" customWidth="1" style="22" min="15117" max="15117"/>
    <col width="14.85546875" customWidth="1" style="22" min="15118" max="15118"/>
    <col width="19.5703125" customWidth="1" style="22" min="15119" max="15119"/>
    <col width="0.85546875" customWidth="1" style="22" min="15120" max="15360"/>
    <col width="6.140625" customWidth="1" style="22" min="15361" max="15361"/>
    <col width="42.85546875" customWidth="1" style="22" min="15362" max="15362"/>
    <col width="14.5703125" customWidth="1" style="22" min="15363" max="15363"/>
    <col width="11" customWidth="1" style="22" min="15364" max="15364"/>
    <col width="10.85546875" customWidth="1" style="22" min="15365" max="15365"/>
    <col width="12" customWidth="1" style="22" min="15366" max="15366"/>
    <col width="41.5703125" customWidth="1" style="22" min="15367" max="15367"/>
    <col width="13.5703125" customWidth="1" style="22" min="15368" max="15368"/>
    <col width="15.42578125" customWidth="1" style="22" min="15369" max="15369"/>
    <col width="26.42578125" customWidth="1" style="22" min="15370" max="15370"/>
    <col width="27" customWidth="1" style="22" min="15371" max="15371"/>
    <col width="24.85546875" customWidth="1" style="22" min="15372" max="15372"/>
    <col width="20.5703125" customWidth="1" style="22" min="15373" max="15373"/>
    <col width="14.85546875" customWidth="1" style="22" min="15374" max="15374"/>
    <col width="19.5703125" customWidth="1" style="22" min="15375" max="15375"/>
    <col width="0.85546875" customWidth="1" style="22" min="15376" max="15616"/>
    <col width="6.140625" customWidth="1" style="22" min="15617" max="15617"/>
    <col width="42.85546875" customWidth="1" style="22" min="15618" max="15618"/>
    <col width="14.5703125" customWidth="1" style="22" min="15619" max="15619"/>
    <col width="11" customWidth="1" style="22" min="15620" max="15620"/>
    <col width="10.85546875" customWidth="1" style="22" min="15621" max="15621"/>
    <col width="12" customWidth="1" style="22" min="15622" max="15622"/>
    <col width="41.5703125" customWidth="1" style="22" min="15623" max="15623"/>
    <col width="13.5703125" customWidth="1" style="22" min="15624" max="15624"/>
    <col width="15.42578125" customWidth="1" style="22" min="15625" max="15625"/>
    <col width="26.42578125" customWidth="1" style="22" min="15626" max="15626"/>
    <col width="27" customWidth="1" style="22" min="15627" max="15627"/>
    <col width="24.85546875" customWidth="1" style="22" min="15628" max="15628"/>
    <col width="20.5703125" customWidth="1" style="22" min="15629" max="15629"/>
    <col width="14.85546875" customWidth="1" style="22" min="15630" max="15630"/>
    <col width="19.5703125" customWidth="1" style="22" min="15631" max="15631"/>
    <col width="0.85546875" customWidth="1" style="22" min="15632" max="15872"/>
    <col width="6.140625" customWidth="1" style="22" min="15873" max="15873"/>
    <col width="42.85546875" customWidth="1" style="22" min="15874" max="15874"/>
    <col width="14.5703125" customWidth="1" style="22" min="15875" max="15875"/>
    <col width="11" customWidth="1" style="22" min="15876" max="15876"/>
    <col width="10.85546875" customWidth="1" style="22" min="15877" max="15877"/>
    <col width="12" customWidth="1" style="22" min="15878" max="15878"/>
    <col width="41.5703125" customWidth="1" style="22" min="15879" max="15879"/>
    <col width="13.5703125" customWidth="1" style="22" min="15880" max="15880"/>
    <col width="15.42578125" customWidth="1" style="22" min="15881" max="15881"/>
    <col width="26.42578125" customWidth="1" style="22" min="15882" max="15882"/>
    <col width="27" customWidth="1" style="22" min="15883" max="15883"/>
    <col width="24.85546875" customWidth="1" style="22" min="15884" max="15884"/>
    <col width="20.5703125" customWidth="1" style="22" min="15885" max="15885"/>
    <col width="14.85546875" customWidth="1" style="22" min="15886" max="15886"/>
    <col width="19.5703125" customWidth="1" style="22" min="15887" max="15887"/>
    <col width="0.85546875" customWidth="1" style="22" min="15888" max="16128"/>
    <col width="6.140625" customWidth="1" style="22" min="16129" max="16129"/>
    <col width="42.85546875" customWidth="1" style="22" min="16130" max="16130"/>
    <col width="14.5703125" customWidth="1" style="22" min="16131" max="16131"/>
    <col width="11" customWidth="1" style="22" min="16132" max="16132"/>
    <col width="10.85546875" customWidth="1" style="22" min="16133" max="16133"/>
    <col width="12" customWidth="1" style="22" min="16134" max="16134"/>
    <col width="41.5703125" customWidth="1" style="22" min="16135" max="16135"/>
    <col width="13.5703125" customWidth="1" style="22" min="16136" max="16136"/>
    <col width="15.42578125" customWidth="1" style="22" min="16137" max="16137"/>
    <col width="26.42578125" customWidth="1" style="22" min="16138" max="16138"/>
    <col width="27" customWidth="1" style="22" min="16139" max="16139"/>
    <col width="24.85546875" customWidth="1" style="22" min="16140" max="16140"/>
    <col width="20.5703125" customWidth="1" style="22" min="16141" max="16141"/>
    <col width="14.85546875" customWidth="1" style="22" min="16142" max="16142"/>
    <col width="19.5703125" customWidth="1" style="22" min="16143" max="16143"/>
    <col width="0.85546875" customWidth="1" style="22" min="16144" max="16384"/>
  </cols>
  <sheetData>
    <row r="1" ht="66" customHeight="1" s="794">
      <c r="M1" s="825" t="inlineStr">
        <is>
          <t xml:space="preserve">Приложение № 5
к приказу ФАС России
от 16.12.2022 № 995/22 </t>
        </is>
      </c>
    </row>
    <row r="2" ht="18.75" customHeight="1" s="794">
      <c r="M2" s="72" t="n"/>
      <c r="N2" s="72" t="n"/>
      <c r="O2" s="72" t="n"/>
    </row>
    <row r="3" ht="15.75" customFormat="1" customHeight="1" s="48">
      <c r="O3" s="1059" t="inlineStr">
        <is>
          <t>Форма № 1 (1д)</t>
        </is>
      </c>
    </row>
    <row r="4" ht="12.75" customFormat="1" customHeight="1" s="48">
      <c r="G4" s="18" t="n"/>
      <c r="H4" s="18" t="n"/>
      <c r="I4" s="18" t="n"/>
    </row>
    <row r="5" ht="23.25" customHeight="1" s="794">
      <c r="A5" s="827" t="inlineStr">
        <is>
          <t>Протокол (Согласование) цены (прогнозной цены) единицы продукции и выбора вида цены</t>
        </is>
      </c>
    </row>
    <row r="6" ht="15.75" customFormat="1" customHeight="1" s="23">
      <c r="A6" s="73" t="n"/>
      <c r="B6" s="73" t="n"/>
      <c r="C6" s="73" t="n"/>
      <c r="D6" s="73" t="n"/>
      <c r="E6" s="73" t="n"/>
      <c r="F6" s="828" t="n"/>
      <c r="L6" s="48" t="n"/>
    </row>
    <row r="7" ht="34.5" customFormat="1" customHeight="1" s="3">
      <c r="A7" s="829" t="n"/>
      <c r="E7" s="61" t="n"/>
      <c r="F7" s="61" t="n"/>
      <c r="G7" s="61" t="n"/>
      <c r="H7" s="61" t="n"/>
      <c r="I7" s="61" t="n"/>
      <c r="K7" s="74" t="inlineStr">
        <is>
          <t>Государственный
заказчик / Заказчик:</t>
        </is>
      </c>
      <c r="L7" s="830" t="n"/>
      <c r="M7" s="1409" t="n"/>
      <c r="N7" s="1409" t="n"/>
      <c r="O7" s="1409" t="n"/>
    </row>
    <row r="8" ht="21.75" customFormat="1" customHeight="1" s="24">
      <c r="A8" s="46" t="n"/>
      <c r="B8" s="831" t="n"/>
      <c r="E8" s="75" t="n"/>
      <c r="F8" s="75" t="n"/>
      <c r="G8" s="75" t="n"/>
      <c r="H8" s="75" t="n"/>
      <c r="I8" s="75" t="n"/>
      <c r="K8" s="76" t="inlineStr">
        <is>
          <t>Процедура:</t>
        </is>
      </c>
      <c r="L8" s="830" t="inlineStr">
        <is>
          <t>Определение цены контракта</t>
        </is>
      </c>
      <c r="M8" s="1409" t="n"/>
      <c r="N8" s="1409" t="n"/>
      <c r="O8" s="1409" t="n"/>
    </row>
    <row r="9" ht="16.5" customFormat="1" customHeight="1" s="24">
      <c r="A9" s="77" t="n"/>
      <c r="B9" s="832" t="n"/>
      <c r="E9" s="187" t="n"/>
      <c r="F9" s="79" t="n"/>
      <c r="G9" s="79" t="n"/>
      <c r="H9" s="79" t="n"/>
      <c r="I9" s="79" t="n"/>
      <c r="K9" s="74" t="n"/>
    </row>
    <row r="10" ht="32.25" customFormat="1" customHeight="1" s="24">
      <c r="A10" s="77" t="n"/>
      <c r="B10" s="831" t="n"/>
      <c r="E10" s="187" t="n"/>
      <c r="F10" s="79" t="n"/>
      <c r="G10" s="79" t="n"/>
      <c r="H10" s="79" t="n"/>
      <c r="I10" s="79" t="n"/>
      <c r="K10" s="80" t="inlineStr">
        <is>
          <t>Метод определения цены:</t>
        </is>
      </c>
      <c r="L10" s="833" t="inlineStr">
        <is>
          <t>Затратный</t>
        </is>
      </c>
      <c r="M10" s="1409" t="n"/>
      <c r="N10" s="1409" t="n"/>
      <c r="O10" s="1409" t="n"/>
    </row>
    <row r="11" ht="20.25" customFormat="1" customHeight="1" s="18">
      <c r="A11" s="77" t="n"/>
      <c r="B11" s="832" t="n"/>
      <c r="E11" s="77" t="n"/>
      <c r="K11" s="80" t="inlineStr">
        <is>
          <t>Примечание:</t>
        </is>
      </c>
      <c r="L11" s="838" t="n"/>
      <c r="M11" s="1409" t="n"/>
      <c r="N11" s="1409" t="n"/>
      <c r="O11" s="1409" t="n"/>
    </row>
    <row r="12" ht="18.75" customFormat="1" customHeight="1" s="18">
      <c r="A12" s="77" t="n"/>
      <c r="B12" s="832" t="n"/>
      <c r="E12" s="77" t="n"/>
      <c r="K12" s="1" t="n"/>
      <c r="M12" s="47" t="n"/>
      <c r="N12" s="47" t="n"/>
      <c r="O12" s="47" t="n"/>
    </row>
    <row r="13" ht="18" customFormat="1" customHeight="1" s="48">
      <c r="E13" s="81" t="n"/>
      <c r="F13" s="82" t="n"/>
      <c r="G13" s="82" t="n"/>
      <c r="H13" s="82" t="n"/>
      <c r="I13" s="82" t="n"/>
      <c r="J13" s="82" t="n"/>
      <c r="L13" s="839" t="n"/>
    </row>
    <row r="14" ht="33.75" customFormat="1" customHeight="1" s="48">
      <c r="A14" s="835" t="inlineStr">
        <is>
          <t>№
п/п</t>
        </is>
      </c>
      <c r="B14" s="835" t="inlineStr">
        <is>
          <t>Полное наименование товара, работы, услуги, шифр</t>
        </is>
      </c>
      <c r="C14" s="835" t="inlineStr">
        <is>
          <t xml:space="preserve">Код ОКП/
ОКПД2 </t>
        </is>
      </c>
      <c r="D14" s="835" t="inlineStr">
        <is>
          <t>Код ЕКПС (при наличии)</t>
        </is>
      </c>
      <c r="E14" s="835" t="inlineStr">
        <is>
          <t>ФНН
(при наличии)</t>
        </is>
      </c>
      <c r="F14" s="835" t="inlineStr">
        <is>
          <t>Единица
измерения</t>
        </is>
      </c>
      <c r="G14" s="835" t="inlineStr">
        <is>
          <t>Техническая документация (ТУ, ТЗ, КД, ГОСТ, иное), орган и дата утверждения</t>
        </is>
      </c>
      <c r="H14" s="835" t="inlineStr">
        <is>
          <t>Календарный год или
срок действия цены</t>
        </is>
      </c>
      <c r="I14" s="1410" t="n"/>
      <c r="J14" s="1411" t="inlineStr">
        <is>
          <t>Цена, заявленная организацией-
поставщиком (подрядчиком, исполнителем)
(без НДС, руб.)</t>
        </is>
      </c>
      <c r="K14" s="835" t="inlineStr">
        <is>
          <t>Цена, предлагаемая отраслевым органом
(без НДС, руб.)</t>
        </is>
      </c>
      <c r="L14" s="835" t="inlineStr">
        <is>
          <t>Цена, принятая государственным заказчиком / заказчиком
(без НДС, руб.)</t>
        </is>
      </c>
      <c r="M14" s="840" t="inlineStr">
        <is>
          <t>Вид цены</t>
        </is>
      </c>
      <c r="N14" s="1412" t="n"/>
      <c r="O14" s="1410" t="n"/>
    </row>
    <row r="15" ht="78.75" customFormat="1" customHeight="1" s="48">
      <c r="A15" s="1413" t="n"/>
      <c r="B15" s="1413" t="n"/>
      <c r="C15" s="1413" t="n"/>
      <c r="D15" s="1413" t="n"/>
      <c r="E15" s="1413" t="n"/>
      <c r="F15" s="1413" t="n"/>
      <c r="G15" s="1413" t="n"/>
      <c r="H15" s="835" t="inlineStr">
        <is>
          <t>начало</t>
        </is>
      </c>
      <c r="I15" s="840" t="inlineStr">
        <is>
          <t>окончание</t>
        </is>
      </c>
      <c r="J15" s="1414" t="n"/>
      <c r="K15" s="1413" t="n"/>
      <c r="L15" s="1413" t="n"/>
      <c r="M15" s="835" t="inlineStr">
        <is>
          <t>Предложено организацией-поставщиком (подрядчиком, исполнителем)</t>
        </is>
      </c>
      <c r="N15" s="835" t="inlineStr">
        <is>
          <t>Предложено отраслевым органом</t>
        </is>
      </c>
      <c r="O15" s="85" t="inlineStr">
        <is>
          <t>Предложено государственным заказчиком / заказчиком</t>
        </is>
      </c>
    </row>
    <row r="16" ht="15.75" customFormat="1" customHeight="1" s="48">
      <c r="A16" s="86" t="n">
        <v>1</v>
      </c>
      <c r="B16" s="86" t="n">
        <v>2</v>
      </c>
      <c r="C16" s="86" t="n">
        <v>3</v>
      </c>
      <c r="D16" s="86" t="n">
        <v>4</v>
      </c>
      <c r="E16" s="86" t="n">
        <v>5</v>
      </c>
      <c r="F16" s="86" t="n">
        <v>6</v>
      </c>
      <c r="G16" s="86" t="n">
        <v>7</v>
      </c>
      <c r="H16" s="87" t="inlineStr">
        <is>
          <t>8.1</t>
        </is>
      </c>
      <c r="I16" s="87" t="inlineStr">
        <is>
          <t>8.2</t>
        </is>
      </c>
      <c r="J16" s="86" t="n">
        <v>9</v>
      </c>
      <c r="K16" s="86" t="n">
        <v>10</v>
      </c>
      <c r="L16" s="86" t="n">
        <v>11</v>
      </c>
      <c r="M16" s="86" t="n">
        <v>12</v>
      </c>
      <c r="N16" s="86" t="n">
        <v>13</v>
      </c>
      <c r="O16" s="86" t="n">
        <v>14</v>
      </c>
    </row>
    <row r="17" ht="106.5" customFormat="1" customHeight="1" s="48">
      <c r="A17" s="88" t="inlineStr">
        <is>
          <t>1</t>
        </is>
      </c>
      <c r="B17" s="89" t="inlineStr">
        <is>
          <t>ТЕМА</t>
        </is>
      </c>
      <c r="C17" s="835" t="inlineStr">
        <is>
          <t>72.19.29</t>
        </is>
      </c>
      <c r="D17" s="835" t="inlineStr">
        <is>
          <t>-</t>
        </is>
      </c>
      <c r="E17" s="835" t="inlineStr">
        <is>
          <t>-</t>
        </is>
      </c>
      <c r="F17" s="268" t="inlineStr">
        <is>
          <t>СЧ ОКР</t>
        </is>
      </c>
      <c r="G17" s="90" t="inlineStr">
        <is>
          <t>Техническое задание №</t>
        </is>
      </c>
      <c r="H17" s="1408" t="inlineStr">
        <is>
          <t>Дата подписания договора</t>
        </is>
      </c>
      <c r="I17" s="1408" t="inlineStr">
        <is>
          <t>01.03.2026</t>
        </is>
      </c>
      <c r="J17" s="1415">
        <f>'2д план кальк (2)'!K58</f>
        <v/>
      </c>
      <c r="K17" s="840" t="inlineStr">
        <is>
          <t>-</t>
        </is>
      </c>
      <c r="L17" s="840" t="inlineStr">
        <is>
          <t>-</t>
        </is>
      </c>
      <c r="M17" s="434" t="inlineStr">
        <is>
          <t>ориентировочная</t>
        </is>
      </c>
      <c r="N17" s="840" t="inlineStr">
        <is>
          <t>-</t>
        </is>
      </c>
      <c r="O17" s="840" t="inlineStr">
        <is>
          <t>-</t>
        </is>
      </c>
    </row>
    <row r="18" ht="50.25" customHeight="1" s="794">
      <c r="F18" s="480" t="n"/>
      <c r="J18" s="50" t="n"/>
      <c r="K18" s="48" t="n"/>
      <c r="L18" s="48" t="n"/>
    </row>
    <row r="19" ht="27.75" customHeight="1" s="794">
      <c r="A19" s="94" t="n"/>
      <c r="B19" s="836" t="n"/>
      <c r="C19" s="1409" t="n"/>
      <c r="D19" s="24" t="n"/>
      <c r="E19" s="194" t="n"/>
      <c r="F19" s="194" t="n"/>
      <c r="I19" s="24" t="n"/>
      <c r="K19" s="834" t="inlineStr">
        <is>
          <t>Начальник ОФЭиАУ НИОКР</t>
        </is>
      </c>
    </row>
    <row r="20" ht="45.75" customFormat="1" customHeight="1" s="101">
      <c r="A20" s="97" t="n"/>
      <c r="B20" s="837" t="inlineStr">
        <is>
          <t>_____________________  _____________</t>
        </is>
      </c>
      <c r="E20" s="98" t="n"/>
      <c r="F20" s="99" t="n"/>
      <c r="K20" s="430" t="inlineStr">
        <is>
          <t>_____________________ Н.О. Васецкая</t>
        </is>
      </c>
      <c r="L20" s="200" t="n"/>
      <c r="M20" s="991" t="n"/>
    </row>
    <row r="21" ht="23.25" customHeight="1" s="794">
      <c r="A21" s="102" t="n"/>
      <c r="B21" s="63" t="inlineStr">
        <is>
          <t xml:space="preserve">  (подпись)                                                             (Ф.И.О.)</t>
        </is>
      </c>
      <c r="E21" s="192" t="n"/>
      <c r="F21" s="103" t="n"/>
      <c r="K21" s="63" t="inlineStr">
        <is>
          <t xml:space="preserve">  (подпись)                                                     (Ф.И.О.)</t>
        </is>
      </c>
      <c r="L21" s="162" t="n"/>
      <c r="M21" s="999" t="n"/>
    </row>
    <row r="22" ht="27.75" customFormat="1" customHeight="1" s="105">
      <c r="A22" s="104" t="n"/>
      <c r="B22" s="837" t="inlineStr">
        <is>
          <t>«____» __________________ 2026 г.</t>
        </is>
      </c>
      <c r="E22" s="106" t="n"/>
      <c r="K22" s="837" t="inlineStr">
        <is>
          <t>«____» __________________ 2026 г.</t>
        </is>
      </c>
      <c r="L22" s="200" t="n"/>
      <c r="M22" s="999" t="n"/>
    </row>
    <row r="23" ht="21.75" customHeight="1" s="794">
      <c r="A23" s="107" t="n"/>
      <c r="B23" s="837" t="inlineStr">
        <is>
          <t xml:space="preserve">М.П. </t>
        </is>
      </c>
      <c r="C23" s="103" t="n"/>
      <c r="D23" s="103" t="n"/>
      <c r="E23" s="107" t="n"/>
      <c r="F23" s="103" t="n"/>
    </row>
    <row r="24" ht="19.5" customHeight="1" s="794">
      <c r="A24" s="107" t="n"/>
      <c r="B24" s="107" t="n"/>
      <c r="C24" s="103" t="n"/>
      <c r="D24" s="103" t="n"/>
      <c r="E24" s="107" t="n"/>
      <c r="F24" s="103" t="n"/>
    </row>
    <row r="25" ht="30" customHeight="1" s="794">
      <c r="K25" s="834" t="inlineStr">
        <is>
          <t>Проректор по научной работе</t>
        </is>
      </c>
    </row>
    <row r="26" ht="51.75" customHeight="1" s="794">
      <c r="K26" s="430" t="inlineStr">
        <is>
          <t>_____________________ Ю.В. Фомин</t>
        </is>
      </c>
      <c r="L26" s="100" t="n"/>
      <c r="M26" s="99" t="n"/>
    </row>
    <row r="27" ht="20.25" customHeight="1" s="794">
      <c r="K27" s="63" t="inlineStr">
        <is>
          <t xml:space="preserve">  (подпись)                                                        (Ф.И.О.)</t>
        </is>
      </c>
      <c r="L27" s="192" t="n"/>
      <c r="M27" s="192" t="n"/>
    </row>
    <row r="28" ht="23.25" customHeight="1" s="794">
      <c r="K28" s="837" t="inlineStr">
        <is>
          <t>«____» __________________ 2026 г.</t>
        </is>
      </c>
      <c r="L28" s="106" t="n"/>
      <c r="M28" s="105" t="n"/>
    </row>
    <row r="29" ht="23.25" customHeight="1" s="794">
      <c r="K29" s="837" t="inlineStr">
        <is>
          <t xml:space="preserve">М.П. </t>
        </is>
      </c>
      <c r="L29" s="107" t="n"/>
      <c r="M29" s="103" t="n"/>
    </row>
  </sheetData>
  <mergeCells count="30">
    <mergeCell ref="B11:D11"/>
    <mergeCell ref="B8:D8"/>
    <mergeCell ref="B14:B15"/>
    <mergeCell ref="L11:O11"/>
    <mergeCell ref="B10:D10"/>
    <mergeCell ref="L14:L15"/>
    <mergeCell ref="B9:D9"/>
    <mergeCell ref="A5:O5"/>
    <mergeCell ref="L7:O7"/>
    <mergeCell ref="A14:A15"/>
    <mergeCell ref="G14:G15"/>
    <mergeCell ref="M14:O14"/>
    <mergeCell ref="K14:K15"/>
    <mergeCell ref="K19:M19"/>
    <mergeCell ref="L13:O13"/>
    <mergeCell ref="B19:C19"/>
    <mergeCell ref="A7:D7"/>
    <mergeCell ref="B12:D12"/>
    <mergeCell ref="D14:D15"/>
    <mergeCell ref="K25:M25"/>
    <mergeCell ref="F14:F15"/>
    <mergeCell ref="J14:J15"/>
    <mergeCell ref="L8:O8"/>
    <mergeCell ref="F6:K6"/>
    <mergeCell ref="B20:C20"/>
    <mergeCell ref="M1:O1"/>
    <mergeCell ref="H14:I14"/>
    <mergeCell ref="L10:O10"/>
    <mergeCell ref="C14:C15"/>
    <mergeCell ref="E14:E15"/>
  </mergeCells>
  <printOptions horizontalCentered="1"/>
  <pageMargins left="0.3149606299212598" right="0.3149606299212598" top="0.7480314960629921" bottom="0.7480314960629921" header="0.3149606299212598" footer="0.3149606299212598"/>
  <pageSetup orientation="landscape" paperSize="9" scale="48" fitToHeight="0"/>
</worksheet>
</file>

<file path=xl/worksheets/sheet2.xml><?xml version="1.0" encoding="utf-8"?>
<worksheet xmlns="http://schemas.openxmlformats.org/spreadsheetml/2006/main">
  <sheetPr>
    <tabColor theme="9" tint="0.7999816888943144"/>
    <outlinePr summaryBelow="1" summaryRight="1"/>
    <pageSetUpPr fitToPage="1"/>
  </sheetPr>
  <dimension ref="A1:M72"/>
  <sheetViews>
    <sheetView view="pageBreakPreview" topLeftCell="A10" zoomScale="70" zoomScaleNormal="100" zoomScaleSheetLayoutView="70" workbookViewId="0">
      <selection activeCell="C34" sqref="C34:D34"/>
    </sheetView>
  </sheetViews>
  <sheetFormatPr baseColWidth="8" defaultColWidth="0.85546875" defaultRowHeight="12.75"/>
  <cols>
    <col width="6.140625" customWidth="1" style="22" min="1" max="1"/>
    <col width="50.5703125" customWidth="1" style="22" min="2" max="2"/>
    <col width="9.5703125" customWidth="1" style="22" min="3" max="3"/>
    <col width="6.42578125" customWidth="1" style="22" min="4" max="4"/>
    <col width="15" customWidth="1" style="22" min="5" max="5"/>
    <col width="13" customWidth="1" style="22" min="6" max="6"/>
    <col width="15.85546875" customWidth="1" style="22" min="7" max="7"/>
    <col width="10.5703125" customWidth="1" style="22" min="8" max="8"/>
    <col width="14.7109375" customWidth="1" style="22" min="9" max="9"/>
    <col width="13" customWidth="1" style="22" min="10" max="10"/>
    <col width="13.42578125" customWidth="1" style="22" min="11" max="11"/>
    <col width="13.140625" customWidth="1" style="22" min="12" max="12"/>
    <col width="17" customWidth="1" style="22" min="13" max="13"/>
    <col width="0.85546875" customWidth="1" style="22" min="14" max="42"/>
    <col width="1.42578125" customWidth="1" style="22" min="43" max="43"/>
    <col width="0.85546875" customWidth="1" style="22" min="44" max="240"/>
    <col width="6.140625" customWidth="1" style="22" min="241" max="241"/>
    <col width="50.5703125" customWidth="1" style="22" min="242" max="242"/>
    <col width="9.5703125" customWidth="1" style="22" min="243" max="243"/>
    <col width="6.42578125" customWidth="1" style="22" min="244" max="244"/>
    <col width="15" customWidth="1" style="22" min="245" max="245"/>
    <col width="13" customWidth="1" style="22" min="246" max="246"/>
    <col width="15.85546875" customWidth="1" style="22" min="247" max="247"/>
    <col width="10.5703125" customWidth="1" style="22" min="248" max="248"/>
    <col width="15.85546875" customWidth="1" style="22" min="249" max="249"/>
    <col width="13" customWidth="1" style="22" min="250" max="250"/>
    <col width="14" customWidth="1" style="22" min="251" max="251"/>
    <col width="13" customWidth="1" style="22" min="252" max="252"/>
    <col width="12.5703125" customWidth="1" style="22" min="253" max="253"/>
    <col width="0.85546875" customWidth="1" style="22" min="254" max="298"/>
    <col width="1.42578125" customWidth="1" style="22" min="299" max="299"/>
    <col width="0.85546875" customWidth="1" style="22" min="300" max="496"/>
    <col width="6.140625" customWidth="1" style="22" min="497" max="497"/>
    <col width="50.5703125" customWidth="1" style="22" min="498" max="498"/>
    <col width="9.5703125" customWidth="1" style="22" min="499" max="499"/>
    <col width="6.42578125" customWidth="1" style="22" min="500" max="500"/>
    <col width="15" customWidth="1" style="22" min="501" max="501"/>
    <col width="13" customWidth="1" style="22" min="502" max="502"/>
    <col width="15.85546875" customWidth="1" style="22" min="503" max="503"/>
    <col width="10.5703125" customWidth="1" style="22" min="504" max="504"/>
    <col width="15.85546875" customWidth="1" style="22" min="505" max="505"/>
    <col width="13" customWidth="1" style="22" min="506" max="506"/>
    <col width="14" customWidth="1" style="22" min="507" max="507"/>
    <col width="13" customWidth="1" style="22" min="508" max="508"/>
    <col width="12.5703125" customWidth="1" style="22" min="509" max="509"/>
    <col width="0.85546875" customWidth="1" style="22" min="510" max="554"/>
    <col width="1.42578125" customWidth="1" style="22" min="555" max="555"/>
    <col width="0.85546875" customWidth="1" style="22" min="556" max="752"/>
    <col width="6.140625" customWidth="1" style="22" min="753" max="753"/>
    <col width="50.5703125" customWidth="1" style="22" min="754" max="754"/>
    <col width="9.5703125" customWidth="1" style="22" min="755" max="755"/>
    <col width="6.42578125" customWidth="1" style="22" min="756" max="756"/>
    <col width="15" customWidth="1" style="22" min="757" max="757"/>
    <col width="13" customWidth="1" style="22" min="758" max="758"/>
    <col width="15.85546875" customWidth="1" style="22" min="759" max="759"/>
    <col width="10.5703125" customWidth="1" style="22" min="760" max="760"/>
    <col width="15.85546875" customWidth="1" style="22" min="761" max="761"/>
    <col width="13" customWidth="1" style="22" min="762" max="762"/>
    <col width="14" customWidth="1" style="22" min="763" max="763"/>
    <col width="13" customWidth="1" style="22" min="764" max="764"/>
    <col width="12.5703125" customWidth="1" style="22" min="765" max="765"/>
    <col width="0.85546875" customWidth="1" style="22" min="766" max="810"/>
    <col width="1.42578125" customWidth="1" style="22" min="811" max="811"/>
    <col width="0.85546875" customWidth="1" style="22" min="812" max="1008"/>
    <col width="6.140625" customWidth="1" style="22" min="1009" max="1009"/>
    <col width="50.5703125" customWidth="1" style="22" min="1010" max="1010"/>
    <col width="9.5703125" customWidth="1" style="22" min="1011" max="1011"/>
    <col width="6.42578125" customWidth="1" style="22" min="1012" max="1012"/>
    <col width="15" customWidth="1" style="22" min="1013" max="1013"/>
    <col width="13" customWidth="1" style="22" min="1014" max="1014"/>
    <col width="15.85546875" customWidth="1" style="22" min="1015" max="1015"/>
    <col width="10.5703125" customWidth="1" style="22" min="1016" max="1016"/>
    <col width="15.85546875" customWidth="1" style="22" min="1017" max="1017"/>
    <col width="13" customWidth="1" style="22" min="1018" max="1018"/>
    <col width="14" customWidth="1" style="22" min="1019" max="1019"/>
    <col width="13" customWidth="1" style="22" min="1020" max="1020"/>
    <col width="12.5703125" customWidth="1" style="22" min="1021" max="1021"/>
    <col width="0.85546875" customWidth="1" style="22" min="1022" max="1066"/>
    <col width="1.42578125" customWidth="1" style="22" min="1067" max="1067"/>
    <col width="0.85546875" customWidth="1" style="22" min="1068" max="1264"/>
    <col width="6.140625" customWidth="1" style="22" min="1265" max="1265"/>
    <col width="50.5703125" customWidth="1" style="22" min="1266" max="1266"/>
    <col width="9.5703125" customWidth="1" style="22" min="1267" max="1267"/>
    <col width="6.42578125" customWidth="1" style="22" min="1268" max="1268"/>
    <col width="15" customWidth="1" style="22" min="1269" max="1269"/>
    <col width="13" customWidth="1" style="22" min="1270" max="1270"/>
    <col width="15.85546875" customWidth="1" style="22" min="1271" max="1271"/>
    <col width="10.5703125" customWidth="1" style="22" min="1272" max="1272"/>
    <col width="15.85546875" customWidth="1" style="22" min="1273" max="1273"/>
    <col width="13" customWidth="1" style="22" min="1274" max="1274"/>
    <col width="14" customWidth="1" style="22" min="1275" max="1275"/>
    <col width="13" customWidth="1" style="22" min="1276" max="1276"/>
    <col width="12.5703125" customWidth="1" style="22" min="1277" max="1277"/>
    <col width="0.85546875" customWidth="1" style="22" min="1278" max="1322"/>
    <col width="1.42578125" customWidth="1" style="22" min="1323" max="1323"/>
    <col width="0.85546875" customWidth="1" style="22" min="1324" max="1520"/>
    <col width="6.140625" customWidth="1" style="22" min="1521" max="1521"/>
    <col width="50.5703125" customWidth="1" style="22" min="1522" max="1522"/>
    <col width="9.5703125" customWidth="1" style="22" min="1523" max="1523"/>
    <col width="6.42578125" customWidth="1" style="22" min="1524" max="1524"/>
    <col width="15" customWidth="1" style="22" min="1525" max="1525"/>
    <col width="13" customWidth="1" style="22" min="1526" max="1526"/>
    <col width="15.85546875" customWidth="1" style="22" min="1527" max="1527"/>
    <col width="10.5703125" customWidth="1" style="22" min="1528" max="1528"/>
    <col width="15.85546875" customWidth="1" style="22" min="1529" max="1529"/>
    <col width="13" customWidth="1" style="22" min="1530" max="1530"/>
    <col width="14" customWidth="1" style="22" min="1531" max="1531"/>
    <col width="13" customWidth="1" style="22" min="1532" max="1532"/>
    <col width="12.5703125" customWidth="1" style="22" min="1533" max="1533"/>
    <col width="0.85546875" customWidth="1" style="22" min="1534" max="1578"/>
    <col width="1.42578125" customWidth="1" style="22" min="1579" max="1579"/>
    <col width="0.85546875" customWidth="1" style="22" min="1580" max="1776"/>
    <col width="6.140625" customWidth="1" style="22" min="1777" max="1777"/>
    <col width="50.5703125" customWidth="1" style="22" min="1778" max="1778"/>
    <col width="9.5703125" customWidth="1" style="22" min="1779" max="1779"/>
    <col width="6.42578125" customWidth="1" style="22" min="1780" max="1780"/>
    <col width="15" customWidth="1" style="22" min="1781" max="1781"/>
    <col width="13" customWidth="1" style="22" min="1782" max="1782"/>
    <col width="15.85546875" customWidth="1" style="22" min="1783" max="1783"/>
    <col width="10.5703125" customWidth="1" style="22" min="1784" max="1784"/>
    <col width="15.85546875" customWidth="1" style="22" min="1785" max="1785"/>
    <col width="13" customWidth="1" style="22" min="1786" max="1786"/>
    <col width="14" customWidth="1" style="22" min="1787" max="1787"/>
    <col width="13" customWidth="1" style="22" min="1788" max="1788"/>
    <col width="12.5703125" customWidth="1" style="22" min="1789" max="1789"/>
    <col width="0.85546875" customWidth="1" style="22" min="1790" max="1834"/>
    <col width="1.42578125" customWidth="1" style="22" min="1835" max="1835"/>
    <col width="0.85546875" customWidth="1" style="22" min="1836" max="2032"/>
    <col width="6.140625" customWidth="1" style="22" min="2033" max="2033"/>
    <col width="50.5703125" customWidth="1" style="22" min="2034" max="2034"/>
    <col width="9.5703125" customWidth="1" style="22" min="2035" max="2035"/>
    <col width="6.42578125" customWidth="1" style="22" min="2036" max="2036"/>
    <col width="15" customWidth="1" style="22" min="2037" max="2037"/>
    <col width="13" customWidth="1" style="22" min="2038" max="2038"/>
    <col width="15.85546875" customWidth="1" style="22" min="2039" max="2039"/>
    <col width="10.5703125" customWidth="1" style="22" min="2040" max="2040"/>
    <col width="15.85546875" customWidth="1" style="22" min="2041" max="2041"/>
    <col width="13" customWidth="1" style="22" min="2042" max="2042"/>
    <col width="14" customWidth="1" style="22" min="2043" max="2043"/>
    <col width="13" customWidth="1" style="22" min="2044" max="2044"/>
    <col width="12.5703125" customWidth="1" style="22" min="2045" max="2045"/>
    <col width="0.85546875" customWidth="1" style="22" min="2046" max="2090"/>
    <col width="1.42578125" customWidth="1" style="22" min="2091" max="2091"/>
    <col width="0.85546875" customWidth="1" style="22" min="2092" max="2288"/>
    <col width="6.140625" customWidth="1" style="22" min="2289" max="2289"/>
    <col width="50.5703125" customWidth="1" style="22" min="2290" max="2290"/>
    <col width="9.5703125" customWidth="1" style="22" min="2291" max="2291"/>
    <col width="6.42578125" customWidth="1" style="22" min="2292" max="2292"/>
    <col width="15" customWidth="1" style="22" min="2293" max="2293"/>
    <col width="13" customWidth="1" style="22" min="2294" max="2294"/>
    <col width="15.85546875" customWidth="1" style="22" min="2295" max="2295"/>
    <col width="10.5703125" customWidth="1" style="22" min="2296" max="2296"/>
    <col width="15.85546875" customWidth="1" style="22" min="2297" max="2297"/>
    <col width="13" customWidth="1" style="22" min="2298" max="2298"/>
    <col width="14" customWidth="1" style="22" min="2299" max="2299"/>
    <col width="13" customWidth="1" style="22" min="2300" max="2300"/>
    <col width="12.5703125" customWidth="1" style="22" min="2301" max="2301"/>
    <col width="0.85546875" customWidth="1" style="22" min="2302" max="2346"/>
    <col width="1.42578125" customWidth="1" style="22" min="2347" max="2347"/>
    <col width="0.85546875" customWidth="1" style="22" min="2348" max="2544"/>
    <col width="6.140625" customWidth="1" style="22" min="2545" max="2545"/>
    <col width="50.5703125" customWidth="1" style="22" min="2546" max="2546"/>
    <col width="9.5703125" customWidth="1" style="22" min="2547" max="2547"/>
    <col width="6.42578125" customWidth="1" style="22" min="2548" max="2548"/>
    <col width="15" customWidth="1" style="22" min="2549" max="2549"/>
    <col width="13" customWidth="1" style="22" min="2550" max="2550"/>
    <col width="15.85546875" customWidth="1" style="22" min="2551" max="2551"/>
    <col width="10.5703125" customWidth="1" style="22" min="2552" max="2552"/>
    <col width="15.85546875" customWidth="1" style="22" min="2553" max="2553"/>
    <col width="13" customWidth="1" style="22" min="2554" max="2554"/>
    <col width="14" customWidth="1" style="22" min="2555" max="2555"/>
    <col width="13" customWidth="1" style="22" min="2556" max="2556"/>
    <col width="12.5703125" customWidth="1" style="22" min="2557" max="2557"/>
    <col width="0.85546875" customWidth="1" style="22" min="2558" max="2602"/>
    <col width="1.42578125" customWidth="1" style="22" min="2603" max="2603"/>
    <col width="0.85546875" customWidth="1" style="22" min="2604" max="2800"/>
    <col width="6.140625" customWidth="1" style="22" min="2801" max="2801"/>
    <col width="50.5703125" customWidth="1" style="22" min="2802" max="2802"/>
    <col width="9.5703125" customWidth="1" style="22" min="2803" max="2803"/>
    <col width="6.42578125" customWidth="1" style="22" min="2804" max="2804"/>
    <col width="15" customWidth="1" style="22" min="2805" max="2805"/>
    <col width="13" customWidth="1" style="22" min="2806" max="2806"/>
    <col width="15.85546875" customWidth="1" style="22" min="2807" max="2807"/>
    <col width="10.5703125" customWidth="1" style="22" min="2808" max="2808"/>
    <col width="15.85546875" customWidth="1" style="22" min="2809" max="2809"/>
    <col width="13" customWidth="1" style="22" min="2810" max="2810"/>
    <col width="14" customWidth="1" style="22" min="2811" max="2811"/>
    <col width="13" customWidth="1" style="22" min="2812" max="2812"/>
    <col width="12.5703125" customWidth="1" style="22" min="2813" max="2813"/>
    <col width="0.85546875" customWidth="1" style="22" min="2814" max="2858"/>
    <col width="1.42578125" customWidth="1" style="22" min="2859" max="2859"/>
    <col width="0.85546875" customWidth="1" style="22" min="2860" max="3056"/>
    <col width="6.140625" customWidth="1" style="22" min="3057" max="3057"/>
    <col width="50.5703125" customWidth="1" style="22" min="3058" max="3058"/>
    <col width="9.5703125" customWidth="1" style="22" min="3059" max="3059"/>
    <col width="6.42578125" customWidth="1" style="22" min="3060" max="3060"/>
    <col width="15" customWidth="1" style="22" min="3061" max="3061"/>
    <col width="13" customWidth="1" style="22" min="3062" max="3062"/>
    <col width="15.85546875" customWidth="1" style="22" min="3063" max="3063"/>
    <col width="10.5703125" customWidth="1" style="22" min="3064" max="3064"/>
    <col width="15.85546875" customWidth="1" style="22" min="3065" max="3065"/>
    <col width="13" customWidth="1" style="22" min="3066" max="3066"/>
    <col width="14" customWidth="1" style="22" min="3067" max="3067"/>
    <col width="13" customWidth="1" style="22" min="3068" max="3068"/>
    <col width="12.5703125" customWidth="1" style="22" min="3069" max="3069"/>
    <col width="0.85546875" customWidth="1" style="22" min="3070" max="3114"/>
    <col width="1.42578125" customWidth="1" style="22" min="3115" max="3115"/>
    <col width="0.85546875" customWidth="1" style="22" min="3116" max="3312"/>
    <col width="6.140625" customWidth="1" style="22" min="3313" max="3313"/>
    <col width="50.5703125" customWidth="1" style="22" min="3314" max="3314"/>
    <col width="9.5703125" customWidth="1" style="22" min="3315" max="3315"/>
    <col width="6.42578125" customWidth="1" style="22" min="3316" max="3316"/>
    <col width="15" customWidth="1" style="22" min="3317" max="3317"/>
    <col width="13" customWidth="1" style="22" min="3318" max="3318"/>
    <col width="15.85546875" customWidth="1" style="22" min="3319" max="3319"/>
    <col width="10.5703125" customWidth="1" style="22" min="3320" max="3320"/>
    <col width="15.85546875" customWidth="1" style="22" min="3321" max="3321"/>
    <col width="13" customWidth="1" style="22" min="3322" max="3322"/>
    <col width="14" customWidth="1" style="22" min="3323" max="3323"/>
    <col width="13" customWidth="1" style="22" min="3324" max="3324"/>
    <col width="12.5703125" customWidth="1" style="22" min="3325" max="3325"/>
    <col width="0.85546875" customWidth="1" style="22" min="3326" max="3370"/>
    <col width="1.42578125" customWidth="1" style="22" min="3371" max="3371"/>
    <col width="0.85546875" customWidth="1" style="22" min="3372" max="3568"/>
    <col width="6.140625" customWidth="1" style="22" min="3569" max="3569"/>
    <col width="50.5703125" customWidth="1" style="22" min="3570" max="3570"/>
    <col width="9.5703125" customWidth="1" style="22" min="3571" max="3571"/>
    <col width="6.42578125" customWidth="1" style="22" min="3572" max="3572"/>
    <col width="15" customWidth="1" style="22" min="3573" max="3573"/>
    <col width="13" customWidth="1" style="22" min="3574" max="3574"/>
    <col width="15.85546875" customWidth="1" style="22" min="3575" max="3575"/>
    <col width="10.5703125" customWidth="1" style="22" min="3576" max="3576"/>
    <col width="15.85546875" customWidth="1" style="22" min="3577" max="3577"/>
    <col width="13" customWidth="1" style="22" min="3578" max="3578"/>
    <col width="14" customWidth="1" style="22" min="3579" max="3579"/>
    <col width="13" customWidth="1" style="22" min="3580" max="3580"/>
    <col width="12.5703125" customWidth="1" style="22" min="3581" max="3581"/>
    <col width="0.85546875" customWidth="1" style="22" min="3582" max="3626"/>
    <col width="1.42578125" customWidth="1" style="22" min="3627" max="3627"/>
    <col width="0.85546875" customWidth="1" style="22" min="3628" max="3824"/>
    <col width="6.140625" customWidth="1" style="22" min="3825" max="3825"/>
    <col width="50.5703125" customWidth="1" style="22" min="3826" max="3826"/>
    <col width="9.5703125" customWidth="1" style="22" min="3827" max="3827"/>
    <col width="6.42578125" customWidth="1" style="22" min="3828" max="3828"/>
    <col width="15" customWidth="1" style="22" min="3829" max="3829"/>
    <col width="13" customWidth="1" style="22" min="3830" max="3830"/>
    <col width="15.85546875" customWidth="1" style="22" min="3831" max="3831"/>
    <col width="10.5703125" customWidth="1" style="22" min="3832" max="3832"/>
    <col width="15.85546875" customWidth="1" style="22" min="3833" max="3833"/>
    <col width="13" customWidth="1" style="22" min="3834" max="3834"/>
    <col width="14" customWidth="1" style="22" min="3835" max="3835"/>
    <col width="13" customWidth="1" style="22" min="3836" max="3836"/>
    <col width="12.5703125" customWidth="1" style="22" min="3837" max="3837"/>
    <col width="0.85546875" customWidth="1" style="22" min="3838" max="3882"/>
    <col width="1.42578125" customWidth="1" style="22" min="3883" max="3883"/>
    <col width="0.85546875" customWidth="1" style="22" min="3884" max="4080"/>
    <col width="6.140625" customWidth="1" style="22" min="4081" max="4081"/>
    <col width="50.5703125" customWidth="1" style="22" min="4082" max="4082"/>
    <col width="9.5703125" customWidth="1" style="22" min="4083" max="4083"/>
    <col width="6.42578125" customWidth="1" style="22" min="4084" max="4084"/>
    <col width="15" customWidth="1" style="22" min="4085" max="4085"/>
    <col width="13" customWidth="1" style="22" min="4086" max="4086"/>
    <col width="15.85546875" customWidth="1" style="22" min="4087" max="4087"/>
    <col width="10.5703125" customWidth="1" style="22" min="4088" max="4088"/>
    <col width="15.85546875" customWidth="1" style="22" min="4089" max="4089"/>
    <col width="13" customWidth="1" style="22" min="4090" max="4090"/>
    <col width="14" customWidth="1" style="22" min="4091" max="4091"/>
    <col width="13" customWidth="1" style="22" min="4092" max="4092"/>
    <col width="12.5703125" customWidth="1" style="22" min="4093" max="4093"/>
    <col width="0.85546875" customWidth="1" style="22" min="4094" max="4138"/>
    <col width="1.42578125" customWidth="1" style="22" min="4139" max="4139"/>
    <col width="0.85546875" customWidth="1" style="22" min="4140" max="4336"/>
    <col width="6.140625" customWidth="1" style="22" min="4337" max="4337"/>
    <col width="50.5703125" customWidth="1" style="22" min="4338" max="4338"/>
    <col width="9.5703125" customWidth="1" style="22" min="4339" max="4339"/>
    <col width="6.42578125" customWidth="1" style="22" min="4340" max="4340"/>
    <col width="15" customWidth="1" style="22" min="4341" max="4341"/>
    <col width="13" customWidth="1" style="22" min="4342" max="4342"/>
    <col width="15.85546875" customWidth="1" style="22" min="4343" max="4343"/>
    <col width="10.5703125" customWidth="1" style="22" min="4344" max="4344"/>
    <col width="15.85546875" customWidth="1" style="22" min="4345" max="4345"/>
    <col width="13" customWidth="1" style="22" min="4346" max="4346"/>
    <col width="14" customWidth="1" style="22" min="4347" max="4347"/>
    <col width="13" customWidth="1" style="22" min="4348" max="4348"/>
    <col width="12.5703125" customWidth="1" style="22" min="4349" max="4349"/>
    <col width="0.85546875" customWidth="1" style="22" min="4350" max="4394"/>
    <col width="1.42578125" customWidth="1" style="22" min="4395" max="4395"/>
    <col width="0.85546875" customWidth="1" style="22" min="4396" max="4592"/>
    <col width="6.140625" customWidth="1" style="22" min="4593" max="4593"/>
    <col width="50.5703125" customWidth="1" style="22" min="4594" max="4594"/>
    <col width="9.5703125" customWidth="1" style="22" min="4595" max="4595"/>
    <col width="6.42578125" customWidth="1" style="22" min="4596" max="4596"/>
    <col width="15" customWidth="1" style="22" min="4597" max="4597"/>
    <col width="13" customWidth="1" style="22" min="4598" max="4598"/>
    <col width="15.85546875" customWidth="1" style="22" min="4599" max="4599"/>
    <col width="10.5703125" customWidth="1" style="22" min="4600" max="4600"/>
    <col width="15.85546875" customWidth="1" style="22" min="4601" max="4601"/>
    <col width="13" customWidth="1" style="22" min="4602" max="4602"/>
    <col width="14" customWidth="1" style="22" min="4603" max="4603"/>
    <col width="13" customWidth="1" style="22" min="4604" max="4604"/>
    <col width="12.5703125" customWidth="1" style="22" min="4605" max="4605"/>
    <col width="0.85546875" customWidth="1" style="22" min="4606" max="4650"/>
    <col width="1.42578125" customWidth="1" style="22" min="4651" max="4651"/>
    <col width="0.85546875" customWidth="1" style="22" min="4652" max="4848"/>
    <col width="6.140625" customWidth="1" style="22" min="4849" max="4849"/>
    <col width="50.5703125" customWidth="1" style="22" min="4850" max="4850"/>
    <col width="9.5703125" customWidth="1" style="22" min="4851" max="4851"/>
    <col width="6.42578125" customWidth="1" style="22" min="4852" max="4852"/>
    <col width="15" customWidth="1" style="22" min="4853" max="4853"/>
    <col width="13" customWidth="1" style="22" min="4854" max="4854"/>
    <col width="15.85546875" customWidth="1" style="22" min="4855" max="4855"/>
    <col width="10.5703125" customWidth="1" style="22" min="4856" max="4856"/>
    <col width="15.85546875" customWidth="1" style="22" min="4857" max="4857"/>
    <col width="13" customWidth="1" style="22" min="4858" max="4858"/>
    <col width="14" customWidth="1" style="22" min="4859" max="4859"/>
    <col width="13" customWidth="1" style="22" min="4860" max="4860"/>
    <col width="12.5703125" customWidth="1" style="22" min="4861" max="4861"/>
    <col width="0.85546875" customWidth="1" style="22" min="4862" max="4906"/>
    <col width="1.42578125" customWidth="1" style="22" min="4907" max="4907"/>
    <col width="0.85546875" customWidth="1" style="22" min="4908" max="5104"/>
    <col width="6.140625" customWidth="1" style="22" min="5105" max="5105"/>
    <col width="50.5703125" customWidth="1" style="22" min="5106" max="5106"/>
    <col width="9.5703125" customWidth="1" style="22" min="5107" max="5107"/>
    <col width="6.42578125" customWidth="1" style="22" min="5108" max="5108"/>
    <col width="15" customWidth="1" style="22" min="5109" max="5109"/>
    <col width="13" customWidth="1" style="22" min="5110" max="5110"/>
    <col width="15.85546875" customWidth="1" style="22" min="5111" max="5111"/>
    <col width="10.5703125" customWidth="1" style="22" min="5112" max="5112"/>
    <col width="15.85546875" customWidth="1" style="22" min="5113" max="5113"/>
    <col width="13" customWidth="1" style="22" min="5114" max="5114"/>
    <col width="14" customWidth="1" style="22" min="5115" max="5115"/>
    <col width="13" customWidth="1" style="22" min="5116" max="5116"/>
    <col width="12.5703125" customWidth="1" style="22" min="5117" max="5117"/>
    <col width="0.85546875" customWidth="1" style="22" min="5118" max="5162"/>
    <col width="1.42578125" customWidth="1" style="22" min="5163" max="5163"/>
    <col width="0.85546875" customWidth="1" style="22" min="5164" max="5360"/>
    <col width="6.140625" customWidth="1" style="22" min="5361" max="5361"/>
    <col width="50.5703125" customWidth="1" style="22" min="5362" max="5362"/>
    <col width="9.5703125" customWidth="1" style="22" min="5363" max="5363"/>
    <col width="6.42578125" customWidth="1" style="22" min="5364" max="5364"/>
    <col width="15" customWidth="1" style="22" min="5365" max="5365"/>
    <col width="13" customWidth="1" style="22" min="5366" max="5366"/>
    <col width="15.85546875" customWidth="1" style="22" min="5367" max="5367"/>
    <col width="10.5703125" customWidth="1" style="22" min="5368" max="5368"/>
    <col width="15.85546875" customWidth="1" style="22" min="5369" max="5369"/>
    <col width="13" customWidth="1" style="22" min="5370" max="5370"/>
    <col width="14" customWidth="1" style="22" min="5371" max="5371"/>
    <col width="13" customWidth="1" style="22" min="5372" max="5372"/>
    <col width="12.5703125" customWidth="1" style="22" min="5373" max="5373"/>
    <col width="0.85546875" customWidth="1" style="22" min="5374" max="5418"/>
    <col width="1.42578125" customWidth="1" style="22" min="5419" max="5419"/>
    <col width="0.85546875" customWidth="1" style="22" min="5420" max="5616"/>
    <col width="6.140625" customWidth="1" style="22" min="5617" max="5617"/>
    <col width="50.5703125" customWidth="1" style="22" min="5618" max="5618"/>
    <col width="9.5703125" customWidth="1" style="22" min="5619" max="5619"/>
    <col width="6.42578125" customWidth="1" style="22" min="5620" max="5620"/>
    <col width="15" customWidth="1" style="22" min="5621" max="5621"/>
    <col width="13" customWidth="1" style="22" min="5622" max="5622"/>
    <col width="15.85546875" customWidth="1" style="22" min="5623" max="5623"/>
    <col width="10.5703125" customWidth="1" style="22" min="5624" max="5624"/>
    <col width="15.85546875" customWidth="1" style="22" min="5625" max="5625"/>
    <col width="13" customWidth="1" style="22" min="5626" max="5626"/>
    <col width="14" customWidth="1" style="22" min="5627" max="5627"/>
    <col width="13" customWidth="1" style="22" min="5628" max="5628"/>
    <col width="12.5703125" customWidth="1" style="22" min="5629" max="5629"/>
    <col width="0.85546875" customWidth="1" style="22" min="5630" max="5674"/>
    <col width="1.42578125" customWidth="1" style="22" min="5675" max="5675"/>
    <col width="0.85546875" customWidth="1" style="22" min="5676" max="5872"/>
    <col width="6.140625" customWidth="1" style="22" min="5873" max="5873"/>
    <col width="50.5703125" customWidth="1" style="22" min="5874" max="5874"/>
    <col width="9.5703125" customWidth="1" style="22" min="5875" max="5875"/>
    <col width="6.42578125" customWidth="1" style="22" min="5876" max="5876"/>
    <col width="15" customWidth="1" style="22" min="5877" max="5877"/>
    <col width="13" customWidth="1" style="22" min="5878" max="5878"/>
    <col width="15.85546875" customWidth="1" style="22" min="5879" max="5879"/>
    <col width="10.5703125" customWidth="1" style="22" min="5880" max="5880"/>
    <col width="15.85546875" customWidth="1" style="22" min="5881" max="5881"/>
    <col width="13" customWidth="1" style="22" min="5882" max="5882"/>
    <col width="14" customWidth="1" style="22" min="5883" max="5883"/>
    <col width="13" customWidth="1" style="22" min="5884" max="5884"/>
    <col width="12.5703125" customWidth="1" style="22" min="5885" max="5885"/>
    <col width="0.85546875" customWidth="1" style="22" min="5886" max="5930"/>
    <col width="1.42578125" customWidth="1" style="22" min="5931" max="5931"/>
    <col width="0.85546875" customWidth="1" style="22" min="5932" max="6128"/>
    <col width="6.140625" customWidth="1" style="22" min="6129" max="6129"/>
    <col width="50.5703125" customWidth="1" style="22" min="6130" max="6130"/>
    <col width="9.5703125" customWidth="1" style="22" min="6131" max="6131"/>
    <col width="6.42578125" customWidth="1" style="22" min="6132" max="6132"/>
    <col width="15" customWidth="1" style="22" min="6133" max="6133"/>
    <col width="13" customWidth="1" style="22" min="6134" max="6134"/>
    <col width="15.85546875" customWidth="1" style="22" min="6135" max="6135"/>
    <col width="10.5703125" customWidth="1" style="22" min="6136" max="6136"/>
    <col width="15.85546875" customWidth="1" style="22" min="6137" max="6137"/>
    <col width="13" customWidth="1" style="22" min="6138" max="6138"/>
    <col width="14" customWidth="1" style="22" min="6139" max="6139"/>
    <col width="13" customWidth="1" style="22" min="6140" max="6140"/>
    <col width="12.5703125" customWidth="1" style="22" min="6141" max="6141"/>
    <col width="0.85546875" customWidth="1" style="22" min="6142" max="6186"/>
    <col width="1.42578125" customWidth="1" style="22" min="6187" max="6187"/>
    <col width="0.85546875" customWidth="1" style="22" min="6188" max="6384"/>
    <col width="6.140625" customWidth="1" style="22" min="6385" max="6385"/>
    <col width="50.5703125" customWidth="1" style="22" min="6386" max="6386"/>
    <col width="9.5703125" customWidth="1" style="22" min="6387" max="6387"/>
    <col width="6.42578125" customWidth="1" style="22" min="6388" max="6388"/>
    <col width="15" customWidth="1" style="22" min="6389" max="6389"/>
    <col width="13" customWidth="1" style="22" min="6390" max="6390"/>
    <col width="15.85546875" customWidth="1" style="22" min="6391" max="6391"/>
    <col width="10.5703125" customWidth="1" style="22" min="6392" max="6392"/>
    <col width="15.85546875" customWidth="1" style="22" min="6393" max="6393"/>
    <col width="13" customWidth="1" style="22" min="6394" max="6394"/>
    <col width="14" customWidth="1" style="22" min="6395" max="6395"/>
    <col width="13" customWidth="1" style="22" min="6396" max="6396"/>
    <col width="12.5703125" customWidth="1" style="22" min="6397" max="6397"/>
    <col width="0.85546875" customWidth="1" style="22" min="6398" max="6442"/>
    <col width="1.42578125" customWidth="1" style="22" min="6443" max="6443"/>
    <col width="0.85546875" customWidth="1" style="22" min="6444" max="6640"/>
    <col width="6.140625" customWidth="1" style="22" min="6641" max="6641"/>
    <col width="50.5703125" customWidth="1" style="22" min="6642" max="6642"/>
    <col width="9.5703125" customWidth="1" style="22" min="6643" max="6643"/>
    <col width="6.42578125" customWidth="1" style="22" min="6644" max="6644"/>
    <col width="15" customWidth="1" style="22" min="6645" max="6645"/>
    <col width="13" customWidth="1" style="22" min="6646" max="6646"/>
    <col width="15.85546875" customWidth="1" style="22" min="6647" max="6647"/>
    <col width="10.5703125" customWidth="1" style="22" min="6648" max="6648"/>
    <col width="15.85546875" customWidth="1" style="22" min="6649" max="6649"/>
    <col width="13" customWidth="1" style="22" min="6650" max="6650"/>
    <col width="14" customWidth="1" style="22" min="6651" max="6651"/>
    <col width="13" customWidth="1" style="22" min="6652" max="6652"/>
    <col width="12.5703125" customWidth="1" style="22" min="6653" max="6653"/>
    <col width="0.85546875" customWidth="1" style="22" min="6654" max="6698"/>
    <col width="1.42578125" customWidth="1" style="22" min="6699" max="6699"/>
    <col width="0.85546875" customWidth="1" style="22" min="6700" max="6896"/>
    <col width="6.140625" customWidth="1" style="22" min="6897" max="6897"/>
    <col width="50.5703125" customWidth="1" style="22" min="6898" max="6898"/>
    <col width="9.5703125" customWidth="1" style="22" min="6899" max="6899"/>
    <col width="6.42578125" customWidth="1" style="22" min="6900" max="6900"/>
    <col width="15" customWidth="1" style="22" min="6901" max="6901"/>
    <col width="13" customWidth="1" style="22" min="6902" max="6902"/>
    <col width="15.85546875" customWidth="1" style="22" min="6903" max="6903"/>
    <col width="10.5703125" customWidth="1" style="22" min="6904" max="6904"/>
    <col width="15.85546875" customWidth="1" style="22" min="6905" max="6905"/>
    <col width="13" customWidth="1" style="22" min="6906" max="6906"/>
    <col width="14" customWidth="1" style="22" min="6907" max="6907"/>
    <col width="13" customWidth="1" style="22" min="6908" max="6908"/>
    <col width="12.5703125" customWidth="1" style="22" min="6909" max="6909"/>
    <col width="0.85546875" customWidth="1" style="22" min="6910" max="6954"/>
    <col width="1.42578125" customWidth="1" style="22" min="6955" max="6955"/>
    <col width="0.85546875" customWidth="1" style="22" min="6956" max="7152"/>
    <col width="6.140625" customWidth="1" style="22" min="7153" max="7153"/>
    <col width="50.5703125" customWidth="1" style="22" min="7154" max="7154"/>
    <col width="9.5703125" customWidth="1" style="22" min="7155" max="7155"/>
    <col width="6.42578125" customWidth="1" style="22" min="7156" max="7156"/>
    <col width="15" customWidth="1" style="22" min="7157" max="7157"/>
    <col width="13" customWidth="1" style="22" min="7158" max="7158"/>
    <col width="15.85546875" customWidth="1" style="22" min="7159" max="7159"/>
    <col width="10.5703125" customWidth="1" style="22" min="7160" max="7160"/>
    <col width="15.85546875" customWidth="1" style="22" min="7161" max="7161"/>
    <col width="13" customWidth="1" style="22" min="7162" max="7162"/>
    <col width="14" customWidth="1" style="22" min="7163" max="7163"/>
    <col width="13" customWidth="1" style="22" min="7164" max="7164"/>
    <col width="12.5703125" customWidth="1" style="22" min="7165" max="7165"/>
    <col width="0.85546875" customWidth="1" style="22" min="7166" max="7210"/>
    <col width="1.42578125" customWidth="1" style="22" min="7211" max="7211"/>
    <col width="0.85546875" customWidth="1" style="22" min="7212" max="7408"/>
    <col width="6.140625" customWidth="1" style="22" min="7409" max="7409"/>
    <col width="50.5703125" customWidth="1" style="22" min="7410" max="7410"/>
    <col width="9.5703125" customWidth="1" style="22" min="7411" max="7411"/>
    <col width="6.42578125" customWidth="1" style="22" min="7412" max="7412"/>
    <col width="15" customWidth="1" style="22" min="7413" max="7413"/>
    <col width="13" customWidth="1" style="22" min="7414" max="7414"/>
    <col width="15.85546875" customWidth="1" style="22" min="7415" max="7415"/>
    <col width="10.5703125" customWidth="1" style="22" min="7416" max="7416"/>
    <col width="15.85546875" customWidth="1" style="22" min="7417" max="7417"/>
    <col width="13" customWidth="1" style="22" min="7418" max="7418"/>
    <col width="14" customWidth="1" style="22" min="7419" max="7419"/>
    <col width="13" customWidth="1" style="22" min="7420" max="7420"/>
    <col width="12.5703125" customWidth="1" style="22" min="7421" max="7421"/>
    <col width="0.85546875" customWidth="1" style="22" min="7422" max="7466"/>
    <col width="1.42578125" customWidth="1" style="22" min="7467" max="7467"/>
    <col width="0.85546875" customWidth="1" style="22" min="7468" max="7664"/>
    <col width="6.140625" customWidth="1" style="22" min="7665" max="7665"/>
    <col width="50.5703125" customWidth="1" style="22" min="7666" max="7666"/>
    <col width="9.5703125" customWidth="1" style="22" min="7667" max="7667"/>
    <col width="6.42578125" customWidth="1" style="22" min="7668" max="7668"/>
    <col width="15" customWidth="1" style="22" min="7669" max="7669"/>
    <col width="13" customWidth="1" style="22" min="7670" max="7670"/>
    <col width="15.85546875" customWidth="1" style="22" min="7671" max="7671"/>
    <col width="10.5703125" customWidth="1" style="22" min="7672" max="7672"/>
    <col width="15.85546875" customWidth="1" style="22" min="7673" max="7673"/>
    <col width="13" customWidth="1" style="22" min="7674" max="7674"/>
    <col width="14" customWidth="1" style="22" min="7675" max="7675"/>
    <col width="13" customWidth="1" style="22" min="7676" max="7676"/>
    <col width="12.5703125" customWidth="1" style="22" min="7677" max="7677"/>
    <col width="0.85546875" customWidth="1" style="22" min="7678" max="7722"/>
    <col width="1.42578125" customWidth="1" style="22" min="7723" max="7723"/>
    <col width="0.85546875" customWidth="1" style="22" min="7724" max="7920"/>
    <col width="6.140625" customWidth="1" style="22" min="7921" max="7921"/>
    <col width="50.5703125" customWidth="1" style="22" min="7922" max="7922"/>
    <col width="9.5703125" customWidth="1" style="22" min="7923" max="7923"/>
    <col width="6.42578125" customWidth="1" style="22" min="7924" max="7924"/>
    <col width="15" customWidth="1" style="22" min="7925" max="7925"/>
    <col width="13" customWidth="1" style="22" min="7926" max="7926"/>
    <col width="15.85546875" customWidth="1" style="22" min="7927" max="7927"/>
    <col width="10.5703125" customWidth="1" style="22" min="7928" max="7928"/>
    <col width="15.85546875" customWidth="1" style="22" min="7929" max="7929"/>
    <col width="13" customWidth="1" style="22" min="7930" max="7930"/>
    <col width="14" customWidth="1" style="22" min="7931" max="7931"/>
    <col width="13" customWidth="1" style="22" min="7932" max="7932"/>
    <col width="12.5703125" customWidth="1" style="22" min="7933" max="7933"/>
    <col width="0.85546875" customWidth="1" style="22" min="7934" max="7978"/>
    <col width="1.42578125" customWidth="1" style="22" min="7979" max="7979"/>
    <col width="0.85546875" customWidth="1" style="22" min="7980" max="8176"/>
    <col width="6.140625" customWidth="1" style="22" min="8177" max="8177"/>
    <col width="50.5703125" customWidth="1" style="22" min="8178" max="8178"/>
    <col width="9.5703125" customWidth="1" style="22" min="8179" max="8179"/>
    <col width="6.42578125" customWidth="1" style="22" min="8180" max="8180"/>
    <col width="15" customWidth="1" style="22" min="8181" max="8181"/>
    <col width="13" customWidth="1" style="22" min="8182" max="8182"/>
    <col width="15.85546875" customWidth="1" style="22" min="8183" max="8183"/>
    <col width="10.5703125" customWidth="1" style="22" min="8184" max="8184"/>
    <col width="15.85546875" customWidth="1" style="22" min="8185" max="8185"/>
    <col width="13" customWidth="1" style="22" min="8186" max="8186"/>
    <col width="14" customWidth="1" style="22" min="8187" max="8187"/>
    <col width="13" customWidth="1" style="22" min="8188" max="8188"/>
    <col width="12.5703125" customWidth="1" style="22" min="8189" max="8189"/>
    <col width="0.85546875" customWidth="1" style="22" min="8190" max="8234"/>
    <col width="1.42578125" customWidth="1" style="22" min="8235" max="8235"/>
    <col width="0.85546875" customWidth="1" style="22" min="8236" max="8432"/>
    <col width="6.140625" customWidth="1" style="22" min="8433" max="8433"/>
    <col width="50.5703125" customWidth="1" style="22" min="8434" max="8434"/>
    <col width="9.5703125" customWidth="1" style="22" min="8435" max="8435"/>
    <col width="6.42578125" customWidth="1" style="22" min="8436" max="8436"/>
    <col width="15" customWidth="1" style="22" min="8437" max="8437"/>
    <col width="13" customWidth="1" style="22" min="8438" max="8438"/>
    <col width="15.85546875" customWidth="1" style="22" min="8439" max="8439"/>
    <col width="10.5703125" customWidth="1" style="22" min="8440" max="8440"/>
    <col width="15.85546875" customWidth="1" style="22" min="8441" max="8441"/>
    <col width="13" customWidth="1" style="22" min="8442" max="8442"/>
    <col width="14" customWidth="1" style="22" min="8443" max="8443"/>
    <col width="13" customWidth="1" style="22" min="8444" max="8444"/>
    <col width="12.5703125" customWidth="1" style="22" min="8445" max="8445"/>
    <col width="0.85546875" customWidth="1" style="22" min="8446" max="8490"/>
    <col width="1.42578125" customWidth="1" style="22" min="8491" max="8491"/>
    <col width="0.85546875" customWidth="1" style="22" min="8492" max="8688"/>
    <col width="6.140625" customWidth="1" style="22" min="8689" max="8689"/>
    <col width="50.5703125" customWidth="1" style="22" min="8690" max="8690"/>
    <col width="9.5703125" customWidth="1" style="22" min="8691" max="8691"/>
    <col width="6.42578125" customWidth="1" style="22" min="8692" max="8692"/>
    <col width="15" customWidth="1" style="22" min="8693" max="8693"/>
    <col width="13" customWidth="1" style="22" min="8694" max="8694"/>
    <col width="15.85546875" customWidth="1" style="22" min="8695" max="8695"/>
    <col width="10.5703125" customWidth="1" style="22" min="8696" max="8696"/>
    <col width="15.85546875" customWidth="1" style="22" min="8697" max="8697"/>
    <col width="13" customWidth="1" style="22" min="8698" max="8698"/>
    <col width="14" customWidth="1" style="22" min="8699" max="8699"/>
    <col width="13" customWidth="1" style="22" min="8700" max="8700"/>
    <col width="12.5703125" customWidth="1" style="22" min="8701" max="8701"/>
    <col width="0.85546875" customWidth="1" style="22" min="8702" max="8746"/>
    <col width="1.42578125" customWidth="1" style="22" min="8747" max="8747"/>
    <col width="0.85546875" customWidth="1" style="22" min="8748" max="8944"/>
    <col width="6.140625" customWidth="1" style="22" min="8945" max="8945"/>
    <col width="50.5703125" customWidth="1" style="22" min="8946" max="8946"/>
    <col width="9.5703125" customWidth="1" style="22" min="8947" max="8947"/>
    <col width="6.42578125" customWidth="1" style="22" min="8948" max="8948"/>
    <col width="15" customWidth="1" style="22" min="8949" max="8949"/>
    <col width="13" customWidth="1" style="22" min="8950" max="8950"/>
    <col width="15.85546875" customWidth="1" style="22" min="8951" max="8951"/>
    <col width="10.5703125" customWidth="1" style="22" min="8952" max="8952"/>
    <col width="15.85546875" customWidth="1" style="22" min="8953" max="8953"/>
    <col width="13" customWidth="1" style="22" min="8954" max="8954"/>
    <col width="14" customWidth="1" style="22" min="8955" max="8955"/>
    <col width="13" customWidth="1" style="22" min="8956" max="8956"/>
    <col width="12.5703125" customWidth="1" style="22" min="8957" max="8957"/>
    <col width="0.85546875" customWidth="1" style="22" min="8958" max="9002"/>
    <col width="1.42578125" customWidth="1" style="22" min="9003" max="9003"/>
    <col width="0.85546875" customWidth="1" style="22" min="9004" max="9200"/>
    <col width="6.140625" customWidth="1" style="22" min="9201" max="9201"/>
    <col width="50.5703125" customWidth="1" style="22" min="9202" max="9202"/>
    <col width="9.5703125" customWidth="1" style="22" min="9203" max="9203"/>
    <col width="6.42578125" customWidth="1" style="22" min="9204" max="9204"/>
    <col width="15" customWidth="1" style="22" min="9205" max="9205"/>
    <col width="13" customWidth="1" style="22" min="9206" max="9206"/>
    <col width="15.85546875" customWidth="1" style="22" min="9207" max="9207"/>
    <col width="10.5703125" customWidth="1" style="22" min="9208" max="9208"/>
    <col width="15.85546875" customWidth="1" style="22" min="9209" max="9209"/>
    <col width="13" customWidth="1" style="22" min="9210" max="9210"/>
    <col width="14" customWidth="1" style="22" min="9211" max="9211"/>
    <col width="13" customWidth="1" style="22" min="9212" max="9212"/>
    <col width="12.5703125" customWidth="1" style="22" min="9213" max="9213"/>
    <col width="0.85546875" customWidth="1" style="22" min="9214" max="9258"/>
    <col width="1.42578125" customWidth="1" style="22" min="9259" max="9259"/>
    <col width="0.85546875" customWidth="1" style="22" min="9260" max="9456"/>
    <col width="6.140625" customWidth="1" style="22" min="9457" max="9457"/>
    <col width="50.5703125" customWidth="1" style="22" min="9458" max="9458"/>
    <col width="9.5703125" customWidth="1" style="22" min="9459" max="9459"/>
    <col width="6.42578125" customWidth="1" style="22" min="9460" max="9460"/>
    <col width="15" customWidth="1" style="22" min="9461" max="9461"/>
    <col width="13" customWidth="1" style="22" min="9462" max="9462"/>
    <col width="15.85546875" customWidth="1" style="22" min="9463" max="9463"/>
    <col width="10.5703125" customWidth="1" style="22" min="9464" max="9464"/>
    <col width="15.85546875" customWidth="1" style="22" min="9465" max="9465"/>
    <col width="13" customWidth="1" style="22" min="9466" max="9466"/>
    <col width="14" customWidth="1" style="22" min="9467" max="9467"/>
    <col width="13" customWidth="1" style="22" min="9468" max="9468"/>
    <col width="12.5703125" customWidth="1" style="22" min="9469" max="9469"/>
    <col width="0.85546875" customWidth="1" style="22" min="9470" max="9514"/>
    <col width="1.42578125" customWidth="1" style="22" min="9515" max="9515"/>
    <col width="0.85546875" customWidth="1" style="22" min="9516" max="9712"/>
    <col width="6.140625" customWidth="1" style="22" min="9713" max="9713"/>
    <col width="50.5703125" customWidth="1" style="22" min="9714" max="9714"/>
    <col width="9.5703125" customWidth="1" style="22" min="9715" max="9715"/>
    <col width="6.42578125" customWidth="1" style="22" min="9716" max="9716"/>
    <col width="15" customWidth="1" style="22" min="9717" max="9717"/>
    <col width="13" customWidth="1" style="22" min="9718" max="9718"/>
    <col width="15.85546875" customWidth="1" style="22" min="9719" max="9719"/>
    <col width="10.5703125" customWidth="1" style="22" min="9720" max="9720"/>
    <col width="15.85546875" customWidth="1" style="22" min="9721" max="9721"/>
    <col width="13" customWidth="1" style="22" min="9722" max="9722"/>
    <col width="14" customWidth="1" style="22" min="9723" max="9723"/>
    <col width="13" customWidth="1" style="22" min="9724" max="9724"/>
    <col width="12.5703125" customWidth="1" style="22" min="9725" max="9725"/>
    <col width="0.85546875" customWidth="1" style="22" min="9726" max="9770"/>
    <col width="1.42578125" customWidth="1" style="22" min="9771" max="9771"/>
    <col width="0.85546875" customWidth="1" style="22" min="9772" max="9968"/>
    <col width="6.140625" customWidth="1" style="22" min="9969" max="9969"/>
    <col width="50.5703125" customWidth="1" style="22" min="9970" max="9970"/>
    <col width="9.5703125" customWidth="1" style="22" min="9971" max="9971"/>
    <col width="6.42578125" customWidth="1" style="22" min="9972" max="9972"/>
    <col width="15" customWidth="1" style="22" min="9973" max="9973"/>
    <col width="13" customWidth="1" style="22" min="9974" max="9974"/>
    <col width="15.85546875" customWidth="1" style="22" min="9975" max="9975"/>
    <col width="10.5703125" customWidth="1" style="22" min="9976" max="9976"/>
    <col width="15.85546875" customWidth="1" style="22" min="9977" max="9977"/>
    <col width="13" customWidth="1" style="22" min="9978" max="9978"/>
    <col width="14" customWidth="1" style="22" min="9979" max="9979"/>
    <col width="13" customWidth="1" style="22" min="9980" max="9980"/>
    <col width="12.5703125" customWidth="1" style="22" min="9981" max="9981"/>
    <col width="0.85546875" customWidth="1" style="22" min="9982" max="10026"/>
    <col width="1.42578125" customWidth="1" style="22" min="10027" max="10027"/>
    <col width="0.85546875" customWidth="1" style="22" min="10028" max="10224"/>
    <col width="6.140625" customWidth="1" style="22" min="10225" max="10225"/>
    <col width="50.5703125" customWidth="1" style="22" min="10226" max="10226"/>
    <col width="9.5703125" customWidth="1" style="22" min="10227" max="10227"/>
    <col width="6.42578125" customWidth="1" style="22" min="10228" max="10228"/>
    <col width="15" customWidth="1" style="22" min="10229" max="10229"/>
    <col width="13" customWidth="1" style="22" min="10230" max="10230"/>
    <col width="15.85546875" customWidth="1" style="22" min="10231" max="10231"/>
    <col width="10.5703125" customWidth="1" style="22" min="10232" max="10232"/>
    <col width="15.85546875" customWidth="1" style="22" min="10233" max="10233"/>
    <col width="13" customWidth="1" style="22" min="10234" max="10234"/>
    <col width="14" customWidth="1" style="22" min="10235" max="10235"/>
    <col width="13" customWidth="1" style="22" min="10236" max="10236"/>
    <col width="12.5703125" customWidth="1" style="22" min="10237" max="10237"/>
    <col width="0.85546875" customWidth="1" style="22" min="10238" max="10282"/>
    <col width="1.42578125" customWidth="1" style="22" min="10283" max="10283"/>
    <col width="0.85546875" customWidth="1" style="22" min="10284" max="10480"/>
    <col width="6.140625" customWidth="1" style="22" min="10481" max="10481"/>
    <col width="50.5703125" customWidth="1" style="22" min="10482" max="10482"/>
    <col width="9.5703125" customWidth="1" style="22" min="10483" max="10483"/>
    <col width="6.42578125" customWidth="1" style="22" min="10484" max="10484"/>
    <col width="15" customWidth="1" style="22" min="10485" max="10485"/>
    <col width="13" customWidth="1" style="22" min="10486" max="10486"/>
    <col width="15.85546875" customWidth="1" style="22" min="10487" max="10487"/>
    <col width="10.5703125" customWidth="1" style="22" min="10488" max="10488"/>
    <col width="15.85546875" customWidth="1" style="22" min="10489" max="10489"/>
    <col width="13" customWidth="1" style="22" min="10490" max="10490"/>
    <col width="14" customWidth="1" style="22" min="10491" max="10491"/>
    <col width="13" customWidth="1" style="22" min="10492" max="10492"/>
    <col width="12.5703125" customWidth="1" style="22" min="10493" max="10493"/>
    <col width="0.85546875" customWidth="1" style="22" min="10494" max="10538"/>
    <col width="1.42578125" customWidth="1" style="22" min="10539" max="10539"/>
    <col width="0.85546875" customWidth="1" style="22" min="10540" max="10736"/>
    <col width="6.140625" customWidth="1" style="22" min="10737" max="10737"/>
    <col width="50.5703125" customWidth="1" style="22" min="10738" max="10738"/>
    <col width="9.5703125" customWidth="1" style="22" min="10739" max="10739"/>
    <col width="6.42578125" customWidth="1" style="22" min="10740" max="10740"/>
    <col width="15" customWidth="1" style="22" min="10741" max="10741"/>
    <col width="13" customWidth="1" style="22" min="10742" max="10742"/>
    <col width="15.85546875" customWidth="1" style="22" min="10743" max="10743"/>
    <col width="10.5703125" customWidth="1" style="22" min="10744" max="10744"/>
    <col width="15.85546875" customWidth="1" style="22" min="10745" max="10745"/>
    <col width="13" customWidth="1" style="22" min="10746" max="10746"/>
    <col width="14" customWidth="1" style="22" min="10747" max="10747"/>
    <col width="13" customWidth="1" style="22" min="10748" max="10748"/>
    <col width="12.5703125" customWidth="1" style="22" min="10749" max="10749"/>
    <col width="0.85546875" customWidth="1" style="22" min="10750" max="10794"/>
    <col width="1.42578125" customWidth="1" style="22" min="10795" max="10795"/>
    <col width="0.85546875" customWidth="1" style="22" min="10796" max="10992"/>
    <col width="6.140625" customWidth="1" style="22" min="10993" max="10993"/>
    <col width="50.5703125" customWidth="1" style="22" min="10994" max="10994"/>
    <col width="9.5703125" customWidth="1" style="22" min="10995" max="10995"/>
    <col width="6.42578125" customWidth="1" style="22" min="10996" max="10996"/>
    <col width="15" customWidth="1" style="22" min="10997" max="10997"/>
    <col width="13" customWidth="1" style="22" min="10998" max="10998"/>
    <col width="15.85546875" customWidth="1" style="22" min="10999" max="10999"/>
    <col width="10.5703125" customWidth="1" style="22" min="11000" max="11000"/>
    <col width="15.85546875" customWidth="1" style="22" min="11001" max="11001"/>
    <col width="13" customWidth="1" style="22" min="11002" max="11002"/>
    <col width="14" customWidth="1" style="22" min="11003" max="11003"/>
    <col width="13" customWidth="1" style="22" min="11004" max="11004"/>
    <col width="12.5703125" customWidth="1" style="22" min="11005" max="11005"/>
    <col width="0.85546875" customWidth="1" style="22" min="11006" max="11050"/>
    <col width="1.42578125" customWidth="1" style="22" min="11051" max="11051"/>
    <col width="0.85546875" customWidth="1" style="22" min="11052" max="11248"/>
    <col width="6.140625" customWidth="1" style="22" min="11249" max="11249"/>
    <col width="50.5703125" customWidth="1" style="22" min="11250" max="11250"/>
    <col width="9.5703125" customWidth="1" style="22" min="11251" max="11251"/>
    <col width="6.42578125" customWidth="1" style="22" min="11252" max="11252"/>
    <col width="15" customWidth="1" style="22" min="11253" max="11253"/>
    <col width="13" customWidth="1" style="22" min="11254" max="11254"/>
    <col width="15.85546875" customWidth="1" style="22" min="11255" max="11255"/>
    <col width="10.5703125" customWidth="1" style="22" min="11256" max="11256"/>
    <col width="15.85546875" customWidth="1" style="22" min="11257" max="11257"/>
    <col width="13" customWidth="1" style="22" min="11258" max="11258"/>
    <col width="14" customWidth="1" style="22" min="11259" max="11259"/>
    <col width="13" customWidth="1" style="22" min="11260" max="11260"/>
    <col width="12.5703125" customWidth="1" style="22" min="11261" max="11261"/>
    <col width="0.85546875" customWidth="1" style="22" min="11262" max="11306"/>
    <col width="1.42578125" customWidth="1" style="22" min="11307" max="11307"/>
    <col width="0.85546875" customWidth="1" style="22" min="11308" max="11504"/>
    <col width="6.140625" customWidth="1" style="22" min="11505" max="11505"/>
    <col width="50.5703125" customWidth="1" style="22" min="11506" max="11506"/>
    <col width="9.5703125" customWidth="1" style="22" min="11507" max="11507"/>
    <col width="6.42578125" customWidth="1" style="22" min="11508" max="11508"/>
    <col width="15" customWidth="1" style="22" min="11509" max="11509"/>
    <col width="13" customWidth="1" style="22" min="11510" max="11510"/>
    <col width="15.85546875" customWidth="1" style="22" min="11511" max="11511"/>
    <col width="10.5703125" customWidth="1" style="22" min="11512" max="11512"/>
    <col width="15.85546875" customWidth="1" style="22" min="11513" max="11513"/>
    <col width="13" customWidth="1" style="22" min="11514" max="11514"/>
    <col width="14" customWidth="1" style="22" min="11515" max="11515"/>
    <col width="13" customWidth="1" style="22" min="11516" max="11516"/>
    <col width="12.5703125" customWidth="1" style="22" min="11517" max="11517"/>
    <col width="0.85546875" customWidth="1" style="22" min="11518" max="11562"/>
    <col width="1.42578125" customWidth="1" style="22" min="11563" max="11563"/>
    <col width="0.85546875" customWidth="1" style="22" min="11564" max="11760"/>
    <col width="6.140625" customWidth="1" style="22" min="11761" max="11761"/>
    <col width="50.5703125" customWidth="1" style="22" min="11762" max="11762"/>
    <col width="9.5703125" customWidth="1" style="22" min="11763" max="11763"/>
    <col width="6.42578125" customWidth="1" style="22" min="11764" max="11764"/>
    <col width="15" customWidth="1" style="22" min="11765" max="11765"/>
    <col width="13" customWidth="1" style="22" min="11766" max="11766"/>
    <col width="15.85546875" customWidth="1" style="22" min="11767" max="11767"/>
    <col width="10.5703125" customWidth="1" style="22" min="11768" max="11768"/>
    <col width="15.85546875" customWidth="1" style="22" min="11769" max="11769"/>
    <col width="13" customWidth="1" style="22" min="11770" max="11770"/>
    <col width="14" customWidth="1" style="22" min="11771" max="11771"/>
    <col width="13" customWidth="1" style="22" min="11772" max="11772"/>
    <col width="12.5703125" customWidth="1" style="22" min="11773" max="11773"/>
    <col width="0.85546875" customWidth="1" style="22" min="11774" max="11818"/>
    <col width="1.42578125" customWidth="1" style="22" min="11819" max="11819"/>
    <col width="0.85546875" customWidth="1" style="22" min="11820" max="12016"/>
    <col width="6.140625" customWidth="1" style="22" min="12017" max="12017"/>
    <col width="50.5703125" customWidth="1" style="22" min="12018" max="12018"/>
    <col width="9.5703125" customWidth="1" style="22" min="12019" max="12019"/>
    <col width="6.42578125" customWidth="1" style="22" min="12020" max="12020"/>
    <col width="15" customWidth="1" style="22" min="12021" max="12021"/>
    <col width="13" customWidth="1" style="22" min="12022" max="12022"/>
    <col width="15.85546875" customWidth="1" style="22" min="12023" max="12023"/>
    <col width="10.5703125" customWidth="1" style="22" min="12024" max="12024"/>
    <col width="15.85546875" customWidth="1" style="22" min="12025" max="12025"/>
    <col width="13" customWidth="1" style="22" min="12026" max="12026"/>
    <col width="14" customWidth="1" style="22" min="12027" max="12027"/>
    <col width="13" customWidth="1" style="22" min="12028" max="12028"/>
    <col width="12.5703125" customWidth="1" style="22" min="12029" max="12029"/>
    <col width="0.85546875" customWidth="1" style="22" min="12030" max="12074"/>
    <col width="1.42578125" customWidth="1" style="22" min="12075" max="12075"/>
    <col width="0.85546875" customWidth="1" style="22" min="12076" max="12272"/>
    <col width="6.140625" customWidth="1" style="22" min="12273" max="12273"/>
    <col width="50.5703125" customWidth="1" style="22" min="12274" max="12274"/>
    <col width="9.5703125" customWidth="1" style="22" min="12275" max="12275"/>
    <col width="6.42578125" customWidth="1" style="22" min="12276" max="12276"/>
    <col width="15" customWidth="1" style="22" min="12277" max="12277"/>
    <col width="13" customWidth="1" style="22" min="12278" max="12278"/>
    <col width="15.85546875" customWidth="1" style="22" min="12279" max="12279"/>
    <col width="10.5703125" customWidth="1" style="22" min="12280" max="12280"/>
    <col width="15.85546875" customWidth="1" style="22" min="12281" max="12281"/>
    <col width="13" customWidth="1" style="22" min="12282" max="12282"/>
    <col width="14" customWidth="1" style="22" min="12283" max="12283"/>
    <col width="13" customWidth="1" style="22" min="12284" max="12284"/>
    <col width="12.5703125" customWidth="1" style="22" min="12285" max="12285"/>
    <col width="0.85546875" customWidth="1" style="22" min="12286" max="12330"/>
    <col width="1.42578125" customWidth="1" style="22" min="12331" max="12331"/>
    <col width="0.85546875" customWidth="1" style="22" min="12332" max="12528"/>
    <col width="6.140625" customWidth="1" style="22" min="12529" max="12529"/>
    <col width="50.5703125" customWidth="1" style="22" min="12530" max="12530"/>
    <col width="9.5703125" customWidth="1" style="22" min="12531" max="12531"/>
    <col width="6.42578125" customWidth="1" style="22" min="12532" max="12532"/>
    <col width="15" customWidth="1" style="22" min="12533" max="12533"/>
    <col width="13" customWidth="1" style="22" min="12534" max="12534"/>
    <col width="15.85546875" customWidth="1" style="22" min="12535" max="12535"/>
    <col width="10.5703125" customWidth="1" style="22" min="12536" max="12536"/>
    <col width="15.85546875" customWidth="1" style="22" min="12537" max="12537"/>
    <col width="13" customWidth="1" style="22" min="12538" max="12538"/>
    <col width="14" customWidth="1" style="22" min="12539" max="12539"/>
    <col width="13" customWidth="1" style="22" min="12540" max="12540"/>
    <col width="12.5703125" customWidth="1" style="22" min="12541" max="12541"/>
    <col width="0.85546875" customWidth="1" style="22" min="12542" max="12586"/>
    <col width="1.42578125" customWidth="1" style="22" min="12587" max="12587"/>
    <col width="0.85546875" customWidth="1" style="22" min="12588" max="12784"/>
    <col width="6.140625" customWidth="1" style="22" min="12785" max="12785"/>
    <col width="50.5703125" customWidth="1" style="22" min="12786" max="12786"/>
    <col width="9.5703125" customWidth="1" style="22" min="12787" max="12787"/>
    <col width="6.42578125" customWidth="1" style="22" min="12788" max="12788"/>
    <col width="15" customWidth="1" style="22" min="12789" max="12789"/>
    <col width="13" customWidth="1" style="22" min="12790" max="12790"/>
    <col width="15.85546875" customWidth="1" style="22" min="12791" max="12791"/>
    <col width="10.5703125" customWidth="1" style="22" min="12792" max="12792"/>
    <col width="15.85546875" customWidth="1" style="22" min="12793" max="12793"/>
    <col width="13" customWidth="1" style="22" min="12794" max="12794"/>
    <col width="14" customWidth="1" style="22" min="12795" max="12795"/>
    <col width="13" customWidth="1" style="22" min="12796" max="12796"/>
    <col width="12.5703125" customWidth="1" style="22" min="12797" max="12797"/>
    <col width="0.85546875" customWidth="1" style="22" min="12798" max="12842"/>
    <col width="1.42578125" customWidth="1" style="22" min="12843" max="12843"/>
    <col width="0.85546875" customWidth="1" style="22" min="12844" max="13040"/>
    <col width="6.140625" customWidth="1" style="22" min="13041" max="13041"/>
    <col width="50.5703125" customWidth="1" style="22" min="13042" max="13042"/>
    <col width="9.5703125" customWidth="1" style="22" min="13043" max="13043"/>
    <col width="6.42578125" customWidth="1" style="22" min="13044" max="13044"/>
    <col width="15" customWidth="1" style="22" min="13045" max="13045"/>
    <col width="13" customWidth="1" style="22" min="13046" max="13046"/>
    <col width="15.85546875" customWidth="1" style="22" min="13047" max="13047"/>
    <col width="10.5703125" customWidth="1" style="22" min="13048" max="13048"/>
    <col width="15.85546875" customWidth="1" style="22" min="13049" max="13049"/>
    <col width="13" customWidth="1" style="22" min="13050" max="13050"/>
    <col width="14" customWidth="1" style="22" min="13051" max="13051"/>
    <col width="13" customWidth="1" style="22" min="13052" max="13052"/>
    <col width="12.5703125" customWidth="1" style="22" min="13053" max="13053"/>
    <col width="0.85546875" customWidth="1" style="22" min="13054" max="13098"/>
    <col width="1.42578125" customWidth="1" style="22" min="13099" max="13099"/>
    <col width="0.85546875" customWidth="1" style="22" min="13100" max="13296"/>
    <col width="6.140625" customWidth="1" style="22" min="13297" max="13297"/>
    <col width="50.5703125" customWidth="1" style="22" min="13298" max="13298"/>
    <col width="9.5703125" customWidth="1" style="22" min="13299" max="13299"/>
    <col width="6.42578125" customWidth="1" style="22" min="13300" max="13300"/>
    <col width="15" customWidth="1" style="22" min="13301" max="13301"/>
    <col width="13" customWidth="1" style="22" min="13302" max="13302"/>
    <col width="15.85546875" customWidth="1" style="22" min="13303" max="13303"/>
    <col width="10.5703125" customWidth="1" style="22" min="13304" max="13304"/>
    <col width="15.85546875" customWidth="1" style="22" min="13305" max="13305"/>
    <col width="13" customWidth="1" style="22" min="13306" max="13306"/>
    <col width="14" customWidth="1" style="22" min="13307" max="13307"/>
    <col width="13" customWidth="1" style="22" min="13308" max="13308"/>
    <col width="12.5703125" customWidth="1" style="22" min="13309" max="13309"/>
    <col width="0.85546875" customWidth="1" style="22" min="13310" max="13354"/>
    <col width="1.42578125" customWidth="1" style="22" min="13355" max="13355"/>
    <col width="0.85546875" customWidth="1" style="22" min="13356" max="13552"/>
    <col width="6.140625" customWidth="1" style="22" min="13553" max="13553"/>
    <col width="50.5703125" customWidth="1" style="22" min="13554" max="13554"/>
    <col width="9.5703125" customWidth="1" style="22" min="13555" max="13555"/>
    <col width="6.42578125" customWidth="1" style="22" min="13556" max="13556"/>
    <col width="15" customWidth="1" style="22" min="13557" max="13557"/>
    <col width="13" customWidth="1" style="22" min="13558" max="13558"/>
    <col width="15.85546875" customWidth="1" style="22" min="13559" max="13559"/>
    <col width="10.5703125" customWidth="1" style="22" min="13560" max="13560"/>
    <col width="15.85546875" customWidth="1" style="22" min="13561" max="13561"/>
    <col width="13" customWidth="1" style="22" min="13562" max="13562"/>
    <col width="14" customWidth="1" style="22" min="13563" max="13563"/>
    <col width="13" customWidth="1" style="22" min="13564" max="13564"/>
    <col width="12.5703125" customWidth="1" style="22" min="13565" max="13565"/>
    <col width="0.85546875" customWidth="1" style="22" min="13566" max="13610"/>
    <col width="1.42578125" customWidth="1" style="22" min="13611" max="13611"/>
    <col width="0.85546875" customWidth="1" style="22" min="13612" max="13808"/>
    <col width="6.140625" customWidth="1" style="22" min="13809" max="13809"/>
    <col width="50.5703125" customWidth="1" style="22" min="13810" max="13810"/>
    <col width="9.5703125" customWidth="1" style="22" min="13811" max="13811"/>
    <col width="6.42578125" customWidth="1" style="22" min="13812" max="13812"/>
    <col width="15" customWidth="1" style="22" min="13813" max="13813"/>
    <col width="13" customWidth="1" style="22" min="13814" max="13814"/>
    <col width="15.85546875" customWidth="1" style="22" min="13815" max="13815"/>
    <col width="10.5703125" customWidth="1" style="22" min="13816" max="13816"/>
    <col width="15.85546875" customWidth="1" style="22" min="13817" max="13817"/>
    <col width="13" customWidth="1" style="22" min="13818" max="13818"/>
    <col width="14" customWidth="1" style="22" min="13819" max="13819"/>
    <col width="13" customWidth="1" style="22" min="13820" max="13820"/>
    <col width="12.5703125" customWidth="1" style="22" min="13821" max="13821"/>
    <col width="0.85546875" customWidth="1" style="22" min="13822" max="13866"/>
    <col width="1.42578125" customWidth="1" style="22" min="13867" max="13867"/>
    <col width="0.85546875" customWidth="1" style="22" min="13868" max="14064"/>
    <col width="6.140625" customWidth="1" style="22" min="14065" max="14065"/>
    <col width="50.5703125" customWidth="1" style="22" min="14066" max="14066"/>
    <col width="9.5703125" customWidth="1" style="22" min="14067" max="14067"/>
    <col width="6.42578125" customWidth="1" style="22" min="14068" max="14068"/>
    <col width="15" customWidth="1" style="22" min="14069" max="14069"/>
    <col width="13" customWidth="1" style="22" min="14070" max="14070"/>
    <col width="15.85546875" customWidth="1" style="22" min="14071" max="14071"/>
    <col width="10.5703125" customWidth="1" style="22" min="14072" max="14072"/>
    <col width="15.85546875" customWidth="1" style="22" min="14073" max="14073"/>
    <col width="13" customWidth="1" style="22" min="14074" max="14074"/>
    <col width="14" customWidth="1" style="22" min="14075" max="14075"/>
    <col width="13" customWidth="1" style="22" min="14076" max="14076"/>
    <col width="12.5703125" customWidth="1" style="22" min="14077" max="14077"/>
    <col width="0.85546875" customWidth="1" style="22" min="14078" max="14122"/>
    <col width="1.42578125" customWidth="1" style="22" min="14123" max="14123"/>
    <col width="0.85546875" customWidth="1" style="22" min="14124" max="14320"/>
    <col width="6.140625" customWidth="1" style="22" min="14321" max="14321"/>
    <col width="50.5703125" customWidth="1" style="22" min="14322" max="14322"/>
    <col width="9.5703125" customWidth="1" style="22" min="14323" max="14323"/>
    <col width="6.42578125" customWidth="1" style="22" min="14324" max="14324"/>
    <col width="15" customWidth="1" style="22" min="14325" max="14325"/>
    <col width="13" customWidth="1" style="22" min="14326" max="14326"/>
    <col width="15.85546875" customWidth="1" style="22" min="14327" max="14327"/>
    <col width="10.5703125" customWidth="1" style="22" min="14328" max="14328"/>
    <col width="15.85546875" customWidth="1" style="22" min="14329" max="14329"/>
    <col width="13" customWidth="1" style="22" min="14330" max="14330"/>
    <col width="14" customWidth="1" style="22" min="14331" max="14331"/>
    <col width="13" customWidth="1" style="22" min="14332" max="14332"/>
    <col width="12.5703125" customWidth="1" style="22" min="14333" max="14333"/>
    <col width="0.85546875" customWidth="1" style="22" min="14334" max="14378"/>
    <col width="1.42578125" customWidth="1" style="22" min="14379" max="14379"/>
    <col width="0.85546875" customWidth="1" style="22" min="14380" max="14576"/>
    <col width="6.140625" customWidth="1" style="22" min="14577" max="14577"/>
    <col width="50.5703125" customWidth="1" style="22" min="14578" max="14578"/>
    <col width="9.5703125" customWidth="1" style="22" min="14579" max="14579"/>
    <col width="6.42578125" customWidth="1" style="22" min="14580" max="14580"/>
    <col width="15" customWidth="1" style="22" min="14581" max="14581"/>
    <col width="13" customWidth="1" style="22" min="14582" max="14582"/>
    <col width="15.85546875" customWidth="1" style="22" min="14583" max="14583"/>
    <col width="10.5703125" customWidth="1" style="22" min="14584" max="14584"/>
    <col width="15.85546875" customWidth="1" style="22" min="14585" max="14585"/>
    <col width="13" customWidth="1" style="22" min="14586" max="14586"/>
    <col width="14" customWidth="1" style="22" min="14587" max="14587"/>
    <col width="13" customWidth="1" style="22" min="14588" max="14588"/>
    <col width="12.5703125" customWidth="1" style="22" min="14589" max="14589"/>
    <col width="0.85546875" customWidth="1" style="22" min="14590" max="14634"/>
    <col width="1.42578125" customWidth="1" style="22" min="14635" max="14635"/>
    <col width="0.85546875" customWidth="1" style="22" min="14636" max="14832"/>
    <col width="6.140625" customWidth="1" style="22" min="14833" max="14833"/>
    <col width="50.5703125" customWidth="1" style="22" min="14834" max="14834"/>
    <col width="9.5703125" customWidth="1" style="22" min="14835" max="14835"/>
    <col width="6.42578125" customWidth="1" style="22" min="14836" max="14836"/>
    <col width="15" customWidth="1" style="22" min="14837" max="14837"/>
    <col width="13" customWidth="1" style="22" min="14838" max="14838"/>
    <col width="15.85546875" customWidth="1" style="22" min="14839" max="14839"/>
    <col width="10.5703125" customWidth="1" style="22" min="14840" max="14840"/>
    <col width="15.85546875" customWidth="1" style="22" min="14841" max="14841"/>
    <col width="13" customWidth="1" style="22" min="14842" max="14842"/>
    <col width="14" customWidth="1" style="22" min="14843" max="14843"/>
    <col width="13" customWidth="1" style="22" min="14844" max="14844"/>
    <col width="12.5703125" customWidth="1" style="22" min="14845" max="14845"/>
    <col width="0.85546875" customWidth="1" style="22" min="14846" max="14890"/>
    <col width="1.42578125" customWidth="1" style="22" min="14891" max="14891"/>
    <col width="0.85546875" customWidth="1" style="22" min="14892" max="15088"/>
    <col width="6.140625" customWidth="1" style="22" min="15089" max="15089"/>
    <col width="50.5703125" customWidth="1" style="22" min="15090" max="15090"/>
    <col width="9.5703125" customWidth="1" style="22" min="15091" max="15091"/>
    <col width="6.42578125" customWidth="1" style="22" min="15092" max="15092"/>
    <col width="15" customWidth="1" style="22" min="15093" max="15093"/>
    <col width="13" customWidth="1" style="22" min="15094" max="15094"/>
    <col width="15.85546875" customWidth="1" style="22" min="15095" max="15095"/>
    <col width="10.5703125" customWidth="1" style="22" min="15096" max="15096"/>
    <col width="15.85546875" customWidth="1" style="22" min="15097" max="15097"/>
    <col width="13" customWidth="1" style="22" min="15098" max="15098"/>
    <col width="14" customWidth="1" style="22" min="15099" max="15099"/>
    <col width="13" customWidth="1" style="22" min="15100" max="15100"/>
    <col width="12.5703125" customWidth="1" style="22" min="15101" max="15101"/>
    <col width="0.85546875" customWidth="1" style="22" min="15102" max="15146"/>
    <col width="1.42578125" customWidth="1" style="22" min="15147" max="15147"/>
    <col width="0.85546875" customWidth="1" style="22" min="15148" max="15344"/>
    <col width="6.140625" customWidth="1" style="22" min="15345" max="15345"/>
    <col width="50.5703125" customWidth="1" style="22" min="15346" max="15346"/>
    <col width="9.5703125" customWidth="1" style="22" min="15347" max="15347"/>
    <col width="6.42578125" customWidth="1" style="22" min="15348" max="15348"/>
    <col width="15" customWidth="1" style="22" min="15349" max="15349"/>
    <col width="13" customWidth="1" style="22" min="15350" max="15350"/>
    <col width="15.85546875" customWidth="1" style="22" min="15351" max="15351"/>
    <col width="10.5703125" customWidth="1" style="22" min="15352" max="15352"/>
    <col width="15.85546875" customWidth="1" style="22" min="15353" max="15353"/>
    <col width="13" customWidth="1" style="22" min="15354" max="15354"/>
    <col width="14" customWidth="1" style="22" min="15355" max="15355"/>
    <col width="13" customWidth="1" style="22" min="15356" max="15356"/>
    <col width="12.5703125" customWidth="1" style="22" min="15357" max="15357"/>
    <col width="0.85546875" customWidth="1" style="22" min="15358" max="15402"/>
    <col width="1.42578125" customWidth="1" style="22" min="15403" max="15403"/>
    <col width="0.85546875" customWidth="1" style="22" min="15404" max="15600"/>
    <col width="6.140625" customWidth="1" style="22" min="15601" max="15601"/>
    <col width="50.5703125" customWidth="1" style="22" min="15602" max="15602"/>
    <col width="9.5703125" customWidth="1" style="22" min="15603" max="15603"/>
    <col width="6.42578125" customWidth="1" style="22" min="15604" max="15604"/>
    <col width="15" customWidth="1" style="22" min="15605" max="15605"/>
    <col width="13" customWidth="1" style="22" min="15606" max="15606"/>
    <col width="15.85546875" customWidth="1" style="22" min="15607" max="15607"/>
    <col width="10.5703125" customWidth="1" style="22" min="15608" max="15608"/>
    <col width="15.85546875" customWidth="1" style="22" min="15609" max="15609"/>
    <col width="13" customWidth="1" style="22" min="15610" max="15610"/>
    <col width="14" customWidth="1" style="22" min="15611" max="15611"/>
    <col width="13" customWidth="1" style="22" min="15612" max="15612"/>
    <col width="12.5703125" customWidth="1" style="22" min="15613" max="15613"/>
    <col width="0.85546875" customWidth="1" style="22" min="15614" max="15658"/>
    <col width="1.42578125" customWidth="1" style="22" min="15659" max="15659"/>
    <col width="0.85546875" customWidth="1" style="22" min="15660" max="15856"/>
    <col width="6.140625" customWidth="1" style="22" min="15857" max="15857"/>
    <col width="50.5703125" customWidth="1" style="22" min="15858" max="15858"/>
    <col width="9.5703125" customWidth="1" style="22" min="15859" max="15859"/>
    <col width="6.42578125" customWidth="1" style="22" min="15860" max="15860"/>
    <col width="15" customWidth="1" style="22" min="15861" max="15861"/>
    <col width="13" customWidth="1" style="22" min="15862" max="15862"/>
    <col width="15.85546875" customWidth="1" style="22" min="15863" max="15863"/>
    <col width="10.5703125" customWidth="1" style="22" min="15864" max="15864"/>
    <col width="15.85546875" customWidth="1" style="22" min="15865" max="15865"/>
    <col width="13" customWidth="1" style="22" min="15866" max="15866"/>
    <col width="14" customWidth="1" style="22" min="15867" max="15867"/>
    <col width="13" customWidth="1" style="22" min="15868" max="15868"/>
    <col width="12.5703125" customWidth="1" style="22" min="15869" max="15869"/>
    <col width="0.85546875" customWidth="1" style="22" min="15870" max="15914"/>
    <col width="1.42578125" customWidth="1" style="22" min="15915" max="15915"/>
    <col width="0.85546875" customWidth="1" style="22" min="15916" max="16112"/>
    <col width="6.140625" customWidth="1" style="22" min="16113" max="16113"/>
    <col width="50.5703125" customWidth="1" style="22" min="16114" max="16114"/>
    <col width="9.5703125" customWidth="1" style="22" min="16115" max="16115"/>
    <col width="6.42578125" customWidth="1" style="22" min="16116" max="16116"/>
    <col width="15" customWidth="1" style="22" min="16117" max="16117"/>
    <col width="13" customWidth="1" style="22" min="16118" max="16118"/>
    <col width="15.85546875" customWidth="1" style="22" min="16119" max="16119"/>
    <col width="10.5703125" customWidth="1" style="22" min="16120" max="16120"/>
    <col width="15.85546875" customWidth="1" style="22" min="16121" max="16121"/>
    <col width="13" customWidth="1" style="22" min="16122" max="16122"/>
    <col width="14" customWidth="1" style="22" min="16123" max="16123"/>
    <col width="13" customWidth="1" style="22" min="16124" max="16124"/>
    <col width="12.5703125" customWidth="1" style="22" min="16125" max="16125"/>
    <col width="0.85546875" customWidth="1" style="22" min="16126" max="16170"/>
    <col width="1.42578125" customWidth="1" style="22" min="16171" max="16171"/>
    <col width="0.85546875" customWidth="1" style="22" min="16172" max="16384"/>
  </cols>
  <sheetData>
    <row r="1" ht="15" customHeight="1" s="794">
      <c r="M1" s="1059" t="inlineStr">
        <is>
          <t>Форма № 2д</t>
        </is>
      </c>
    </row>
    <row r="2" ht="8.25" customHeight="1" s="794"/>
    <row r="3" ht="15.75" customHeight="1" s="794">
      <c r="A3" s="854" t="inlineStr">
        <is>
          <t>Плановая калькуляция затрат</t>
        </is>
      </c>
    </row>
    <row r="4" ht="15.75" customHeight="1" s="794">
      <c r="A4" s="855" t="inlineStr">
        <is>
          <t>на 2026-2027 гг.</t>
        </is>
      </c>
    </row>
    <row r="5" ht="10.5" customHeight="1" s="794"/>
    <row r="6" ht="31.5" customHeight="1" s="794">
      <c r="B6" s="24" t="inlineStr">
        <is>
          <t>Наименование товара, работы, услуги</t>
        </is>
      </c>
      <c r="C6" s="24" t="n"/>
      <c r="D6" s="859" t="inlineStr">
        <is>
          <t>ТЕМА</t>
        </is>
      </c>
      <c r="E6" s="1409" t="n"/>
      <c r="F6" s="1409" t="n"/>
      <c r="G6" s="1409" t="n"/>
      <c r="H6" s="1409" t="n"/>
      <c r="I6" s="1409" t="n"/>
      <c r="J6" s="1409" t="n"/>
      <c r="K6" s="1409" t="n"/>
      <c r="L6" s="1409" t="n"/>
    </row>
    <row r="7" ht="14.25" customHeight="1" s="794">
      <c r="B7" s="24" t="inlineStr">
        <is>
          <t>Код по ОКП/ОКПД2 (шифр)</t>
        </is>
      </c>
      <c r="C7" s="24" t="n"/>
      <c r="D7" s="860" t="n"/>
      <c r="E7" s="1409" t="n"/>
      <c r="F7" s="1409" t="n"/>
      <c r="G7" s="1409" t="n"/>
      <c r="H7" s="1409" t="n"/>
      <c r="I7" s="1409" t="n"/>
      <c r="J7" s="1409" t="n"/>
      <c r="K7" s="1409" t="n"/>
      <c r="L7" s="1409" t="n"/>
    </row>
    <row r="8" ht="14.25" customHeight="1" s="794">
      <c r="B8" s="959" t="inlineStr">
        <is>
          <t>Код по ЕКПС (при наличии)</t>
        </is>
      </c>
      <c r="C8" s="959" t="n"/>
      <c r="D8" s="861" t="n"/>
      <c r="E8" s="1412" t="n"/>
      <c r="F8" s="1412" t="n"/>
      <c r="G8" s="1412" t="n"/>
      <c r="H8" s="1412" t="n"/>
      <c r="I8" s="1412" t="n"/>
      <c r="J8" s="1412" t="n"/>
      <c r="K8" s="1412" t="n"/>
      <c r="L8" s="1412" t="n"/>
    </row>
    <row r="9" ht="14.25" customHeight="1" s="794">
      <c r="B9" s="959" t="inlineStr">
        <is>
          <t>ФНН (при наличии)</t>
        </is>
      </c>
      <c r="C9" s="959" t="n"/>
      <c r="D9" s="861" t="n"/>
      <c r="E9" s="1412" t="n"/>
      <c r="F9" s="1412" t="n"/>
      <c r="G9" s="1412" t="n"/>
      <c r="H9" s="1412" t="n"/>
      <c r="I9" s="1412" t="n"/>
      <c r="J9" s="1412" t="n"/>
      <c r="K9" s="1412" t="n"/>
      <c r="L9" s="1412" t="n"/>
    </row>
    <row r="10" ht="14.25" customHeight="1" s="794">
      <c r="B10" s="24" t="inlineStr">
        <is>
          <t>Калькуляционная единица</t>
        </is>
      </c>
      <c r="C10" s="24" t="n"/>
      <c r="D10" s="856" t="inlineStr">
        <is>
          <t>этап</t>
        </is>
      </c>
      <c r="E10" s="1412" t="n"/>
      <c r="F10" s="1412" t="n"/>
      <c r="G10" s="1412" t="n"/>
      <c r="H10" s="1412" t="n"/>
      <c r="I10" s="1412" t="n"/>
      <c r="J10" s="1412" t="n"/>
      <c r="K10" s="1412" t="n"/>
      <c r="L10" s="1412" t="n"/>
    </row>
    <row r="11" ht="15.75" customHeight="1" s="794">
      <c r="A11" s="752" t="n"/>
      <c r="B11" s="753" t="n"/>
      <c r="C11" s="753" t="n"/>
      <c r="D11" s="857" t="inlineStr">
        <is>
          <t xml:space="preserve">(штука, комплект, этап, единица работы (услуги), иное)         </t>
        </is>
      </c>
      <c r="E11" s="1416" t="n"/>
      <c r="F11" s="1416" t="n"/>
      <c r="G11" s="1416" t="n"/>
      <c r="H11" s="1416" t="n"/>
      <c r="I11" s="1416" t="n"/>
      <c r="J11" s="1416" t="n"/>
      <c r="K11" s="1416" t="n"/>
      <c r="L11" s="1416" t="n"/>
    </row>
    <row r="12" ht="19.5" customHeight="1" s="794">
      <c r="B12" s="24" t="inlineStr">
        <is>
          <t>Техническая документация</t>
        </is>
      </c>
      <c r="C12" s="24" t="n"/>
      <c r="D12" s="858" t="inlineStr">
        <is>
          <t>Техническое задание №</t>
        </is>
      </c>
      <c r="E12" s="1409" t="n"/>
      <c r="F12" s="1409" t="n"/>
      <c r="G12" s="1409" t="n"/>
      <c r="H12" s="1409" t="n"/>
      <c r="I12" s="1409" t="n"/>
      <c r="J12" s="1409" t="n"/>
      <c r="K12" s="1409" t="n"/>
      <c r="L12" s="1409" t="n"/>
    </row>
    <row r="13">
      <c r="A13" s="23" t="n"/>
      <c r="B13" s="3" t="n"/>
      <c r="C13" s="3" t="n"/>
      <c r="D13" s="853" t="inlineStr">
        <is>
          <t>(ТУ, ТЗ, КД, ГОСТ, иное) орган и дата утверждения</t>
        </is>
      </c>
      <c r="E13" s="1416" t="n"/>
      <c r="F13" s="1416" t="n"/>
      <c r="G13" s="1416" t="n"/>
      <c r="H13" s="1416" t="n"/>
      <c r="I13" s="1416" t="n"/>
      <c r="J13" s="1416" t="n"/>
      <c r="K13" s="1416" t="n"/>
      <c r="L13" s="1416" t="n"/>
    </row>
    <row r="14" ht="12" customHeight="1" s="794">
      <c r="M14" s="754" t="inlineStr">
        <is>
          <t>(руб.)</t>
        </is>
      </c>
    </row>
    <row r="15" ht="12.75" customHeight="1" s="794">
      <c r="A15" s="849" t="inlineStr">
        <is>
          <t>№ №
строк</t>
        </is>
      </c>
      <c r="B15" s="849" t="inlineStr">
        <is>
          <t>Наименование статей калькуляции</t>
        </is>
      </c>
      <c r="C15" s="846" t="inlineStr">
        <is>
          <t>Стоимостная оценка затрат на производство
в условиях первого года производства</t>
        </is>
      </c>
      <c r="D15" s="1417" t="n"/>
      <c r="E15" s="846" t="inlineStr">
        <is>
          <t>Затраты на производство
в первом году производства</t>
        </is>
      </c>
      <c r="F15" s="847" t="inlineStr">
        <is>
          <t>Принято государствен-ным заказчиком / заказчиком</t>
        </is>
      </c>
      <c r="G15" s="847" t="inlineStr">
        <is>
          <t>2027-ый год</t>
        </is>
      </c>
      <c r="H15" s="1412" t="n"/>
      <c r="I15" s="1412" t="n"/>
      <c r="J15" s="1410" t="n"/>
      <c r="K15" s="848" t="inlineStr">
        <is>
          <t>Предложено организацией-поставщиком (подрядчиком, исполнителем)</t>
        </is>
      </c>
      <c r="L15" s="849" t="inlineStr">
        <is>
          <t>Принято государствен-ным заказчиком / заказчиком</t>
        </is>
      </c>
      <c r="M15" s="849" t="inlineStr">
        <is>
          <t>Примечание</t>
        </is>
      </c>
    </row>
    <row r="16" ht="18.75" customHeight="1" s="794">
      <c r="A16" s="1418" t="n"/>
      <c r="B16" s="1418" t="n"/>
      <c r="C16" s="1419" t="n"/>
      <c r="D16" s="1420" t="n"/>
      <c r="E16" s="1418" t="n"/>
      <c r="F16" s="1418" t="n"/>
      <c r="G16" s="847" t="inlineStr">
        <is>
          <t>стоимостная оценка затрат 2027-ого года
в условиях первого года производства</t>
        </is>
      </c>
      <c r="H16" s="847" t="inlineStr">
        <is>
          <t>применяе-мый индекс цен</t>
        </is>
      </c>
      <c r="I16" s="847" t="inlineStr">
        <is>
          <t>затраты 
 2027-го года</t>
        </is>
      </c>
      <c r="J16" s="847" t="inlineStr">
        <is>
          <t>принято государствен-ным заказчиком / заказчиком</t>
        </is>
      </c>
      <c r="K16" s="1420" t="n"/>
      <c r="L16" s="1418" t="n"/>
      <c r="M16" s="1418" t="n"/>
    </row>
    <row r="17" ht="80.25" customHeight="1" s="794">
      <c r="A17" s="1418" t="n"/>
      <c r="B17" s="1418" t="n"/>
      <c r="C17" s="1419" t="n"/>
      <c r="D17" s="1420" t="n"/>
      <c r="E17" s="1418" t="n"/>
      <c r="F17" s="1418" t="n"/>
      <c r="G17" s="1418" t="n"/>
      <c r="H17" s="1418" t="n"/>
      <c r="I17" s="1418" t="n"/>
      <c r="J17" s="1418" t="n"/>
      <c r="K17" s="1420" t="n"/>
      <c r="L17" s="1418" t="n"/>
      <c r="M17" s="1418" t="n"/>
    </row>
    <row r="18" ht="22.5" customFormat="1" customHeight="1" s="969">
      <c r="A18" s="1413" t="n"/>
      <c r="B18" s="1413" t="n"/>
      <c r="C18" s="1414" t="n"/>
      <c r="D18" s="1421" t="n"/>
      <c r="E18" s="1413" t="n"/>
      <c r="F18" s="1413" t="n"/>
      <c r="G18" s="1413" t="n"/>
      <c r="H18" s="1413" t="n"/>
      <c r="I18" s="1413" t="n"/>
      <c r="J18" s="1413" t="n"/>
      <c r="K18" s="1421" t="n"/>
      <c r="L18" s="1413" t="n"/>
      <c r="M18" s="1413" t="n"/>
    </row>
    <row r="19" ht="18" customFormat="1" customHeight="1" s="24">
      <c r="A19" s="755" t="n">
        <v>1</v>
      </c>
      <c r="B19" s="849" t="n">
        <v>2</v>
      </c>
      <c r="C19" s="849" t="n">
        <v>3</v>
      </c>
      <c r="D19" s="1410" t="n"/>
      <c r="E19" s="849" t="n">
        <v>4</v>
      </c>
      <c r="F19" s="847" t="n">
        <v>5</v>
      </c>
      <c r="G19" s="847" t="n">
        <v>6</v>
      </c>
      <c r="H19" s="847" t="n">
        <v>7</v>
      </c>
      <c r="I19" s="757" t="n">
        <v>8</v>
      </c>
      <c r="J19" s="847" t="n">
        <v>9</v>
      </c>
      <c r="K19" s="848" t="n">
        <v>10</v>
      </c>
      <c r="L19" s="849" t="n">
        <v>11</v>
      </c>
      <c r="M19" s="849" t="n">
        <v>12</v>
      </c>
    </row>
    <row r="20" ht="18.75" customHeight="1" s="794">
      <c r="A20" s="758" t="inlineStr">
        <is>
          <t>0100</t>
        </is>
      </c>
      <c r="B20" s="505" t="inlineStr">
        <is>
          <t>Материальные затраты - всего:</t>
        </is>
      </c>
      <c r="C20" s="1422" t="n">
        <v>0</v>
      </c>
      <c r="D20" s="1410" t="n"/>
      <c r="E20" s="1423" t="n">
        <v>0</v>
      </c>
      <c r="F20" s="847" t="n"/>
      <c r="G20" s="1424" t="n">
        <v>0</v>
      </c>
      <c r="H20" s="1424" t="inlineStr">
        <is>
          <t>-</t>
        </is>
      </c>
      <c r="I20" s="1425" t="n">
        <v>0</v>
      </c>
      <c r="J20" s="847" t="n"/>
      <c r="K20" s="760">
        <f>I20+E20</f>
        <v/>
      </c>
      <c r="L20" s="1158" t="n"/>
      <c r="M20" s="1158" t="n"/>
    </row>
    <row r="21" ht="14.25" customHeight="1" s="794">
      <c r="A21" s="758" t="n"/>
      <c r="B21" s="505" t="inlineStr">
        <is>
          <t xml:space="preserve">   в том числе:</t>
        </is>
      </c>
      <c r="C21" s="1422" t="n"/>
      <c r="D21" s="1410" t="n"/>
      <c r="E21" s="1423" t="n"/>
      <c r="F21" s="847" t="n"/>
      <c r="G21" s="1424" t="n"/>
      <c r="H21" s="1424" t="n"/>
      <c r="I21" s="1425" t="n"/>
      <c r="J21" s="847" t="n"/>
      <c r="K21" s="760" t="n"/>
      <c r="L21" s="1158" t="n"/>
      <c r="M21" s="1158" t="n"/>
    </row>
    <row r="22" ht="27" customHeight="1" s="794">
      <c r="A22" s="758" t="inlineStr">
        <is>
          <t>0101</t>
        </is>
      </c>
      <c r="B22" s="505" t="inlineStr">
        <is>
          <t xml:space="preserve">   приобретение сырья, материалов и вспомогательных материалов</t>
        </is>
      </c>
      <c r="C22" s="1422" t="n">
        <v>0</v>
      </c>
      <c r="D22" s="1410" t="n"/>
      <c r="E22" s="1423" t="n">
        <v>0</v>
      </c>
      <c r="F22" s="847" t="n"/>
      <c r="G22" s="1424" t="n">
        <v>0</v>
      </c>
      <c r="H22" s="1424" t="inlineStr">
        <is>
          <t>-</t>
        </is>
      </c>
      <c r="I22" s="1425" t="n">
        <v>0</v>
      </c>
      <c r="J22" s="847" t="n"/>
      <c r="K22" s="760">
        <f>I22+E22</f>
        <v/>
      </c>
      <c r="L22" s="1158" t="n"/>
      <c r="M22" s="1158" t="n"/>
    </row>
    <row r="23" ht="14.25" customHeight="1" s="794">
      <c r="A23" s="758" t="inlineStr">
        <is>
          <t>0102</t>
        </is>
      </c>
      <c r="B23" s="505" t="inlineStr">
        <is>
          <t xml:space="preserve">   приобретение полуфабрикатов</t>
        </is>
      </c>
      <c r="C23" s="1422" t="n">
        <v>0</v>
      </c>
      <c r="D23" s="1410" t="n"/>
      <c r="E23" s="1423" t="n">
        <v>0</v>
      </c>
      <c r="F23" s="847" t="n"/>
      <c r="G23" s="1424" t="n">
        <v>0</v>
      </c>
      <c r="H23" s="1424" t="inlineStr">
        <is>
          <t>-</t>
        </is>
      </c>
      <c r="I23" s="1425" t="n">
        <v>0</v>
      </c>
      <c r="J23" s="847" t="n"/>
      <c r="K23" s="760">
        <f>I23+E23</f>
        <v/>
      </c>
      <c r="L23" s="1158" t="n"/>
      <c r="M23" s="1158" t="n"/>
    </row>
    <row r="24" ht="14.25" customHeight="1" s="794">
      <c r="A24" s="758" t="inlineStr">
        <is>
          <t>0103</t>
        </is>
      </c>
      <c r="B24" s="505" t="inlineStr">
        <is>
          <t xml:space="preserve">   возвратные отходы</t>
        </is>
      </c>
      <c r="C24" s="1422" t="n">
        <v>0</v>
      </c>
      <c r="D24" s="1410" t="n"/>
      <c r="E24" s="1423" t="n">
        <v>0</v>
      </c>
      <c r="F24" s="847" t="n"/>
      <c r="G24" s="1424" t="n">
        <v>0</v>
      </c>
      <c r="H24" s="1424" t="inlineStr">
        <is>
          <t>-</t>
        </is>
      </c>
      <c r="I24" s="1425" t="n">
        <v>0</v>
      </c>
      <c r="J24" s="847" t="n"/>
      <c r="K24" s="760">
        <f>I24+E24</f>
        <v/>
      </c>
      <c r="L24" s="1158" t="n"/>
      <c r="M24" s="1158" t="n"/>
    </row>
    <row r="25" ht="14.25" customHeight="1" s="794">
      <c r="A25" s="758" t="inlineStr">
        <is>
          <t>0104</t>
        </is>
      </c>
      <c r="B25" s="505" t="inlineStr">
        <is>
          <t xml:space="preserve">   приобретение комплектующих изделий</t>
        </is>
      </c>
      <c r="C25" s="1422" t="n">
        <v>0</v>
      </c>
      <c r="D25" s="1410" t="n"/>
      <c r="E25" s="1423" t="n">
        <v>0</v>
      </c>
      <c r="F25" s="847" t="n"/>
      <c r="G25" s="1424" t="n">
        <v>0</v>
      </c>
      <c r="H25" s="1424" t="inlineStr">
        <is>
          <t>-</t>
        </is>
      </c>
      <c r="I25" s="1425" t="n">
        <v>0</v>
      </c>
      <c r="J25" s="847" t="n"/>
      <c r="K25" s="760">
        <f>I25+E25</f>
        <v/>
      </c>
      <c r="L25" s="1158" t="n"/>
      <c r="M25" s="1158" t="n"/>
    </row>
    <row r="26" ht="27" customHeight="1" s="794">
      <c r="A26" s="758" t="inlineStr">
        <is>
          <t>0105</t>
        </is>
      </c>
      <c r="B26" s="505" t="inlineStr">
        <is>
          <t xml:space="preserve">   оплата работ и услуг сторонних организаций производственного характера </t>
        </is>
      </c>
      <c r="C26" s="1422" t="n">
        <v>0</v>
      </c>
      <c r="D26" s="1410" t="n"/>
      <c r="E26" s="1423" t="n">
        <v>0</v>
      </c>
      <c r="F26" s="847" t="n"/>
      <c r="G26" s="1424" t="n">
        <v>0</v>
      </c>
      <c r="H26" s="1424" t="inlineStr">
        <is>
          <t>-</t>
        </is>
      </c>
      <c r="I26" s="1425" t="n">
        <v>0</v>
      </c>
      <c r="J26" s="847" t="n"/>
      <c r="K26" s="760">
        <f>I26+E26</f>
        <v/>
      </c>
      <c r="L26" s="1158" t="n"/>
      <c r="M26" s="1158" t="n"/>
    </row>
    <row r="27">
      <c r="A27" s="758" t="inlineStr">
        <is>
          <t>0106</t>
        </is>
      </c>
      <c r="B27" s="505" t="inlineStr">
        <is>
          <t xml:space="preserve">   транспортно-заготовительные затраты</t>
        </is>
      </c>
      <c r="C27" s="1422" t="n">
        <v>0</v>
      </c>
      <c r="D27" s="1410" t="n"/>
      <c r="E27" s="1423" t="n">
        <v>0</v>
      </c>
      <c r="F27" s="847" t="n"/>
      <c r="G27" s="1424" t="n">
        <v>0</v>
      </c>
      <c r="H27" s="1424" t="inlineStr">
        <is>
          <t>-</t>
        </is>
      </c>
      <c r="I27" s="1425" t="n">
        <v>0</v>
      </c>
      <c r="J27" s="847" t="n"/>
      <c r="K27" s="760">
        <f>I27+E27</f>
        <v/>
      </c>
      <c r="L27" s="1158" t="n"/>
      <c r="M27" s="1158" t="n"/>
    </row>
    <row r="28">
      <c r="A28" s="758" t="inlineStr">
        <is>
          <t>0107</t>
        </is>
      </c>
      <c r="B28" s="505" t="inlineStr">
        <is>
          <t xml:space="preserve">   топливо на технологические цели</t>
        </is>
      </c>
      <c r="C28" s="1422" t="n">
        <v>0</v>
      </c>
      <c r="D28" s="1410" t="n"/>
      <c r="E28" s="1423" t="n">
        <v>0</v>
      </c>
      <c r="F28" s="847" t="n"/>
      <c r="G28" s="1424" t="n">
        <v>0</v>
      </c>
      <c r="H28" s="1424" t="inlineStr">
        <is>
          <t>-</t>
        </is>
      </c>
      <c r="I28" s="1425" t="n">
        <v>0</v>
      </c>
      <c r="J28" s="847" t="n"/>
      <c r="K28" s="760">
        <f>I28+E28</f>
        <v/>
      </c>
      <c r="L28" s="1158" t="n"/>
      <c r="M28" s="1158" t="n"/>
    </row>
    <row r="29">
      <c r="A29" s="758" t="inlineStr">
        <is>
          <t>0108</t>
        </is>
      </c>
      <c r="B29" s="505" t="inlineStr">
        <is>
          <t xml:space="preserve">   энергия на технологические цели</t>
        </is>
      </c>
      <c r="C29" s="1422" t="n">
        <v>0</v>
      </c>
      <c r="D29" s="1410" t="n"/>
      <c r="E29" s="1423" t="n">
        <v>0</v>
      </c>
      <c r="F29" s="847" t="n"/>
      <c r="G29" s="1424" t="n">
        <v>0</v>
      </c>
      <c r="H29" s="1424" t="inlineStr">
        <is>
          <t>-</t>
        </is>
      </c>
      <c r="I29" s="1425" t="n">
        <v>0</v>
      </c>
      <c r="J29" s="847" t="n"/>
      <c r="K29" s="760">
        <f>I29+E29</f>
        <v/>
      </c>
      <c r="L29" s="1158" t="n"/>
      <c r="M29" s="1158" t="n"/>
    </row>
    <row r="30">
      <c r="A30" s="758" t="inlineStr">
        <is>
          <t>0109</t>
        </is>
      </c>
      <c r="B30" s="505" t="inlineStr">
        <is>
          <t xml:space="preserve">   тара и упаковка</t>
        </is>
      </c>
      <c r="C30" s="1422" t="n">
        <v>0</v>
      </c>
      <c r="D30" s="1410" t="n"/>
      <c r="E30" s="1423" t="n">
        <v>0</v>
      </c>
      <c r="F30" s="847" t="n"/>
      <c r="G30" s="1424" t="n">
        <v>0</v>
      </c>
      <c r="H30" s="1424" t="inlineStr">
        <is>
          <t>-</t>
        </is>
      </c>
      <c r="I30" s="1425" t="n">
        <v>0</v>
      </c>
      <c r="J30" s="847" t="n"/>
      <c r="K30" s="760">
        <f>I30+E30</f>
        <v/>
      </c>
      <c r="L30" s="1158" t="n"/>
      <c r="M30" s="1158" t="n"/>
    </row>
    <row r="31">
      <c r="A31" s="758" t="inlineStr">
        <is>
          <t>0110</t>
        </is>
      </c>
      <c r="B31" s="505" t="inlineStr">
        <is>
          <t xml:space="preserve">   затраты на изделия собственного производства</t>
        </is>
      </c>
      <c r="C31" s="1422" t="n">
        <v>0</v>
      </c>
      <c r="D31" s="1410" t="n"/>
      <c r="E31" s="1423" t="n">
        <v>0</v>
      </c>
      <c r="F31" s="847" t="n"/>
      <c r="G31" s="1424" t="n">
        <v>0</v>
      </c>
      <c r="H31" s="1426" t="inlineStr">
        <is>
          <t>-</t>
        </is>
      </c>
      <c r="I31" s="1425" t="n">
        <v>0</v>
      </c>
      <c r="J31" s="847" t="n"/>
      <c r="K31" s="760">
        <f>I31+E31</f>
        <v/>
      </c>
      <c r="L31" s="1158" t="n"/>
      <c r="M31" s="1158" t="n"/>
    </row>
    <row r="32">
      <c r="A32" s="758" t="inlineStr">
        <is>
          <t>0200</t>
        </is>
      </c>
      <c r="B32" s="505" t="inlineStr">
        <is>
          <t>Затраты на оплату труда - всего:</t>
        </is>
      </c>
      <c r="C32" s="1422">
        <f>C34+C35</f>
        <v/>
      </c>
      <c r="D32" s="1410" t="n"/>
      <c r="E32" s="1423">
        <f>E34+E35</f>
        <v/>
      </c>
      <c r="F32" s="847" t="n"/>
      <c r="G32" s="1424">
        <f>G34+G35</f>
        <v/>
      </c>
      <c r="H32" s="1424" t="inlineStr">
        <is>
          <t>-</t>
        </is>
      </c>
      <c r="I32" s="1425">
        <f>I34+I35</f>
        <v/>
      </c>
      <c r="J32" s="847" t="n"/>
      <c r="K32" s="760">
        <f>I32+E32</f>
        <v/>
      </c>
      <c r="L32" s="1158" t="n"/>
      <c r="M32" s="1158" t="n"/>
    </row>
    <row r="33">
      <c r="A33" s="758" t="n"/>
      <c r="B33" s="505" t="inlineStr">
        <is>
          <t xml:space="preserve">   в том числе:</t>
        </is>
      </c>
      <c r="C33" s="1422" t="n"/>
      <c r="D33" s="1410" t="n"/>
      <c r="E33" s="1423" t="n"/>
      <c r="F33" s="847" t="n"/>
      <c r="G33" s="1424" t="n"/>
      <c r="H33" s="1424" t="n"/>
      <c r="I33" s="1425" t="n"/>
      <c r="J33" s="847" t="n"/>
      <c r="K33" s="760" t="n"/>
      <c r="L33" s="1158" t="n"/>
      <c r="M33" s="1158" t="n"/>
    </row>
    <row r="34" ht="18" customHeight="1" s="794">
      <c r="A34" s="758" t="inlineStr">
        <is>
          <t>0201</t>
        </is>
      </c>
      <c r="B34" s="505" t="inlineStr">
        <is>
          <t xml:space="preserve">   основная заработная плата</t>
        </is>
      </c>
      <c r="C34" s="1427">
        <f>ROUND('22 (22д) свед. о норм_26'!D15*C59,2)</f>
        <v/>
      </c>
      <c r="D34" s="1410" t="n"/>
      <c r="E34" s="1423">
        <f>'9 (9д) ОЗП НИР(ОКР)'!H13</f>
        <v/>
      </c>
      <c r="F34" s="847" t="n"/>
      <c r="G34" s="1424">
        <f>ROUND('22 (22д) свед. о норм_26'!D15*G59,2)</f>
        <v/>
      </c>
      <c r="H34" s="1424" t="inlineStr">
        <is>
          <t>-</t>
        </is>
      </c>
      <c r="I34" s="1425">
        <f>'9 (9д) ОЗП НИР(ОКР)'!H18</f>
        <v/>
      </c>
      <c r="J34" s="847" t="n"/>
      <c r="K34" s="760">
        <f>I34+E34</f>
        <v/>
      </c>
      <c r="L34" s="1428" t="n"/>
      <c r="M34" s="1158" t="n"/>
    </row>
    <row r="35" ht="18" customHeight="1" s="794">
      <c r="A35" s="758" t="inlineStr">
        <is>
          <t>0202</t>
        </is>
      </c>
      <c r="B35" s="505" t="inlineStr">
        <is>
          <t xml:space="preserve">   дополнительная заработная плата</t>
        </is>
      </c>
      <c r="C35" s="1422">
        <f>ROUND(C34*0.086866,2)</f>
        <v/>
      </c>
      <c r="D35" s="1410" t="n"/>
      <c r="E35" s="1423">
        <f>ROUND(E34*0.086866,2)</f>
        <v/>
      </c>
      <c r="F35" s="847" t="n"/>
      <c r="G35" s="1424">
        <f>ROUND(G34*0.086866,2)</f>
        <v/>
      </c>
      <c r="H35" s="1424" t="inlineStr">
        <is>
          <t>-</t>
        </is>
      </c>
      <c r="I35" s="1425">
        <f>ROUND(I34*0.086866,2)</f>
        <v/>
      </c>
      <c r="J35" s="847" t="n"/>
      <c r="K35" s="760">
        <f>I35+E35</f>
        <v/>
      </c>
      <c r="L35" s="1158" t="n"/>
      <c r="M35" s="1158" t="n"/>
    </row>
    <row r="36" ht="20.25" customHeight="1" s="794">
      <c r="A36" s="758" t="inlineStr">
        <is>
          <t>0300</t>
        </is>
      </c>
      <c r="B36" s="505" t="inlineStr">
        <is>
          <t>Страховые взносы на обязательное социальное страхование</t>
        </is>
      </c>
      <c r="C36" s="1422">
        <f>ROUND(C32*0.302,2)</f>
        <v/>
      </c>
      <c r="D36" s="1410" t="n"/>
      <c r="E36" s="1423">
        <f>ROUND(E32*0.302,2)</f>
        <v/>
      </c>
      <c r="F36" s="847" t="n"/>
      <c r="G36" s="1424">
        <f>ROUND(G32*0.302,2)</f>
        <v/>
      </c>
      <c r="H36" s="1424" t="inlineStr">
        <is>
          <t>-</t>
        </is>
      </c>
      <c r="I36" s="1425">
        <f>ROUND(I32*0.302,2)</f>
        <v/>
      </c>
      <c r="J36" s="847" t="n"/>
      <c r="K36" s="760">
        <f>I36+E36</f>
        <v/>
      </c>
      <c r="L36" s="1158" t="n"/>
      <c r="M36" s="1158" t="n"/>
    </row>
    <row r="37" ht="19.5" customHeight="1" s="794">
      <c r="A37" s="758" t="inlineStr">
        <is>
          <t>0400</t>
        </is>
      </c>
      <c r="B37" s="505" t="inlineStr">
        <is>
          <t>Затраты на подготовку и освоение производства - всего:</t>
        </is>
      </c>
      <c r="C37" s="1422" t="n">
        <v>0</v>
      </c>
      <c r="D37" s="1410" t="n"/>
      <c r="E37" s="1423" t="n">
        <v>0</v>
      </c>
      <c r="F37" s="847" t="n"/>
      <c r="G37" s="1424" t="n">
        <v>0</v>
      </c>
      <c r="H37" s="1424" t="inlineStr">
        <is>
          <t>-</t>
        </is>
      </c>
      <c r="I37" s="1425" t="n">
        <v>0</v>
      </c>
      <c r="J37" s="847" t="n"/>
      <c r="K37" s="760">
        <f>I37+E37</f>
        <v/>
      </c>
      <c r="L37" s="1158" t="n"/>
      <c r="M37" s="1158" t="n"/>
    </row>
    <row r="38" ht="12.75" customHeight="1" s="794">
      <c r="A38" s="758" t="n"/>
      <c r="B38" s="505" t="inlineStr">
        <is>
          <t xml:space="preserve">   в том числе:</t>
        </is>
      </c>
      <c r="C38" s="1422" t="n"/>
      <c r="D38" s="1410" t="n"/>
      <c r="E38" s="1423" t="n"/>
      <c r="F38" s="847" t="n"/>
      <c r="G38" s="1424" t="n"/>
      <c r="H38" s="1424" t="n"/>
      <c r="I38" s="1425" t="n"/>
      <c r="J38" s="847" t="n"/>
      <c r="K38" s="760" t="n"/>
      <c r="L38" s="1158" t="n"/>
      <c r="M38" s="1158" t="n"/>
    </row>
    <row r="39" ht="18" customHeight="1" s="794">
      <c r="A39" s="758" t="inlineStr">
        <is>
          <t>0401</t>
        </is>
      </c>
      <c r="B39" s="505" t="inlineStr">
        <is>
          <t xml:space="preserve">   пусковые затраты</t>
        </is>
      </c>
      <c r="C39" s="1422" t="n">
        <v>0</v>
      </c>
      <c r="D39" s="1410" t="n"/>
      <c r="E39" s="1423" t="n">
        <v>0</v>
      </c>
      <c r="F39" s="847" t="n"/>
      <c r="G39" s="1424" t="n">
        <v>0</v>
      </c>
      <c r="H39" s="1424" t="inlineStr">
        <is>
          <t>-</t>
        </is>
      </c>
      <c r="I39" s="1425" t="n">
        <v>0</v>
      </c>
      <c r="J39" s="847" t="n"/>
      <c r="K39" s="760">
        <f>I39+E39</f>
        <v/>
      </c>
      <c r="L39" s="1158" t="n"/>
      <c r="M39" s="1158" t="n"/>
    </row>
    <row r="40" ht="18" customHeight="1" s="794">
      <c r="A40" s="758" t="inlineStr">
        <is>
          <t>0402</t>
        </is>
      </c>
      <c r="B40" s="505" t="inlineStr">
        <is>
          <t xml:space="preserve">   затраты на подготовку и освоение новых видов продукции </t>
        </is>
      </c>
      <c r="C40" s="1422" t="n">
        <v>0</v>
      </c>
      <c r="D40" s="1410" t="n"/>
      <c r="E40" s="1423" t="n">
        <v>0</v>
      </c>
      <c r="F40" s="847" t="n"/>
      <c r="G40" s="1424" t="n">
        <v>0</v>
      </c>
      <c r="H40" s="1424" t="inlineStr">
        <is>
          <t>-</t>
        </is>
      </c>
      <c r="I40" s="1425" t="n">
        <v>0</v>
      </c>
      <c r="J40" s="847" t="n"/>
      <c r="K40" s="760">
        <f>I40+E40</f>
        <v/>
      </c>
      <c r="L40" s="1158" t="n"/>
      <c r="M40" s="1158" t="n"/>
    </row>
    <row r="41" ht="18" customHeight="1" s="794">
      <c r="A41" s="758" t="inlineStr">
        <is>
          <t>0500</t>
        </is>
      </c>
      <c r="B41" s="505" t="inlineStr">
        <is>
          <t>Затраты на специальную технологическую оснастку</t>
        </is>
      </c>
      <c r="C41" s="1422" t="n">
        <v>0</v>
      </c>
      <c r="D41" s="1410" t="n"/>
      <c r="E41" s="1423" t="n">
        <v>0</v>
      </c>
      <c r="F41" s="847" t="n"/>
      <c r="G41" s="1424" t="n">
        <v>0</v>
      </c>
      <c r="H41" s="1424" t="n"/>
      <c r="I41" s="1425" t="n">
        <v>0</v>
      </c>
      <c r="J41" s="847" t="n"/>
      <c r="K41" s="760">
        <f>I41+E41</f>
        <v/>
      </c>
      <c r="L41" s="1158" t="n"/>
      <c r="M41" s="1158" t="n"/>
    </row>
    <row r="42" ht="30.75" customHeight="1" s="794">
      <c r="A42" s="758" t="inlineStr">
        <is>
          <t>0600</t>
        </is>
      </c>
      <c r="B42" s="505" t="inlineStr">
        <is>
          <t>Затраты на специальное оборудование для научных (экспериментальных) работ9</t>
        </is>
      </c>
      <c r="C42" s="1422" t="n">
        <v>0</v>
      </c>
      <c r="D42" s="1410" t="n"/>
      <c r="E42" s="1423" t="n">
        <v>0</v>
      </c>
      <c r="F42" s="847" t="n"/>
      <c r="G42" s="1424" t="n">
        <v>0</v>
      </c>
      <c r="H42" s="1424" t="inlineStr">
        <is>
          <t>-</t>
        </is>
      </c>
      <c r="I42" s="1425" t="n">
        <v>0</v>
      </c>
      <c r="J42" s="847" t="n"/>
      <c r="K42" s="760">
        <f>I42+E42</f>
        <v/>
      </c>
      <c r="L42" s="1158" t="n"/>
      <c r="M42" s="1158" t="n"/>
    </row>
    <row r="43">
      <c r="A43" s="758" t="inlineStr">
        <is>
          <t>0700</t>
        </is>
      </c>
      <c r="B43" s="505" t="inlineStr">
        <is>
          <t>Специальные затраты</t>
        </is>
      </c>
      <c r="C43" s="1422" t="n">
        <v>0</v>
      </c>
      <c r="D43" s="1410" t="n"/>
      <c r="E43" s="1423" t="n">
        <v>0</v>
      </c>
      <c r="F43" s="847" t="n"/>
      <c r="G43" s="1424" t="n">
        <v>0</v>
      </c>
      <c r="H43" s="1424" t="inlineStr">
        <is>
          <t>-</t>
        </is>
      </c>
      <c r="I43" s="1425" t="n">
        <v>0</v>
      </c>
      <c r="J43" s="847" t="n"/>
      <c r="K43" s="760">
        <f>I43+E43</f>
        <v/>
      </c>
      <c r="L43" s="1158" t="n"/>
      <c r="M43" s="1158" t="n"/>
    </row>
    <row r="44">
      <c r="A44" s="758" t="inlineStr">
        <is>
          <t>0800</t>
        </is>
      </c>
      <c r="B44" s="505" t="inlineStr">
        <is>
          <t>Общепроизводственные затраты</t>
        </is>
      </c>
      <c r="C44" s="1422" t="n">
        <v>0</v>
      </c>
      <c r="D44" s="1410" t="n"/>
      <c r="E44" s="1423" t="n">
        <v>0</v>
      </c>
      <c r="F44" s="847" t="n"/>
      <c r="G44" s="1424" t="n">
        <v>0</v>
      </c>
      <c r="H44" s="1424" t="inlineStr">
        <is>
          <t>-</t>
        </is>
      </c>
      <c r="I44" s="1425" t="n">
        <v>0</v>
      </c>
      <c r="J44" s="847" t="n"/>
      <c r="K44" s="760">
        <f>I44+E44</f>
        <v/>
      </c>
      <c r="L44" s="1158" t="n"/>
      <c r="M44" s="1158" t="n"/>
    </row>
    <row r="45">
      <c r="A45" s="758" t="inlineStr">
        <is>
          <t>0900</t>
        </is>
      </c>
      <c r="B45" s="505" t="inlineStr">
        <is>
          <t xml:space="preserve">Общехозяйственные затраты </t>
        </is>
      </c>
      <c r="C45" s="1422">
        <f>ROUND(C34*0.32,2)</f>
        <v/>
      </c>
      <c r="D45" s="1410" t="n"/>
      <c r="E45" s="1423">
        <f>ROUNDUP(E34*0.32,2)</f>
        <v/>
      </c>
      <c r="F45" s="847" t="n"/>
      <c r="G45" s="1424">
        <f>ROUND(G34*0.32,2)</f>
        <v/>
      </c>
      <c r="H45" s="1424" t="inlineStr">
        <is>
          <t>-</t>
        </is>
      </c>
      <c r="I45" s="1425">
        <f>ROUNDUP(I34*0.32,2)</f>
        <v/>
      </c>
      <c r="J45" s="847" t="n"/>
      <c r="K45" s="760">
        <f>I45+E45</f>
        <v/>
      </c>
      <c r="L45" s="1158" t="n"/>
      <c r="M45" s="1158" t="n"/>
    </row>
    <row r="46">
      <c r="A46" s="758" t="inlineStr">
        <is>
          <t>1000</t>
        </is>
      </c>
      <c r="B46" s="505" t="inlineStr">
        <is>
          <t>Затраты на командировки</t>
        </is>
      </c>
      <c r="C46" s="1422" t="n">
        <v>0</v>
      </c>
      <c r="D46" s="1410" t="n"/>
      <c r="E46" s="1423" t="n">
        <v>0</v>
      </c>
      <c r="F46" s="847" t="n"/>
      <c r="G46" s="1424" t="n">
        <v>0</v>
      </c>
      <c r="H46" s="1424" t="inlineStr">
        <is>
          <t>-</t>
        </is>
      </c>
      <c r="I46" s="1425" t="n">
        <v>0</v>
      </c>
      <c r="J46" s="847" t="n"/>
      <c r="K46" s="760">
        <f>I46+E46</f>
        <v/>
      </c>
      <c r="L46" s="1158" t="n"/>
      <c r="M46" s="1158" t="n"/>
    </row>
    <row r="47" ht="17.25" customHeight="1" s="794">
      <c r="A47" s="758" t="inlineStr">
        <is>
          <t>1100</t>
        </is>
      </c>
      <c r="B47" s="505" t="inlineStr">
        <is>
          <t>Прочие прямые затраты</t>
        </is>
      </c>
      <c r="C47" s="1422" t="n">
        <v>0</v>
      </c>
      <c r="D47" s="1410" t="n"/>
      <c r="E47" s="1423" t="n">
        <v>0</v>
      </c>
      <c r="F47" s="847" t="n"/>
      <c r="G47" s="1424" t="n">
        <v>0</v>
      </c>
      <c r="H47" s="1424" t="inlineStr">
        <is>
          <t>-</t>
        </is>
      </c>
      <c r="I47" s="1425" t="n">
        <v>0</v>
      </c>
      <c r="J47" s="847" t="n"/>
      <c r="K47" s="760">
        <f>I47+E47</f>
        <v/>
      </c>
      <c r="L47" s="1158" t="n"/>
      <c r="M47" s="1158" t="n"/>
    </row>
    <row r="48" ht="28.5" customHeight="1" s="794">
      <c r="A48" s="758" t="inlineStr">
        <is>
          <t>1200</t>
        </is>
      </c>
      <c r="B48" s="505" t="inlineStr">
        <is>
          <t>Затраты по работам (услугам), выполняемым (оказываемым) сторонними организациями10</t>
        </is>
      </c>
      <c r="C48" s="1422" t="n">
        <v>0</v>
      </c>
      <c r="D48" s="1410" t="n"/>
      <c r="E48" s="1423" t="n">
        <v>0</v>
      </c>
      <c r="F48" s="847" t="n"/>
      <c r="G48" s="1424" t="n">
        <v>0</v>
      </c>
      <c r="H48" s="1424" t="inlineStr">
        <is>
          <t>-</t>
        </is>
      </c>
      <c r="I48" s="1425" t="n">
        <v>0</v>
      </c>
      <c r="J48" s="847" t="n"/>
      <c r="K48" s="760">
        <f>I48+E48</f>
        <v/>
      </c>
      <c r="L48" s="1158" t="n"/>
      <c r="M48" s="1158" t="n"/>
    </row>
    <row r="49">
      <c r="A49" s="758" t="inlineStr">
        <is>
          <t>1300</t>
        </is>
      </c>
      <c r="B49" s="505" t="inlineStr">
        <is>
          <t>Производственная себестоимость</t>
        </is>
      </c>
      <c r="C49" s="1422">
        <f>C45+C36+C32</f>
        <v/>
      </c>
      <c r="D49" s="1410" t="n"/>
      <c r="E49" s="1423">
        <f>E45+E36+E32</f>
        <v/>
      </c>
      <c r="F49" s="847" t="n"/>
      <c r="G49" s="1424">
        <f>G45+G36+G32</f>
        <v/>
      </c>
      <c r="H49" s="1424" t="inlineStr">
        <is>
          <t>-</t>
        </is>
      </c>
      <c r="I49" s="1425">
        <f>I45+I36+I32</f>
        <v/>
      </c>
      <c r="J49" s="847" t="n"/>
      <c r="K49" s="760">
        <f>I49+E49</f>
        <v/>
      </c>
      <c r="L49" s="1158" t="n"/>
      <c r="M49" s="1158" t="n"/>
    </row>
    <row r="50" ht="15.75" customHeight="1" s="794">
      <c r="A50" s="758" t="inlineStr">
        <is>
          <t>1400</t>
        </is>
      </c>
      <c r="B50" s="505" t="inlineStr">
        <is>
          <t>Коммерческие (внепроизводственные) затраты</t>
        </is>
      </c>
      <c r="C50" s="1422" t="n">
        <v>0</v>
      </c>
      <c r="D50" s="1410" t="n"/>
      <c r="E50" s="1425" t="n">
        <v>0</v>
      </c>
      <c r="F50" s="847" t="n"/>
      <c r="G50" s="1424" t="n">
        <v>0</v>
      </c>
      <c r="H50" s="1424" t="inlineStr">
        <is>
          <t>-</t>
        </is>
      </c>
      <c r="I50" s="1425" t="n">
        <v>0</v>
      </c>
      <c r="J50" s="847" t="n"/>
      <c r="K50" s="760">
        <f>I50+E50</f>
        <v/>
      </c>
      <c r="L50" s="1158" t="n"/>
      <c r="M50" s="1158" t="n"/>
    </row>
    <row r="51" ht="15.75" customHeight="1" s="794">
      <c r="A51" s="758" t="inlineStr">
        <is>
          <t>1500</t>
        </is>
      </c>
      <c r="B51" s="505" t="inlineStr">
        <is>
          <t>Проценты по кредитам11</t>
        </is>
      </c>
      <c r="C51" s="1422" t="n">
        <v>0</v>
      </c>
      <c r="D51" s="1410" t="n"/>
      <c r="E51" s="1425" t="n">
        <v>0</v>
      </c>
      <c r="F51" s="847" t="n"/>
      <c r="G51" s="1424" t="n">
        <v>0</v>
      </c>
      <c r="H51" s="1424" t="n"/>
      <c r="I51" s="1425" t="n">
        <v>0</v>
      </c>
      <c r="J51" s="847" t="n"/>
      <c r="K51" s="760">
        <f>I51+E51</f>
        <v/>
      </c>
      <c r="L51" s="1158" t="n"/>
      <c r="M51" s="1158" t="n"/>
    </row>
    <row r="52" ht="18" customHeight="1" s="794">
      <c r="A52" s="758" t="inlineStr">
        <is>
          <t>1600</t>
        </is>
      </c>
      <c r="B52" s="505" t="inlineStr">
        <is>
          <t>Административно-управленческие расходы12</t>
        </is>
      </c>
      <c r="C52" s="1422" t="n">
        <v>0</v>
      </c>
      <c r="D52" s="1410" t="n"/>
      <c r="E52" s="1425" t="n">
        <v>0</v>
      </c>
      <c r="F52" s="847" t="n"/>
      <c r="G52" s="1424" t="n">
        <v>0</v>
      </c>
      <c r="H52" s="1426" t="inlineStr">
        <is>
          <t>-</t>
        </is>
      </c>
      <c r="I52" s="1425" t="n">
        <v>0</v>
      </c>
      <c r="J52" s="847" t="n"/>
      <c r="K52" s="760">
        <f>I52+E52</f>
        <v/>
      </c>
      <c r="L52" s="1158" t="n"/>
      <c r="M52" s="1158" t="n"/>
    </row>
    <row r="53">
      <c r="A53" s="758" t="inlineStr">
        <is>
          <t>1700</t>
        </is>
      </c>
      <c r="B53" s="505" t="inlineStr">
        <is>
          <t>Себестоимость продукции</t>
        </is>
      </c>
      <c r="C53" s="1422">
        <f>C49</f>
        <v/>
      </c>
      <c r="D53" s="1410" t="n"/>
      <c r="E53" s="1425">
        <f>E49</f>
        <v/>
      </c>
      <c r="F53" s="847" t="n"/>
      <c r="G53" s="1424">
        <f>G49</f>
        <v/>
      </c>
      <c r="H53" s="1424" t="inlineStr">
        <is>
          <t>-</t>
        </is>
      </c>
      <c r="I53" s="1425">
        <f>I49</f>
        <v/>
      </c>
      <c r="J53" s="847" t="n"/>
      <c r="K53" s="760">
        <f>I53+E53</f>
        <v/>
      </c>
      <c r="L53" s="1158" t="n"/>
      <c r="M53" s="1158" t="n"/>
    </row>
    <row r="54">
      <c r="A54" s="758" t="n"/>
      <c r="B54" s="505" t="inlineStr">
        <is>
          <t>в том числе:</t>
        </is>
      </c>
      <c r="C54" s="1422" t="n"/>
      <c r="D54" s="1410" t="n"/>
      <c r="E54" s="1425" t="n"/>
      <c r="F54" s="847" t="n"/>
      <c r="G54" s="1424" t="n"/>
      <c r="H54" s="1424" t="n"/>
      <c r="I54" s="1425" t="n"/>
      <c r="J54" s="847" t="n"/>
      <c r="K54" s="760" t="n"/>
      <c r="L54" s="1158" t="n"/>
      <c r="M54" s="1158" t="n"/>
    </row>
    <row r="55">
      <c r="A55" s="758" t="n"/>
      <c r="B55" s="505" t="inlineStr">
        <is>
          <t>привнесенные затраты</t>
        </is>
      </c>
      <c r="C55" s="1422" t="n">
        <v>0</v>
      </c>
      <c r="D55" s="1410" t="n"/>
      <c r="E55" s="1425" t="n">
        <v>0</v>
      </c>
      <c r="F55" s="847" t="n"/>
      <c r="G55" s="1424" t="n">
        <v>0</v>
      </c>
      <c r="H55" s="1424" t="inlineStr">
        <is>
          <t>-</t>
        </is>
      </c>
      <c r="I55" s="1425" t="n">
        <v>0</v>
      </c>
      <c r="J55" s="847" t="n"/>
      <c r="K55" s="760">
        <f>I55+E55</f>
        <v/>
      </c>
      <c r="L55" s="1158" t="n"/>
      <c r="M55" s="1158" t="n"/>
    </row>
    <row r="56">
      <c r="A56" s="758" t="n"/>
      <c r="B56" s="505" t="inlineStr">
        <is>
          <t>собственные затраты</t>
        </is>
      </c>
      <c r="C56" s="1422">
        <f>C53</f>
        <v/>
      </c>
      <c r="D56" s="1410" t="n"/>
      <c r="E56" s="1425">
        <f>E53</f>
        <v/>
      </c>
      <c r="F56" s="847" t="n"/>
      <c r="G56" s="1424">
        <f>G53</f>
        <v/>
      </c>
      <c r="H56" s="1424" t="inlineStr">
        <is>
          <t>-</t>
        </is>
      </c>
      <c r="I56" s="1425">
        <f>I53</f>
        <v/>
      </c>
      <c r="J56" s="847" t="n"/>
      <c r="K56" s="760">
        <f>I56+E56</f>
        <v/>
      </c>
      <c r="L56" s="1158" t="n"/>
      <c r="M56" s="1158" t="n"/>
    </row>
    <row r="57">
      <c r="A57" s="758" t="inlineStr">
        <is>
          <t>1800</t>
        </is>
      </c>
      <c r="B57" s="505" t="inlineStr">
        <is>
          <t>Прибыль</t>
        </is>
      </c>
      <c r="C57" s="1422">
        <f>ROUND(C56*0.1975,2)</f>
        <v/>
      </c>
      <c r="D57" s="1410" t="n"/>
      <c r="E57" s="1425">
        <f>'20 (20д) приб (26г.)'!G43</f>
        <v/>
      </c>
      <c r="F57" s="847" t="n"/>
      <c r="G57" s="1424">
        <f>ROUND(G56*0.1975,2)</f>
        <v/>
      </c>
      <c r="H57" s="1424" t="inlineStr">
        <is>
          <t>-</t>
        </is>
      </c>
      <c r="I57" s="1425">
        <f>'20 (20д) приб (27г.)'!G43</f>
        <v/>
      </c>
      <c r="J57" s="847" t="n"/>
      <c r="K57" s="760">
        <f>E57+I57</f>
        <v/>
      </c>
      <c r="L57" s="1158" t="n"/>
      <c r="M57" s="1158" t="n"/>
    </row>
    <row r="58">
      <c r="A58" s="758" t="inlineStr">
        <is>
          <t>1900</t>
        </is>
      </c>
      <c r="B58" s="505" t="inlineStr">
        <is>
          <t>Цена продукции (без НДС)</t>
        </is>
      </c>
      <c r="C58" s="1422">
        <f>C56+C57</f>
        <v/>
      </c>
      <c r="D58" s="1410" t="n"/>
      <c r="E58" s="1423">
        <f>E56+E57</f>
        <v/>
      </c>
      <c r="F58" s="847" t="n"/>
      <c r="G58" s="1424">
        <f>G56+G57</f>
        <v/>
      </c>
      <c r="H58" s="1424" t="inlineStr">
        <is>
          <t>-</t>
        </is>
      </c>
      <c r="I58" s="1425">
        <f>I56+I57</f>
        <v/>
      </c>
      <c r="J58" s="847" t="n"/>
      <c r="K58" s="760">
        <f>K56+K57</f>
        <v/>
      </c>
      <c r="L58" s="1158" t="n"/>
      <c r="M58" s="1158" t="n"/>
    </row>
    <row r="59" ht="16.9" customHeight="1" s="794">
      <c r="A59" s="758" t="n"/>
      <c r="B59" s="505" t="inlineStr">
        <is>
          <t>Трудоемкость (чел./мес.)</t>
        </is>
      </c>
      <c r="C59" s="1422">
        <f>'9 (9д) ОЗП НИР(ОКР)'!F23</f>
        <v/>
      </c>
      <c r="D59" s="1410" t="n"/>
      <c r="E59" s="1429">
        <f>'9 (9д) ОЗП НИР(ОКР)'!F13</f>
        <v/>
      </c>
      <c r="F59" s="762" t="n"/>
      <c r="G59" s="1430">
        <f>'9 (9д) ОЗП НИР(ОКР)'!F18</f>
        <v/>
      </c>
      <c r="H59" s="1430" t="inlineStr">
        <is>
          <t>-</t>
        </is>
      </c>
      <c r="I59" s="1431">
        <f>'9 (9д) ОЗП НИР(ОКР)'!F18</f>
        <v/>
      </c>
      <c r="J59" s="762" t="n"/>
      <c r="K59" s="760">
        <f>I59+E59</f>
        <v/>
      </c>
      <c r="L59" s="1158" t="n"/>
      <c r="M59" s="1158" t="n"/>
    </row>
    <row r="60" ht="6.75" customHeight="1" s="794">
      <c r="A60" s="764" t="n"/>
      <c r="B60" s="764" t="n"/>
    </row>
    <row r="61" ht="28.5" customHeight="1" s="794">
      <c r="B61" s="954" t="n"/>
      <c r="C61" s="954" t="n"/>
      <c r="D61" s="24" t="n"/>
      <c r="E61" s="24" t="n"/>
      <c r="F61" s="18" t="n"/>
      <c r="G61" s="480" t="n"/>
      <c r="J61" s="954" t="n"/>
    </row>
    <row r="63" ht="23.25" customFormat="1" customHeight="1" s="103">
      <c r="B63" s="193" t="inlineStr">
        <is>
          <t>Начальник ОФЭиАУ НИОКР</t>
        </is>
      </c>
      <c r="I63" s="852" t="inlineStr">
        <is>
          <t>Руководитель договора</t>
        </is>
      </c>
    </row>
    <row r="64" ht="43.5" customFormat="1" customHeight="1" s="103">
      <c r="B64" s="103" t="inlineStr">
        <is>
          <t>_____________________ Н.О. Васецкая</t>
        </is>
      </c>
      <c r="I64" s="107" t="inlineStr">
        <is>
          <t>_____________________ А.И. Боровков</t>
        </is>
      </c>
      <c r="J64" s="765" t="n"/>
      <c r="K64" s="766" t="n"/>
    </row>
    <row r="65" ht="20.25" customHeight="1" s="794">
      <c r="B65" s="106" t="inlineStr">
        <is>
          <t xml:space="preserve">  (подпись)                                                   (Ф.И.О.)</t>
        </is>
      </c>
      <c r="I65" s="106" t="inlineStr">
        <is>
          <t xml:space="preserve">  (подпись)                                                          (Ф.И.О.)</t>
        </is>
      </c>
      <c r="J65" s="105" t="n"/>
      <c r="K65" s="767" t="n"/>
      <c r="L65" s="105" t="n"/>
    </row>
    <row r="66" ht="23.25" customFormat="1" customHeight="1" s="103">
      <c r="B66" s="107" t="inlineStr">
        <is>
          <t>«____» __________________ 2026 г.</t>
        </is>
      </c>
      <c r="I66" s="107" t="inlineStr">
        <is>
          <t>«____» __________________ 2026 г.</t>
        </is>
      </c>
    </row>
    <row r="69" ht="23.25" customHeight="1" s="794">
      <c r="I69" s="765" t="inlineStr">
        <is>
          <t>Ответственный исполнитель</t>
        </is>
      </c>
    </row>
    <row r="70" ht="36" customHeight="1" s="794">
      <c r="I70" s="103" t="inlineStr">
        <is>
          <t>_____________________ И.О. Фамилия</t>
        </is>
      </c>
    </row>
    <row r="71" ht="15.75" customHeight="1" s="794">
      <c r="I71" s="106" t="inlineStr">
        <is>
          <t xml:space="preserve">  (подпись)                                                (Ф.И.О.)</t>
        </is>
      </c>
    </row>
    <row r="72" ht="23.25" customHeight="1" s="794">
      <c r="I72" s="107" t="inlineStr">
        <is>
          <t>«____» __________________ 2026 г.</t>
        </is>
      </c>
    </row>
  </sheetData>
  <mergeCells count="65">
    <mergeCell ref="C34:D34"/>
    <mergeCell ref="D13:L13"/>
    <mergeCell ref="C24:D24"/>
    <mergeCell ref="D11:L11"/>
    <mergeCell ref="C30:D30"/>
    <mergeCell ref="C33:D33"/>
    <mergeCell ref="H16:H18"/>
    <mergeCell ref="C42:D42"/>
    <mergeCell ref="C58:D58"/>
    <mergeCell ref="A4:M4"/>
    <mergeCell ref="J16:J18"/>
    <mergeCell ref="C45:D45"/>
    <mergeCell ref="F15:F18"/>
    <mergeCell ref="C26:D26"/>
    <mergeCell ref="I63:L63"/>
    <mergeCell ref="C35:D35"/>
    <mergeCell ref="L15:L18"/>
    <mergeCell ref="D7:L7"/>
    <mergeCell ref="C20:D20"/>
    <mergeCell ref="C29:D29"/>
    <mergeCell ref="C47:D47"/>
    <mergeCell ref="C54:D54"/>
    <mergeCell ref="C25:D25"/>
    <mergeCell ref="C41:D41"/>
    <mergeCell ref="G16:G18"/>
    <mergeCell ref="C55:D55"/>
    <mergeCell ref="C50:D50"/>
    <mergeCell ref="C44:D44"/>
    <mergeCell ref="D9:L9"/>
    <mergeCell ref="C22:D22"/>
    <mergeCell ref="C40:D40"/>
    <mergeCell ref="E15:E18"/>
    <mergeCell ref="D12:L12"/>
    <mergeCell ref="C31:D31"/>
    <mergeCell ref="D8:L8"/>
    <mergeCell ref="C56:D56"/>
    <mergeCell ref="M15:M18"/>
    <mergeCell ref="C59:D59"/>
    <mergeCell ref="C43:D43"/>
    <mergeCell ref="C46:D46"/>
    <mergeCell ref="C21:D21"/>
    <mergeCell ref="C51:D51"/>
    <mergeCell ref="C27:D27"/>
    <mergeCell ref="C36:D36"/>
    <mergeCell ref="C15:D18"/>
    <mergeCell ref="B15:B18"/>
    <mergeCell ref="C52:D52"/>
    <mergeCell ref="C48:D48"/>
    <mergeCell ref="C23:D23"/>
    <mergeCell ref="C39:D39"/>
    <mergeCell ref="D10:L10"/>
    <mergeCell ref="C32:D32"/>
    <mergeCell ref="C38:D38"/>
    <mergeCell ref="I16:I18"/>
    <mergeCell ref="C57:D57"/>
    <mergeCell ref="C37:D37"/>
    <mergeCell ref="C19:D19"/>
    <mergeCell ref="A3:M3"/>
    <mergeCell ref="C28:D28"/>
    <mergeCell ref="A15:A18"/>
    <mergeCell ref="G15:J15"/>
    <mergeCell ref="C53:D53"/>
    <mergeCell ref="D6:L6"/>
    <mergeCell ref="K15:K18"/>
    <mergeCell ref="C49:D49"/>
  </mergeCells>
  <printOptions horizontalCentered="1"/>
  <pageMargins left="0.7086614173228347" right="0.7086614173228347" top="0" bottom="0.7480314960629921" header="0.3149606299212598" footer="0.1181102362204725"/>
  <pageSetup orientation="portrait" paperSize="9" scale="43" firstPageNumber="7" useFirstPageNumber="1"/>
</worksheet>
</file>

<file path=xl/worksheets/sheet3.xml><?xml version="1.0" encoding="utf-8"?>
<worksheet xmlns="http://schemas.openxmlformats.org/spreadsheetml/2006/main">
  <sheetPr>
    <tabColor theme="9" tint="0.7999816888943144"/>
    <outlinePr summaryBelow="1" summaryRight="1"/>
    <pageSetUpPr fitToPage="1"/>
  </sheetPr>
  <dimension ref="A1:IB77"/>
  <sheetViews>
    <sheetView view="pageBreakPreview" topLeftCell="A46" zoomScale="80" zoomScaleNormal="120" zoomScaleSheetLayoutView="80" workbookViewId="0">
      <selection activeCell="BK14" sqref="BK14:HV14"/>
    </sheetView>
  </sheetViews>
  <sheetFormatPr baseColWidth="8" defaultColWidth="0.85546875" defaultRowHeight="8.25"/>
  <cols>
    <col width="0.85546875" customWidth="1" style="305" min="1" max="72"/>
    <col width="15.28515625" customWidth="1" style="305" min="73" max="73"/>
    <col width="0.85546875" customWidth="1" style="305" min="74" max="128"/>
    <col width="0.85546875" customWidth="1" style="305" min="129" max="129"/>
    <col width="0.85546875" customWidth="1" style="305" min="130" max="132"/>
    <col width="0.85546875" customWidth="1" style="305" min="133" max="141"/>
    <col width="0.85546875" customWidth="1" style="305" min="142" max="150"/>
    <col width="0.85546875" customWidth="1" style="305" min="151" max="156"/>
    <col width="2.5703125" customWidth="1" style="305" min="157" max="157"/>
    <col width="0.85546875" customWidth="1" style="305" min="158" max="384"/>
    <col width="0.85546875" customWidth="1" style="305" min="385" max="385"/>
    <col width="0.85546875" customWidth="1" style="305" min="386" max="388"/>
    <col width="0.85546875" customWidth="1" style="305" min="389" max="397"/>
    <col width="0.85546875" customWidth="1" style="305" min="398" max="406"/>
    <col width="0.85546875" customWidth="1" style="305" min="407" max="413"/>
    <col width="0.85546875" customWidth="1" style="305" min="414" max="640"/>
    <col width="0.85546875" customWidth="1" style="305" min="641" max="641"/>
    <col width="0.85546875" customWidth="1" style="305" min="642" max="644"/>
    <col width="0.85546875" customWidth="1" style="305" min="645" max="653"/>
    <col width="0.85546875" customWidth="1" style="305" min="654" max="662"/>
    <col width="0.85546875" customWidth="1" style="305" min="663" max="669"/>
    <col width="0.85546875" customWidth="1" style="305" min="670" max="896"/>
    <col width="0.85546875" customWidth="1" style="305" min="897" max="897"/>
    <col width="0.85546875" customWidth="1" style="305" min="898" max="900"/>
    <col width="0.85546875" customWidth="1" style="305" min="901" max="909"/>
    <col width="0.85546875" customWidth="1" style="305" min="910" max="918"/>
    <col width="0.85546875" customWidth="1" style="305" min="919" max="925"/>
    <col width="0.85546875" customWidth="1" style="305" min="926" max="1152"/>
    <col width="0.85546875" customWidth="1" style="305" min="1153" max="1153"/>
    <col width="0.85546875" customWidth="1" style="305" min="1154" max="1156"/>
    <col width="0.85546875" customWidth="1" style="305" min="1157" max="1165"/>
    <col width="0.85546875" customWidth="1" style="305" min="1166" max="1174"/>
    <col width="0.85546875" customWidth="1" style="305" min="1175" max="1181"/>
    <col width="0.85546875" customWidth="1" style="305" min="1182" max="1408"/>
    <col width="0.85546875" customWidth="1" style="305" min="1409" max="1409"/>
    <col width="0.85546875" customWidth="1" style="305" min="1410" max="1412"/>
    <col width="0.85546875" customWidth="1" style="305" min="1413" max="1421"/>
    <col width="0.85546875" customWidth="1" style="305" min="1422" max="1430"/>
    <col width="0.85546875" customWidth="1" style="305" min="1431" max="1437"/>
    <col width="0.85546875" customWidth="1" style="305" min="1438" max="1664"/>
    <col width="0.85546875" customWidth="1" style="305" min="1665" max="1665"/>
    <col width="0.85546875" customWidth="1" style="305" min="1666" max="1668"/>
    <col width="0.85546875" customWidth="1" style="305" min="1669" max="1677"/>
    <col width="0.85546875" customWidth="1" style="305" min="1678" max="1686"/>
    <col width="0.85546875" customWidth="1" style="305" min="1687" max="1693"/>
    <col width="0.85546875" customWidth="1" style="305" min="1694" max="1920"/>
    <col width="0.85546875" customWidth="1" style="305" min="1921" max="1921"/>
    <col width="0.85546875" customWidth="1" style="305" min="1922" max="1924"/>
    <col width="0.85546875" customWidth="1" style="305" min="1925" max="1933"/>
    <col width="0.85546875" customWidth="1" style="305" min="1934" max="1942"/>
    <col width="0.85546875" customWidth="1" style="305" min="1943" max="1949"/>
    <col width="0.85546875" customWidth="1" style="305" min="1950" max="2176"/>
    <col width="0.85546875" customWidth="1" style="305" min="2177" max="2177"/>
    <col width="0.85546875" customWidth="1" style="305" min="2178" max="2180"/>
    <col width="0.85546875" customWidth="1" style="305" min="2181" max="2189"/>
    <col width="0.85546875" customWidth="1" style="305" min="2190" max="2198"/>
    <col width="0.85546875" customWidth="1" style="305" min="2199" max="2205"/>
    <col width="0.85546875" customWidth="1" style="305" min="2206" max="2432"/>
    <col width="0.85546875" customWidth="1" style="305" min="2433" max="2433"/>
    <col width="0.85546875" customWidth="1" style="305" min="2434" max="2436"/>
    <col width="0.85546875" customWidth="1" style="305" min="2437" max="2445"/>
    <col width="0.85546875" customWidth="1" style="305" min="2446" max="2454"/>
    <col width="0.85546875" customWidth="1" style="305" min="2455" max="2461"/>
    <col width="0.85546875" customWidth="1" style="305" min="2462" max="2688"/>
    <col width="0.85546875" customWidth="1" style="305" min="2689" max="2689"/>
    <col width="0.85546875" customWidth="1" style="305" min="2690" max="2692"/>
    <col width="0.85546875" customWidth="1" style="305" min="2693" max="2701"/>
    <col width="0.85546875" customWidth="1" style="305" min="2702" max="2710"/>
    <col width="0.85546875" customWidth="1" style="305" min="2711" max="2717"/>
    <col width="0.85546875" customWidth="1" style="305" min="2718" max="2944"/>
    <col width="0.85546875" customWidth="1" style="305" min="2945" max="2945"/>
    <col width="0.85546875" customWidth="1" style="305" min="2946" max="2948"/>
    <col width="0.85546875" customWidth="1" style="305" min="2949" max="2957"/>
    <col width="0.85546875" customWidth="1" style="305" min="2958" max="2966"/>
    <col width="0.85546875" customWidth="1" style="305" min="2967" max="2973"/>
    <col width="0.85546875" customWidth="1" style="305" min="2974" max="3200"/>
    <col width="0.85546875" customWidth="1" style="305" min="3201" max="3201"/>
    <col width="0.85546875" customWidth="1" style="305" min="3202" max="3204"/>
    <col width="0.85546875" customWidth="1" style="305" min="3205" max="3213"/>
    <col width="0.85546875" customWidth="1" style="305" min="3214" max="3222"/>
    <col width="0.85546875" customWidth="1" style="305" min="3223" max="3229"/>
    <col width="0.85546875" customWidth="1" style="305" min="3230" max="3456"/>
    <col width="0.85546875" customWidth="1" style="305" min="3457" max="3457"/>
    <col width="0.85546875" customWidth="1" style="305" min="3458" max="3460"/>
    <col width="0.85546875" customWidth="1" style="305" min="3461" max="3469"/>
    <col width="0.85546875" customWidth="1" style="305" min="3470" max="3478"/>
    <col width="0.85546875" customWidth="1" style="305" min="3479" max="3485"/>
    <col width="0.85546875" customWidth="1" style="305" min="3486" max="3712"/>
    <col width="0.85546875" customWidth="1" style="305" min="3713" max="3713"/>
    <col width="0.85546875" customWidth="1" style="305" min="3714" max="3716"/>
    <col width="0.85546875" customWidth="1" style="305" min="3717" max="3725"/>
    <col width="0.85546875" customWidth="1" style="305" min="3726" max="3734"/>
    <col width="0.85546875" customWidth="1" style="305" min="3735" max="3741"/>
    <col width="0.85546875" customWidth="1" style="305" min="3742" max="3968"/>
    <col width="0.85546875" customWidth="1" style="305" min="3969" max="3969"/>
    <col width="0.85546875" customWidth="1" style="305" min="3970" max="3972"/>
    <col width="0.85546875" customWidth="1" style="305" min="3973" max="3981"/>
    <col width="0.85546875" customWidth="1" style="305" min="3982" max="3990"/>
    <col width="0.85546875" customWidth="1" style="305" min="3991" max="3997"/>
    <col width="0.85546875" customWidth="1" style="305" min="3998" max="4224"/>
    <col width="0.85546875" customWidth="1" style="305" min="4225" max="4225"/>
    <col width="0.85546875" customWidth="1" style="305" min="4226" max="4228"/>
    <col width="0.85546875" customWidth="1" style="305" min="4229" max="4237"/>
    <col width="0.85546875" customWidth="1" style="305" min="4238" max="4246"/>
    <col width="0.85546875" customWidth="1" style="305" min="4247" max="4253"/>
    <col width="0.85546875" customWidth="1" style="305" min="4254" max="4480"/>
    <col width="0.85546875" customWidth="1" style="305" min="4481" max="4481"/>
    <col width="0.85546875" customWidth="1" style="305" min="4482" max="4484"/>
    <col width="0.85546875" customWidth="1" style="305" min="4485" max="4493"/>
    <col width="0.85546875" customWidth="1" style="305" min="4494" max="4502"/>
    <col width="0.85546875" customWidth="1" style="305" min="4503" max="4509"/>
    <col width="0.85546875" customWidth="1" style="305" min="4510" max="4736"/>
    <col width="0.85546875" customWidth="1" style="305" min="4737" max="4737"/>
    <col width="0.85546875" customWidth="1" style="305" min="4738" max="4740"/>
    <col width="0.85546875" customWidth="1" style="305" min="4741" max="4749"/>
    <col width="0.85546875" customWidth="1" style="305" min="4750" max="4758"/>
    <col width="0.85546875" customWidth="1" style="305" min="4759" max="4765"/>
    <col width="0.85546875" customWidth="1" style="305" min="4766" max="4992"/>
    <col width="0.85546875" customWidth="1" style="305" min="4993" max="4993"/>
    <col width="0.85546875" customWidth="1" style="305" min="4994" max="4996"/>
    <col width="0.85546875" customWidth="1" style="305" min="4997" max="5005"/>
    <col width="0.85546875" customWidth="1" style="305" min="5006" max="5014"/>
    <col width="0.85546875" customWidth="1" style="305" min="5015" max="5021"/>
    <col width="0.85546875" customWidth="1" style="305" min="5022" max="5248"/>
    <col width="0.85546875" customWidth="1" style="305" min="5249" max="5249"/>
    <col width="0.85546875" customWidth="1" style="305" min="5250" max="5252"/>
    <col width="0.85546875" customWidth="1" style="305" min="5253" max="5261"/>
    <col width="0.85546875" customWidth="1" style="305" min="5262" max="5270"/>
    <col width="0.85546875" customWidth="1" style="305" min="5271" max="5277"/>
    <col width="0.85546875" customWidth="1" style="305" min="5278" max="5504"/>
    <col width="0.85546875" customWidth="1" style="305" min="5505" max="5505"/>
    <col width="0.85546875" customWidth="1" style="305" min="5506" max="5508"/>
    <col width="0.85546875" customWidth="1" style="305" min="5509" max="5517"/>
    <col width="0.85546875" customWidth="1" style="305" min="5518" max="5526"/>
    <col width="0.85546875" customWidth="1" style="305" min="5527" max="5533"/>
    <col width="0.85546875" customWidth="1" style="305" min="5534" max="5760"/>
    <col width="0.85546875" customWidth="1" style="305" min="5761" max="5761"/>
    <col width="0.85546875" customWidth="1" style="305" min="5762" max="5764"/>
    <col width="0.85546875" customWidth="1" style="305" min="5765" max="5773"/>
    <col width="0.85546875" customWidth="1" style="305" min="5774" max="5782"/>
    <col width="0.85546875" customWidth="1" style="305" min="5783" max="5789"/>
    <col width="0.85546875" customWidth="1" style="305" min="5790" max="6016"/>
    <col width="0.85546875" customWidth="1" style="305" min="6017" max="6017"/>
    <col width="0.85546875" customWidth="1" style="305" min="6018" max="6020"/>
    <col width="0.85546875" customWidth="1" style="305" min="6021" max="6029"/>
    <col width="0.85546875" customWidth="1" style="305" min="6030" max="6038"/>
    <col width="0.85546875" customWidth="1" style="305" min="6039" max="6045"/>
    <col width="0.85546875" customWidth="1" style="305" min="6046" max="6272"/>
    <col width="0.85546875" customWidth="1" style="305" min="6273" max="6273"/>
    <col width="0.85546875" customWidth="1" style="305" min="6274" max="6276"/>
    <col width="0.85546875" customWidth="1" style="305" min="6277" max="6285"/>
    <col width="0.85546875" customWidth="1" style="305" min="6286" max="6294"/>
    <col width="0.85546875" customWidth="1" style="305" min="6295" max="6301"/>
    <col width="0.85546875" customWidth="1" style="305" min="6302" max="6528"/>
    <col width="0.85546875" customWidth="1" style="305" min="6529" max="6529"/>
    <col width="0.85546875" customWidth="1" style="305" min="6530" max="6532"/>
    <col width="0.85546875" customWidth="1" style="305" min="6533" max="6541"/>
    <col width="0.85546875" customWidth="1" style="305" min="6542" max="6550"/>
    <col width="0.85546875" customWidth="1" style="305" min="6551" max="6557"/>
    <col width="0.85546875" customWidth="1" style="305" min="6558" max="6784"/>
    <col width="0.85546875" customWidth="1" style="305" min="6785" max="6785"/>
    <col width="0.85546875" customWidth="1" style="305" min="6786" max="6788"/>
    <col width="0.85546875" customWidth="1" style="305" min="6789" max="6797"/>
    <col width="0.85546875" customWidth="1" style="305" min="6798" max="6806"/>
    <col width="0.85546875" customWidth="1" style="305" min="6807" max="6813"/>
    <col width="0.85546875" customWidth="1" style="305" min="6814" max="7040"/>
    <col width="0.85546875" customWidth="1" style="305" min="7041" max="7041"/>
    <col width="0.85546875" customWidth="1" style="305" min="7042" max="7044"/>
    <col width="0.85546875" customWidth="1" style="305" min="7045" max="7053"/>
    <col width="0.85546875" customWidth="1" style="305" min="7054" max="7062"/>
    <col width="0.85546875" customWidth="1" style="305" min="7063" max="7069"/>
    <col width="0.85546875" customWidth="1" style="305" min="7070" max="7296"/>
    <col width="0.85546875" customWidth="1" style="305" min="7297" max="7297"/>
    <col width="0.85546875" customWidth="1" style="305" min="7298" max="7300"/>
    <col width="0.85546875" customWidth="1" style="305" min="7301" max="7309"/>
    <col width="0.85546875" customWidth="1" style="305" min="7310" max="7318"/>
    <col width="0.85546875" customWidth="1" style="305" min="7319" max="7325"/>
    <col width="0.85546875" customWidth="1" style="305" min="7326" max="7552"/>
    <col width="0.85546875" customWidth="1" style="305" min="7553" max="7553"/>
    <col width="0.85546875" customWidth="1" style="305" min="7554" max="7556"/>
    <col width="0.85546875" customWidth="1" style="305" min="7557" max="7565"/>
    <col width="0.85546875" customWidth="1" style="305" min="7566" max="7574"/>
    <col width="0.85546875" customWidth="1" style="305" min="7575" max="7581"/>
    <col width="0.85546875" customWidth="1" style="305" min="7582" max="7808"/>
    <col width="0.85546875" customWidth="1" style="305" min="7809" max="7809"/>
    <col width="0.85546875" customWidth="1" style="305" min="7810" max="7812"/>
    <col width="0.85546875" customWidth="1" style="305" min="7813" max="7821"/>
    <col width="0.85546875" customWidth="1" style="305" min="7822" max="7830"/>
    <col width="0.85546875" customWidth="1" style="305" min="7831" max="7837"/>
    <col width="0.85546875" customWidth="1" style="305" min="7838" max="8064"/>
    <col width="0.85546875" customWidth="1" style="305" min="8065" max="8065"/>
    <col width="0.85546875" customWidth="1" style="305" min="8066" max="8068"/>
    <col width="0.85546875" customWidth="1" style="305" min="8069" max="8077"/>
    <col width="0.85546875" customWidth="1" style="305" min="8078" max="8086"/>
    <col width="0.85546875" customWidth="1" style="305" min="8087" max="8093"/>
    <col width="0.85546875" customWidth="1" style="305" min="8094" max="8320"/>
    <col width="0.85546875" customWidth="1" style="305" min="8321" max="8321"/>
    <col width="0.85546875" customWidth="1" style="305" min="8322" max="8324"/>
    <col width="0.85546875" customWidth="1" style="305" min="8325" max="8333"/>
    <col width="0.85546875" customWidth="1" style="305" min="8334" max="8342"/>
    <col width="0.85546875" customWidth="1" style="305" min="8343" max="8349"/>
    <col width="0.85546875" customWidth="1" style="305" min="8350" max="8576"/>
    <col width="0.85546875" customWidth="1" style="305" min="8577" max="8577"/>
    <col width="0.85546875" customWidth="1" style="305" min="8578" max="8580"/>
    <col width="0.85546875" customWidth="1" style="305" min="8581" max="8589"/>
    <col width="0.85546875" customWidth="1" style="305" min="8590" max="8598"/>
    <col width="0.85546875" customWidth="1" style="305" min="8599" max="8605"/>
    <col width="0.85546875" customWidth="1" style="305" min="8606" max="8832"/>
    <col width="0.85546875" customWidth="1" style="305" min="8833" max="8833"/>
    <col width="0.85546875" customWidth="1" style="305" min="8834" max="8836"/>
    <col width="0.85546875" customWidth="1" style="305" min="8837" max="8845"/>
    <col width="0.85546875" customWidth="1" style="305" min="8846" max="8854"/>
    <col width="0.85546875" customWidth="1" style="305" min="8855" max="8861"/>
    <col width="0.85546875" customWidth="1" style="305" min="8862" max="9088"/>
    <col width="0.85546875" customWidth="1" style="305" min="9089" max="9089"/>
    <col width="0.85546875" customWidth="1" style="305" min="9090" max="9092"/>
    <col width="0.85546875" customWidth="1" style="305" min="9093" max="9101"/>
    <col width="0.85546875" customWidth="1" style="305" min="9102" max="9110"/>
    <col width="0.85546875" customWidth="1" style="305" min="9111" max="9117"/>
    <col width="0.85546875" customWidth="1" style="305" min="9118" max="9344"/>
    <col width="0.85546875" customWidth="1" style="305" min="9345" max="9345"/>
    <col width="0.85546875" customWidth="1" style="305" min="9346" max="9348"/>
    <col width="0.85546875" customWidth="1" style="305" min="9349" max="9357"/>
    <col width="0.85546875" customWidth="1" style="305" min="9358" max="9366"/>
    <col width="0.85546875" customWidth="1" style="305" min="9367" max="9373"/>
    <col width="0.85546875" customWidth="1" style="305" min="9374" max="9600"/>
    <col width="0.85546875" customWidth="1" style="305" min="9601" max="9601"/>
    <col width="0.85546875" customWidth="1" style="305" min="9602" max="9604"/>
    <col width="0.85546875" customWidth="1" style="305" min="9605" max="9613"/>
    <col width="0.85546875" customWidth="1" style="305" min="9614" max="9622"/>
    <col width="0.85546875" customWidth="1" style="305" min="9623" max="9629"/>
    <col width="0.85546875" customWidth="1" style="305" min="9630" max="9856"/>
    <col width="0.85546875" customWidth="1" style="305" min="9857" max="9857"/>
    <col width="0.85546875" customWidth="1" style="305" min="9858" max="9860"/>
    <col width="0.85546875" customWidth="1" style="305" min="9861" max="9869"/>
    <col width="0.85546875" customWidth="1" style="305" min="9870" max="9878"/>
    <col width="0.85546875" customWidth="1" style="305" min="9879" max="9885"/>
    <col width="0.85546875" customWidth="1" style="305" min="9886" max="10112"/>
    <col width="0.85546875" customWidth="1" style="305" min="10113" max="10113"/>
    <col width="0.85546875" customWidth="1" style="305" min="10114" max="10116"/>
    <col width="0.85546875" customWidth="1" style="305" min="10117" max="10125"/>
    <col width="0.85546875" customWidth="1" style="305" min="10126" max="10134"/>
    <col width="0.85546875" customWidth="1" style="305" min="10135" max="10141"/>
    <col width="0.85546875" customWidth="1" style="305" min="10142" max="10368"/>
    <col width="0.85546875" customWidth="1" style="305" min="10369" max="10369"/>
    <col width="0.85546875" customWidth="1" style="305" min="10370" max="10372"/>
    <col width="0.85546875" customWidth="1" style="305" min="10373" max="10381"/>
    <col width="0.85546875" customWidth="1" style="305" min="10382" max="10390"/>
    <col width="0.85546875" customWidth="1" style="305" min="10391" max="10397"/>
    <col width="0.85546875" customWidth="1" style="305" min="10398" max="10624"/>
    <col width="0.85546875" customWidth="1" style="305" min="10625" max="10625"/>
    <col width="0.85546875" customWidth="1" style="305" min="10626" max="10628"/>
    <col width="0.85546875" customWidth="1" style="305" min="10629" max="10637"/>
    <col width="0.85546875" customWidth="1" style="305" min="10638" max="10646"/>
    <col width="0.85546875" customWidth="1" style="305" min="10647" max="10653"/>
    <col width="0.85546875" customWidth="1" style="305" min="10654" max="10880"/>
    <col width="0.85546875" customWidth="1" style="305" min="10881" max="10881"/>
    <col width="0.85546875" customWidth="1" style="305" min="10882" max="10884"/>
    <col width="0.85546875" customWidth="1" style="305" min="10885" max="10893"/>
    <col width="0.85546875" customWidth="1" style="305" min="10894" max="10902"/>
    <col width="0.85546875" customWidth="1" style="305" min="10903" max="10909"/>
    <col width="0.85546875" customWidth="1" style="305" min="10910" max="11136"/>
    <col width="0.85546875" customWidth="1" style="305" min="11137" max="11137"/>
    <col width="0.85546875" customWidth="1" style="305" min="11138" max="11140"/>
    <col width="0.85546875" customWidth="1" style="305" min="11141" max="11149"/>
    <col width="0.85546875" customWidth="1" style="305" min="11150" max="11158"/>
    <col width="0.85546875" customWidth="1" style="305" min="11159" max="11165"/>
    <col width="0.85546875" customWidth="1" style="305" min="11166" max="11392"/>
    <col width="0.85546875" customWidth="1" style="305" min="11393" max="11393"/>
    <col width="0.85546875" customWidth="1" style="305" min="11394" max="11396"/>
    <col width="0.85546875" customWidth="1" style="305" min="11397" max="11405"/>
    <col width="0.85546875" customWidth="1" style="305" min="11406" max="11414"/>
    <col width="0.85546875" customWidth="1" style="305" min="11415" max="11421"/>
    <col width="0.85546875" customWidth="1" style="305" min="11422" max="11648"/>
    <col width="0.85546875" customWidth="1" style="305" min="11649" max="11649"/>
    <col width="0.85546875" customWidth="1" style="305" min="11650" max="11652"/>
    <col width="0.85546875" customWidth="1" style="305" min="11653" max="11661"/>
    <col width="0.85546875" customWidth="1" style="305" min="11662" max="11670"/>
    <col width="0.85546875" customWidth="1" style="305" min="11671" max="11677"/>
    <col width="0.85546875" customWidth="1" style="305" min="11678" max="11904"/>
    <col width="0.85546875" customWidth="1" style="305" min="11905" max="11905"/>
    <col width="0.85546875" customWidth="1" style="305" min="11906" max="11908"/>
    <col width="0.85546875" customWidth="1" style="305" min="11909" max="11917"/>
    <col width="0.85546875" customWidth="1" style="305" min="11918" max="11926"/>
    <col width="0.85546875" customWidth="1" style="305" min="11927" max="11933"/>
    <col width="0.85546875" customWidth="1" style="305" min="11934" max="12160"/>
    <col width="0.85546875" customWidth="1" style="305" min="12161" max="12161"/>
    <col width="0.85546875" customWidth="1" style="305" min="12162" max="12164"/>
    <col width="0.85546875" customWidth="1" style="305" min="12165" max="12173"/>
    <col width="0.85546875" customWidth="1" style="305" min="12174" max="12182"/>
    <col width="0.85546875" customWidth="1" style="305" min="12183" max="12189"/>
    <col width="0.85546875" customWidth="1" style="305" min="12190" max="12416"/>
    <col width="0.85546875" customWidth="1" style="305" min="12417" max="12417"/>
    <col width="0.85546875" customWidth="1" style="305" min="12418" max="12420"/>
    <col width="0.85546875" customWidth="1" style="305" min="12421" max="12429"/>
    <col width="0.85546875" customWidth="1" style="305" min="12430" max="12438"/>
    <col width="0.85546875" customWidth="1" style="305" min="12439" max="12445"/>
    <col width="0.85546875" customWidth="1" style="305" min="12446" max="12672"/>
    <col width="0.85546875" customWidth="1" style="305" min="12673" max="12673"/>
    <col width="0.85546875" customWidth="1" style="305" min="12674" max="12676"/>
    <col width="0.85546875" customWidth="1" style="305" min="12677" max="12685"/>
    <col width="0.85546875" customWidth="1" style="305" min="12686" max="12694"/>
    <col width="0.85546875" customWidth="1" style="305" min="12695" max="12701"/>
    <col width="0.85546875" customWidth="1" style="305" min="12702" max="12928"/>
    <col width="0.85546875" customWidth="1" style="305" min="12929" max="12929"/>
    <col width="0.85546875" customWidth="1" style="305" min="12930" max="12932"/>
    <col width="0.85546875" customWidth="1" style="305" min="12933" max="12941"/>
    <col width="0.85546875" customWidth="1" style="305" min="12942" max="12950"/>
    <col width="0.85546875" customWidth="1" style="305" min="12951" max="12957"/>
    <col width="0.85546875" customWidth="1" style="305" min="12958" max="13184"/>
    <col width="0.85546875" customWidth="1" style="305" min="13185" max="13185"/>
    <col width="0.85546875" customWidth="1" style="305" min="13186" max="13188"/>
    <col width="0.85546875" customWidth="1" style="305" min="13189" max="13197"/>
    <col width="0.85546875" customWidth="1" style="305" min="13198" max="13206"/>
    <col width="0.85546875" customWidth="1" style="305" min="13207" max="13213"/>
    <col width="0.85546875" customWidth="1" style="305" min="13214" max="13440"/>
    <col width="0.85546875" customWidth="1" style="305" min="13441" max="13441"/>
    <col width="0.85546875" customWidth="1" style="305" min="13442" max="13444"/>
    <col width="0.85546875" customWidth="1" style="305" min="13445" max="13453"/>
    <col width="0.85546875" customWidth="1" style="305" min="13454" max="13462"/>
    <col width="0.85546875" customWidth="1" style="305" min="13463" max="13469"/>
    <col width="0.85546875" customWidth="1" style="305" min="13470" max="13696"/>
    <col width="0.85546875" customWidth="1" style="305" min="13697" max="13697"/>
    <col width="0.85546875" customWidth="1" style="305" min="13698" max="13700"/>
    <col width="0.85546875" customWidth="1" style="305" min="13701" max="13709"/>
    <col width="0.85546875" customWidth="1" style="305" min="13710" max="13718"/>
    <col width="0.85546875" customWidth="1" style="305" min="13719" max="13725"/>
    <col width="0.85546875" customWidth="1" style="305" min="13726" max="13952"/>
    <col width="0.85546875" customWidth="1" style="305" min="13953" max="13953"/>
    <col width="0.85546875" customWidth="1" style="305" min="13954" max="13956"/>
    <col width="0.85546875" customWidth="1" style="305" min="13957" max="13965"/>
    <col width="0.85546875" customWidth="1" style="305" min="13966" max="13974"/>
    <col width="0.85546875" customWidth="1" style="305" min="13975" max="13981"/>
    <col width="0.85546875" customWidth="1" style="305" min="13982" max="14208"/>
    <col width="0.85546875" customWidth="1" style="305" min="14209" max="14209"/>
    <col width="0.85546875" customWidth="1" style="305" min="14210" max="14212"/>
    <col width="0.85546875" customWidth="1" style="305" min="14213" max="14221"/>
    <col width="0.85546875" customWidth="1" style="305" min="14222" max="14230"/>
    <col width="0.85546875" customWidth="1" style="305" min="14231" max="14237"/>
    <col width="0.85546875" customWidth="1" style="305" min="14238" max="14464"/>
    <col width="0.85546875" customWidth="1" style="305" min="14465" max="14465"/>
    <col width="0.85546875" customWidth="1" style="305" min="14466" max="14468"/>
    <col width="0.85546875" customWidth="1" style="305" min="14469" max="14477"/>
    <col width="0.85546875" customWidth="1" style="305" min="14478" max="14486"/>
    <col width="0.85546875" customWidth="1" style="305" min="14487" max="14493"/>
    <col width="0.85546875" customWidth="1" style="305" min="14494" max="14720"/>
    <col width="0.85546875" customWidth="1" style="305" min="14721" max="14721"/>
    <col width="0.85546875" customWidth="1" style="305" min="14722" max="14724"/>
    <col width="0.85546875" customWidth="1" style="305" min="14725" max="14733"/>
    <col width="0.85546875" customWidth="1" style="305" min="14734" max="14742"/>
    <col width="0.85546875" customWidth="1" style="305" min="14743" max="14749"/>
    <col width="0.85546875" customWidth="1" style="305" min="14750" max="14976"/>
    <col width="0.85546875" customWidth="1" style="305" min="14977" max="14977"/>
    <col width="0.85546875" customWidth="1" style="305" min="14978" max="14980"/>
    <col width="0.85546875" customWidth="1" style="305" min="14981" max="14989"/>
    <col width="0.85546875" customWidth="1" style="305" min="14990" max="14998"/>
    <col width="0.85546875" customWidth="1" style="305" min="14999" max="15005"/>
    <col width="0.85546875" customWidth="1" style="305" min="15006" max="15232"/>
    <col width="0.85546875" customWidth="1" style="305" min="15233" max="15233"/>
    <col width="0.85546875" customWidth="1" style="305" min="15234" max="15236"/>
    <col width="0.85546875" customWidth="1" style="305" min="15237" max="15245"/>
    <col width="0.85546875" customWidth="1" style="305" min="15246" max="15254"/>
    <col width="0.85546875" customWidth="1" style="305" min="15255" max="15261"/>
    <col width="0.85546875" customWidth="1" style="305" min="15262" max="15488"/>
    <col width="0.85546875" customWidth="1" style="305" min="15489" max="15489"/>
    <col width="0.85546875" customWidth="1" style="305" min="15490" max="15492"/>
    <col width="0.85546875" customWidth="1" style="305" min="15493" max="15501"/>
    <col width="0.85546875" customWidth="1" style="305" min="15502" max="15510"/>
    <col width="0.85546875" customWidth="1" style="305" min="15511" max="15517"/>
    <col width="0.85546875" customWidth="1" style="305" min="15518" max="15744"/>
    <col width="0.85546875" customWidth="1" style="305" min="15745" max="15745"/>
    <col width="0.85546875" customWidth="1" style="305" min="15746" max="15748"/>
    <col width="0.85546875" customWidth="1" style="305" min="15749" max="15757"/>
    <col width="0.85546875" customWidth="1" style="305" min="15758" max="15766"/>
    <col width="0.85546875" customWidth="1" style="305" min="15767" max="15773"/>
    <col width="0.85546875" customWidth="1" style="305" min="15774" max="16000"/>
    <col width="0.85546875" customWidth="1" style="305" min="16001" max="16001"/>
    <col width="0.85546875" customWidth="1" style="305" min="16002" max="16004"/>
    <col width="0.85546875" customWidth="1" style="305" min="16005" max="16013"/>
    <col width="0.85546875" customWidth="1" style="305" min="16014" max="16022"/>
    <col width="0.85546875" customWidth="1" style="305" min="16023" max="16029"/>
    <col width="0.85546875" customWidth="1" style="305" min="16030" max="16256"/>
    <col width="0.85546875" customWidth="1" style="305" min="16257" max="16257"/>
    <col width="0.85546875" customWidth="1" style="305" min="16258" max="16260"/>
    <col width="0.85546875" customWidth="1" style="305" min="16261" max="16269"/>
    <col width="0.85546875" customWidth="1" style="305" min="16270" max="16278"/>
    <col width="0.85546875" customWidth="1" style="305" min="16279" max="16285"/>
    <col width="0.85546875" customWidth="1" style="305" min="16286" max="16384"/>
  </cols>
  <sheetData>
    <row r="1" ht="12" customFormat="1" customHeight="1" s="446">
      <c r="IB1" s="437" t="inlineStr">
        <is>
          <t>Форма № 2А (2Ад)</t>
        </is>
      </c>
    </row>
    <row r="2" ht="6" customFormat="1" customHeight="1" s="446"/>
    <row r="3" ht="15" customFormat="1" customHeight="1" s="1314">
      <c r="A3" s="864" t="inlineStr">
        <is>
          <t>Плановая калькуляция затрат на продукцию и отчетная калькуляция затрат на аналог</t>
        </is>
      </c>
    </row>
    <row r="4" ht="14.25" customFormat="1" customHeight="1" s="867">
      <c r="CX4" s="865" t="n"/>
      <c r="CY4" s="865" t="n"/>
      <c r="CZ4" s="865" t="inlineStr">
        <is>
          <t xml:space="preserve">на </t>
        </is>
      </c>
      <c r="DF4" s="866" t="inlineStr">
        <is>
          <t>2026-2027</t>
        </is>
      </c>
      <c r="DG4" s="1409" t="n"/>
      <c r="DH4" s="1409" t="n"/>
      <c r="DI4" s="1409" t="n"/>
      <c r="DJ4" s="1409" t="n"/>
      <c r="DK4" s="1409" t="n"/>
      <c r="DL4" s="1409" t="n"/>
      <c r="DM4" s="1409" t="n"/>
      <c r="DN4" s="1409" t="n"/>
      <c r="DO4" s="1409" t="n"/>
      <c r="DP4" s="1409" t="n"/>
      <c r="DQ4" s="1409" t="n"/>
      <c r="DR4" s="1409" t="n"/>
      <c r="DS4" s="1409" t="n"/>
      <c r="DT4" s="1409" t="n"/>
      <c r="DU4" s="1409" t="n"/>
      <c r="DV4" s="1409" t="n"/>
      <c r="DW4" s="1409" t="n"/>
      <c r="DX4" s="867" t="inlineStr">
        <is>
          <t>гг.</t>
        </is>
      </c>
    </row>
    <row r="5" ht="6" customFormat="1" customHeight="1" s="1340"/>
    <row r="6" ht="27" customFormat="1" customHeight="1" s="446">
      <c r="G6" s="293" t="inlineStr">
        <is>
          <t>Наименование, шифр товара, работы (услуги),</t>
        </is>
      </c>
      <c r="BK6" s="882" t="inlineStr">
        <is>
          <t>ТЕМА</t>
        </is>
      </c>
      <c r="BL6" s="1409" t="n"/>
      <c r="BM6" s="1409" t="n"/>
      <c r="BN6" s="1409" t="n"/>
      <c r="BO6" s="1409" t="n"/>
      <c r="BP6" s="1409" t="n"/>
      <c r="BQ6" s="1409" t="n"/>
      <c r="BR6" s="1409" t="n"/>
      <c r="BS6" s="1409" t="n"/>
      <c r="BT6" s="1409" t="n"/>
      <c r="BU6" s="1409" t="n"/>
      <c r="BV6" s="1409" t="n"/>
      <c r="BW6" s="1409" t="n"/>
      <c r="BX6" s="1409" t="n"/>
      <c r="BY6" s="1409" t="n"/>
      <c r="BZ6" s="1409" t="n"/>
      <c r="CA6" s="1409" t="n"/>
      <c r="CB6" s="1409" t="n"/>
      <c r="CC6" s="1409" t="n"/>
      <c r="CD6" s="1409" t="n"/>
      <c r="CE6" s="1409" t="n"/>
      <c r="CF6" s="1409" t="n"/>
      <c r="CG6" s="1409" t="n"/>
      <c r="CH6" s="1409" t="n"/>
      <c r="CI6" s="1409" t="n"/>
      <c r="CJ6" s="1409" t="n"/>
      <c r="CK6" s="1409" t="n"/>
      <c r="CL6" s="1409" t="n"/>
      <c r="CM6" s="1409" t="n"/>
      <c r="CN6" s="1409" t="n"/>
      <c r="CO6" s="1409" t="n"/>
      <c r="CP6" s="1409" t="n"/>
      <c r="CQ6" s="1409" t="n"/>
      <c r="CR6" s="1409" t="n"/>
      <c r="CS6" s="1409" t="n"/>
      <c r="CT6" s="1409" t="n"/>
      <c r="CU6" s="1409" t="n"/>
      <c r="CV6" s="1409" t="n"/>
      <c r="CW6" s="1409" t="n"/>
      <c r="CX6" s="1409" t="n"/>
      <c r="CY6" s="1409" t="n"/>
      <c r="CZ6" s="1409" t="n"/>
      <c r="DA6" s="1409" t="n"/>
      <c r="DB6" s="1409" t="n"/>
      <c r="DC6" s="1409" t="n"/>
      <c r="DD6" s="1409" t="n"/>
      <c r="DE6" s="1409" t="n"/>
      <c r="DF6" s="1409" t="n"/>
      <c r="DG6" s="1409" t="n"/>
      <c r="DH6" s="1409" t="n"/>
      <c r="DI6" s="1409" t="n"/>
      <c r="DJ6" s="1409" t="n"/>
      <c r="DK6" s="1409" t="n"/>
      <c r="DL6" s="1409" t="n"/>
      <c r="DM6" s="1409" t="n"/>
      <c r="DN6" s="1409" t="n"/>
      <c r="DO6" s="1409" t="n"/>
      <c r="DP6" s="1409" t="n"/>
      <c r="DQ6" s="1409" t="n"/>
      <c r="DR6" s="1409" t="n"/>
      <c r="DS6" s="1409" t="n"/>
      <c r="DT6" s="1409" t="n"/>
      <c r="DU6" s="1409" t="n"/>
      <c r="DV6" s="1409" t="n"/>
      <c r="DW6" s="1409" t="n"/>
      <c r="DX6" s="1409" t="n"/>
      <c r="DY6" s="1409" t="n"/>
      <c r="DZ6" s="1409" t="n"/>
      <c r="EA6" s="1409" t="n"/>
      <c r="EB6" s="1409" t="n"/>
      <c r="EC6" s="1409" t="n"/>
      <c r="ED6" s="1409" t="n"/>
      <c r="EE6" s="1409" t="n"/>
      <c r="EF6" s="1409" t="n"/>
      <c r="EG6" s="1409" t="n"/>
      <c r="EH6" s="1409" t="n"/>
      <c r="EI6" s="1409" t="n"/>
      <c r="EJ6" s="1409" t="n"/>
      <c r="EK6" s="1409" t="n"/>
      <c r="EL6" s="1409" t="n"/>
      <c r="EM6" s="1409" t="n"/>
      <c r="EN6" s="1409" t="n"/>
      <c r="EO6" s="1409" t="n"/>
      <c r="EP6" s="1409" t="n"/>
      <c r="EQ6" s="1409" t="n"/>
      <c r="ER6" s="1409" t="n"/>
      <c r="ES6" s="1409" t="n"/>
      <c r="ET6" s="1409" t="n"/>
      <c r="EU6" s="1409" t="n"/>
      <c r="EV6" s="1409" t="n"/>
      <c r="EW6" s="1409" t="n"/>
      <c r="EX6" s="1409" t="n"/>
      <c r="EY6" s="1409" t="n"/>
      <c r="EZ6" s="1409" t="n"/>
      <c r="FA6" s="1409" t="n"/>
      <c r="FB6" s="1409" t="n"/>
      <c r="FC6" s="1409" t="n"/>
      <c r="FD6" s="1409" t="n"/>
      <c r="FE6" s="1409" t="n"/>
      <c r="FF6" s="1409" t="n"/>
      <c r="FG6" s="1409" t="n"/>
      <c r="FH6" s="1409" t="n"/>
      <c r="FI6" s="1409" t="n"/>
      <c r="FJ6" s="1409" t="n"/>
      <c r="FK6" s="1409" t="n"/>
      <c r="FL6" s="1409" t="n"/>
      <c r="FM6" s="1409" t="n"/>
      <c r="FN6" s="1409" t="n"/>
      <c r="FO6" s="1409" t="n"/>
      <c r="FP6" s="1409" t="n"/>
      <c r="FQ6" s="1409" t="n"/>
      <c r="FR6" s="1409" t="n"/>
      <c r="FS6" s="1409" t="n"/>
      <c r="FT6" s="1409" t="n"/>
      <c r="FU6" s="1409" t="n"/>
      <c r="FV6" s="1409" t="n"/>
      <c r="FW6" s="1409" t="n"/>
      <c r="FX6" s="1409" t="n"/>
      <c r="FY6" s="1409" t="n"/>
      <c r="FZ6" s="1409" t="n"/>
      <c r="GA6" s="1409" t="n"/>
      <c r="GB6" s="1409" t="n"/>
      <c r="GC6" s="1409" t="n"/>
      <c r="GD6" s="1409" t="n"/>
      <c r="GE6" s="1409" t="n"/>
      <c r="GF6" s="1409" t="n"/>
      <c r="GG6" s="1409" t="n"/>
      <c r="GH6" s="1409" t="n"/>
      <c r="GI6" s="1409" t="n"/>
      <c r="GJ6" s="1409" t="n"/>
      <c r="GK6" s="1409" t="n"/>
      <c r="GL6" s="1409" t="n"/>
      <c r="GM6" s="1409" t="n"/>
      <c r="GN6" s="1409" t="n"/>
      <c r="GO6" s="1409" t="n"/>
      <c r="GP6" s="1409" t="n"/>
      <c r="GQ6" s="1409" t="n"/>
      <c r="GR6" s="1409" t="n"/>
      <c r="GS6" s="1409" t="n"/>
      <c r="GT6" s="1409" t="n"/>
      <c r="GU6" s="1409" t="n"/>
      <c r="GV6" s="1409" t="n"/>
      <c r="GW6" s="1409" t="n"/>
      <c r="GX6" s="1409" t="n"/>
      <c r="GY6" s="1409" t="n"/>
      <c r="GZ6" s="1409" t="n"/>
      <c r="HA6" s="1409" t="n"/>
      <c r="HB6" s="1409" t="n"/>
      <c r="HC6" s="1409" t="n"/>
      <c r="HD6" s="1409" t="n"/>
      <c r="HE6" s="1409" t="n"/>
      <c r="HF6" s="1409" t="n"/>
      <c r="HG6" s="1409" t="n"/>
      <c r="HH6" s="1409" t="n"/>
      <c r="HI6" s="1409" t="n"/>
      <c r="HJ6" s="1409" t="n"/>
      <c r="HK6" s="1409" t="n"/>
      <c r="HL6" s="1409" t="n"/>
      <c r="HM6" s="1409" t="n"/>
      <c r="HN6" s="1409" t="n"/>
      <c r="HO6" s="1409" t="n"/>
      <c r="HP6" s="1409" t="n"/>
      <c r="HQ6" s="1409" t="n"/>
      <c r="HR6" s="1409" t="n"/>
      <c r="HS6" s="1409" t="n"/>
      <c r="HT6" s="1409" t="n"/>
      <c r="HU6" s="1409" t="n"/>
      <c r="HV6" s="1409" t="n"/>
    </row>
    <row r="7" ht="12" customFormat="1" customHeight="1" s="446">
      <c r="G7" s="446" t="inlineStr">
        <is>
          <t>№ этапа</t>
        </is>
      </c>
      <c r="BK7" s="882" t="n">
        <v>1</v>
      </c>
      <c r="BL7" s="1409" t="n"/>
      <c r="BM7" s="1409" t="n"/>
      <c r="BN7" s="1409" t="n"/>
      <c r="BO7" s="1409" t="n"/>
      <c r="BP7" s="1409" t="n"/>
      <c r="BQ7" s="1409" t="n"/>
      <c r="BR7" s="1409" t="n"/>
      <c r="BS7" s="1409" t="n"/>
      <c r="BT7" s="1409" t="n"/>
      <c r="BU7" s="1409" t="n"/>
      <c r="BV7" s="1409" t="n"/>
      <c r="BW7" s="1409" t="n"/>
      <c r="BX7" s="1409" t="n"/>
      <c r="BY7" s="1409" t="n"/>
      <c r="BZ7" s="1409" t="n"/>
      <c r="CA7" s="1409" t="n"/>
      <c r="CB7" s="1409" t="n"/>
      <c r="CC7" s="1409" t="n"/>
      <c r="CD7" s="1409" t="n"/>
      <c r="CE7" s="1409" t="n"/>
      <c r="CF7" s="1409" t="n"/>
      <c r="CG7" s="1409" t="n"/>
      <c r="CH7" s="1409" t="n"/>
      <c r="CI7" s="1409" t="n"/>
      <c r="CJ7" s="1409" t="n"/>
      <c r="CK7" s="1409" t="n"/>
      <c r="CL7" s="1409" t="n"/>
      <c r="CM7" s="1409" t="n"/>
      <c r="CN7" s="1409" t="n"/>
      <c r="CO7" s="1409" t="n"/>
      <c r="CP7" s="1409" t="n"/>
      <c r="CQ7" s="1409" t="n"/>
      <c r="CR7" s="1409" t="n"/>
      <c r="CS7" s="1409" t="n"/>
      <c r="CT7" s="1409" t="n"/>
      <c r="CU7" s="1409" t="n"/>
      <c r="CV7" s="1409" t="n"/>
      <c r="CW7" s="1409" t="n"/>
      <c r="CX7" s="1409" t="n"/>
      <c r="CY7" s="1409" t="n"/>
      <c r="CZ7" s="1409" t="n"/>
      <c r="DA7" s="1409" t="n"/>
      <c r="DB7" s="1409" t="n"/>
      <c r="DC7" s="1409" t="n"/>
      <c r="DD7" s="1409" t="n"/>
      <c r="DE7" s="1409" t="n"/>
      <c r="DF7" s="1409" t="n"/>
      <c r="DG7" s="1409" t="n"/>
      <c r="DH7" s="1409" t="n"/>
      <c r="DI7" s="1409" t="n"/>
      <c r="DJ7" s="1409" t="n"/>
      <c r="DK7" s="1409" t="n"/>
      <c r="DL7" s="1409" t="n"/>
      <c r="DM7" s="1409" t="n"/>
      <c r="DN7" s="1409" t="n"/>
      <c r="DO7" s="1409" t="n"/>
      <c r="DP7" s="1409" t="n"/>
      <c r="DQ7" s="1409" t="n"/>
      <c r="DR7" s="1409" t="n"/>
      <c r="DS7" s="1409" t="n"/>
      <c r="DT7" s="1409" t="n"/>
      <c r="DU7" s="1409" t="n"/>
      <c r="DV7" s="1409" t="n"/>
      <c r="DW7" s="1409" t="n"/>
      <c r="DX7" s="1409" t="n"/>
      <c r="DY7" s="1409" t="n"/>
      <c r="DZ7" s="1409" t="n"/>
      <c r="EA7" s="1409" t="n"/>
      <c r="EB7" s="1409" t="n"/>
      <c r="EC7" s="1409" t="n"/>
      <c r="ED7" s="1409" t="n"/>
      <c r="EE7" s="1409" t="n"/>
      <c r="EF7" s="1409" t="n"/>
      <c r="EG7" s="1409" t="n"/>
      <c r="EH7" s="1409" t="n"/>
      <c r="EI7" s="1409" t="n"/>
      <c r="EJ7" s="1409" t="n"/>
      <c r="EK7" s="1409" t="n"/>
      <c r="EL7" s="1409" t="n"/>
      <c r="EM7" s="1409" t="n"/>
      <c r="EN7" s="1409" t="n"/>
      <c r="EO7" s="1409" t="n"/>
      <c r="EP7" s="1409" t="n"/>
      <c r="EQ7" s="1409" t="n"/>
      <c r="ER7" s="1409" t="n"/>
      <c r="ES7" s="1409" t="n"/>
      <c r="ET7" s="1409" t="n"/>
      <c r="EU7" s="1409" t="n"/>
      <c r="EV7" s="1409" t="n"/>
      <c r="EW7" s="1409" t="n"/>
      <c r="EX7" s="1409" t="n"/>
      <c r="EY7" s="1409" t="n"/>
      <c r="EZ7" s="1409" t="n"/>
      <c r="FA7" s="1409" t="n"/>
      <c r="FB7" s="1409" t="n"/>
      <c r="FC7" s="1409" t="n"/>
      <c r="FD7" s="1409" t="n"/>
      <c r="FE7" s="1409" t="n"/>
      <c r="FF7" s="1409" t="n"/>
      <c r="FG7" s="1409" t="n"/>
      <c r="FH7" s="1409" t="n"/>
      <c r="FI7" s="1409" t="n"/>
      <c r="FJ7" s="1409" t="n"/>
      <c r="FK7" s="1409" t="n"/>
      <c r="FL7" s="1409" t="n"/>
      <c r="FM7" s="1409" t="n"/>
      <c r="FN7" s="1409" t="n"/>
      <c r="FO7" s="1409" t="n"/>
      <c r="FP7" s="1409" t="n"/>
      <c r="FQ7" s="1409" t="n"/>
      <c r="FR7" s="1409" t="n"/>
      <c r="FS7" s="1409" t="n"/>
      <c r="FT7" s="1409" t="n"/>
      <c r="FU7" s="1409" t="n"/>
      <c r="FV7" s="1409" t="n"/>
      <c r="FW7" s="1409" t="n"/>
      <c r="FX7" s="1409" t="n"/>
      <c r="FY7" s="1409" t="n"/>
      <c r="FZ7" s="1409" t="n"/>
      <c r="GA7" s="1409" t="n"/>
      <c r="GB7" s="1409" t="n"/>
      <c r="GC7" s="1409" t="n"/>
      <c r="GD7" s="1409" t="n"/>
      <c r="GE7" s="1409" t="n"/>
      <c r="GF7" s="1409" t="n"/>
      <c r="GG7" s="1409" t="n"/>
      <c r="GH7" s="1409" t="n"/>
      <c r="GI7" s="1409" t="n"/>
      <c r="GJ7" s="1409" t="n"/>
      <c r="GK7" s="1409" t="n"/>
      <c r="GL7" s="1409" t="n"/>
      <c r="GM7" s="1409" t="n"/>
      <c r="GN7" s="1409" t="n"/>
      <c r="GO7" s="1409" t="n"/>
      <c r="GP7" s="1409" t="n"/>
      <c r="GQ7" s="1409" t="n"/>
      <c r="GR7" s="1409" t="n"/>
      <c r="GS7" s="1409" t="n"/>
      <c r="GT7" s="1409" t="n"/>
      <c r="GU7" s="1409" t="n"/>
      <c r="GV7" s="1409" t="n"/>
      <c r="GW7" s="1409" t="n"/>
      <c r="GX7" s="1409" t="n"/>
      <c r="GY7" s="1409" t="n"/>
      <c r="GZ7" s="1409" t="n"/>
      <c r="HA7" s="1409" t="n"/>
      <c r="HB7" s="1409" t="n"/>
      <c r="HC7" s="1409" t="n"/>
      <c r="HD7" s="1409" t="n"/>
      <c r="HE7" s="1409" t="n"/>
      <c r="HF7" s="1409" t="n"/>
      <c r="HG7" s="1409" t="n"/>
      <c r="HH7" s="1409" t="n"/>
      <c r="HI7" s="1409" t="n"/>
      <c r="HJ7" s="1409" t="n"/>
      <c r="HK7" s="1409" t="n"/>
      <c r="HL7" s="1409" t="n"/>
      <c r="HM7" s="1409" t="n"/>
      <c r="HN7" s="1409" t="n"/>
      <c r="HO7" s="1409" t="n"/>
      <c r="HP7" s="1409" t="n"/>
      <c r="HQ7" s="1409" t="n"/>
      <c r="HR7" s="1409" t="n"/>
      <c r="HS7" s="1409" t="n"/>
      <c r="HT7" s="1409" t="n"/>
      <c r="HU7" s="1409" t="n"/>
      <c r="HV7" s="1409" t="n"/>
    </row>
    <row r="8" ht="12" customFormat="1" customHeight="1" s="446">
      <c r="G8" s="446" t="inlineStr">
        <is>
          <t>Код по ОКП/ОКПД2 (шифр)</t>
        </is>
      </c>
      <c r="BK8" s="949" t="n"/>
      <c r="BL8" s="1409" t="n"/>
      <c r="BM8" s="1409" t="n"/>
      <c r="BN8" s="1409" t="n"/>
      <c r="BO8" s="1409" t="n"/>
      <c r="BP8" s="1409" t="n"/>
      <c r="BQ8" s="1409" t="n"/>
      <c r="BR8" s="1409" t="n"/>
      <c r="BS8" s="1409" t="n"/>
      <c r="BT8" s="1409" t="n"/>
      <c r="BU8" s="1409" t="n"/>
      <c r="BV8" s="1409" t="n"/>
      <c r="BW8" s="1409" t="n"/>
      <c r="BX8" s="1409" t="n"/>
      <c r="BY8" s="1409" t="n"/>
      <c r="BZ8" s="1409" t="n"/>
      <c r="CA8" s="1409" t="n"/>
      <c r="CB8" s="1409" t="n"/>
      <c r="CC8" s="1409" t="n"/>
      <c r="CD8" s="1409" t="n"/>
      <c r="CE8" s="1409" t="n"/>
      <c r="CF8" s="1409" t="n"/>
      <c r="CG8" s="1409" t="n"/>
      <c r="CH8" s="1409" t="n"/>
      <c r="CI8" s="1409" t="n"/>
      <c r="CJ8" s="1409" t="n"/>
      <c r="CK8" s="1409" t="n"/>
      <c r="CL8" s="1409" t="n"/>
      <c r="CM8" s="1409" t="n"/>
      <c r="CN8" s="1409" t="n"/>
      <c r="CO8" s="1409" t="n"/>
      <c r="CP8" s="1409" t="n"/>
      <c r="CQ8" s="1409" t="n"/>
      <c r="CR8" s="1409" t="n"/>
      <c r="CS8" s="1409" t="n"/>
      <c r="CT8" s="1409" t="n"/>
      <c r="CU8" s="1409" t="n"/>
      <c r="CV8" s="1409" t="n"/>
      <c r="CW8" s="1409" t="n"/>
      <c r="CX8" s="1409" t="n"/>
      <c r="CY8" s="1409" t="n"/>
      <c r="CZ8" s="1409" t="n"/>
      <c r="DA8" s="1409" t="n"/>
      <c r="DB8" s="1409" t="n"/>
      <c r="DC8" s="1409" t="n"/>
      <c r="DD8" s="1409" t="n"/>
      <c r="DE8" s="1409" t="n"/>
      <c r="DF8" s="1409" t="n"/>
      <c r="DG8" s="1409" t="n"/>
      <c r="DH8" s="1409" t="n"/>
      <c r="DI8" s="1409" t="n"/>
      <c r="DJ8" s="1409" t="n"/>
      <c r="DK8" s="1409" t="n"/>
      <c r="DL8" s="1409" t="n"/>
      <c r="DM8" s="1409" t="n"/>
      <c r="DN8" s="1409" t="n"/>
      <c r="DO8" s="1409" t="n"/>
      <c r="DP8" s="1409" t="n"/>
      <c r="DQ8" s="1409" t="n"/>
      <c r="DR8" s="1409" t="n"/>
      <c r="DS8" s="1409" t="n"/>
      <c r="DT8" s="1409" t="n"/>
      <c r="DU8" s="1409" t="n"/>
      <c r="DV8" s="1409" t="n"/>
      <c r="DW8" s="1409" t="n"/>
      <c r="DX8" s="1409" t="n"/>
      <c r="DY8" s="1409" t="n"/>
      <c r="DZ8" s="1409" t="n"/>
      <c r="EA8" s="1409" t="n"/>
      <c r="EB8" s="1409" t="n"/>
      <c r="EC8" s="1409" t="n"/>
      <c r="ED8" s="1409" t="n"/>
      <c r="EE8" s="1409" t="n"/>
      <c r="EF8" s="1409" t="n"/>
      <c r="EG8" s="1409" t="n"/>
      <c r="EH8" s="1409" t="n"/>
      <c r="EI8" s="1409" t="n"/>
      <c r="EJ8" s="1409" t="n"/>
      <c r="EK8" s="1409" t="n"/>
      <c r="EL8" s="1409" t="n"/>
      <c r="EM8" s="1409" t="n"/>
      <c r="EN8" s="1409" t="n"/>
      <c r="EO8" s="1409" t="n"/>
      <c r="EP8" s="1409" t="n"/>
      <c r="EQ8" s="1409" t="n"/>
      <c r="ER8" s="1409" t="n"/>
      <c r="ES8" s="1409" t="n"/>
      <c r="ET8" s="1409" t="n"/>
      <c r="EU8" s="1409" t="n"/>
      <c r="EV8" s="1409" t="n"/>
      <c r="EW8" s="1409" t="n"/>
      <c r="EX8" s="1409" t="n"/>
      <c r="EY8" s="1409" t="n"/>
      <c r="EZ8" s="1409" t="n"/>
      <c r="FA8" s="1409" t="n"/>
      <c r="FB8" s="1409" t="n"/>
      <c r="FC8" s="1409" t="n"/>
      <c r="FD8" s="1409" t="n"/>
      <c r="FE8" s="1409" t="n"/>
      <c r="FF8" s="1409" t="n"/>
      <c r="FG8" s="1409" t="n"/>
      <c r="FH8" s="1409" t="n"/>
      <c r="FI8" s="1409" t="n"/>
      <c r="FJ8" s="1409" t="n"/>
      <c r="FK8" s="1409" t="n"/>
      <c r="FL8" s="1409" t="n"/>
      <c r="FM8" s="1409" t="n"/>
      <c r="FN8" s="1409" t="n"/>
      <c r="FO8" s="1409" t="n"/>
      <c r="FP8" s="1409" t="n"/>
      <c r="FQ8" s="1409" t="n"/>
      <c r="FR8" s="1409" t="n"/>
      <c r="FS8" s="1409" t="n"/>
      <c r="FT8" s="1409" t="n"/>
      <c r="FU8" s="1409" t="n"/>
      <c r="FV8" s="1409" t="n"/>
      <c r="FW8" s="1409" t="n"/>
      <c r="FX8" s="1409" t="n"/>
      <c r="FY8" s="1409" t="n"/>
      <c r="FZ8" s="1409" t="n"/>
      <c r="GA8" s="1409" t="n"/>
      <c r="GB8" s="1409" t="n"/>
      <c r="GC8" s="1409" t="n"/>
      <c r="GD8" s="1409" t="n"/>
      <c r="GE8" s="1409" t="n"/>
      <c r="GF8" s="1409" t="n"/>
      <c r="GG8" s="1409" t="n"/>
      <c r="GH8" s="1409" t="n"/>
      <c r="GI8" s="1409" t="n"/>
      <c r="GJ8" s="1409" t="n"/>
      <c r="GK8" s="1409" t="n"/>
      <c r="GL8" s="1409" t="n"/>
      <c r="GM8" s="1409" t="n"/>
      <c r="GN8" s="1409" t="n"/>
      <c r="GO8" s="1409" t="n"/>
      <c r="GP8" s="1409" t="n"/>
      <c r="GQ8" s="1409" t="n"/>
      <c r="GR8" s="1409" t="n"/>
      <c r="GS8" s="1409" t="n"/>
      <c r="GT8" s="1409" t="n"/>
      <c r="GU8" s="1409" t="n"/>
      <c r="GV8" s="1409" t="n"/>
      <c r="GW8" s="1409" t="n"/>
      <c r="GX8" s="1409" t="n"/>
      <c r="GY8" s="1409" t="n"/>
      <c r="GZ8" s="1409" t="n"/>
      <c r="HA8" s="1409" t="n"/>
      <c r="HB8" s="1409" t="n"/>
      <c r="HC8" s="1409" t="n"/>
      <c r="HD8" s="1409" t="n"/>
      <c r="HE8" s="1409" t="n"/>
      <c r="HF8" s="1409" t="n"/>
      <c r="HG8" s="1409" t="n"/>
      <c r="HH8" s="1409" t="n"/>
      <c r="HI8" s="1409" t="n"/>
      <c r="HJ8" s="1409" t="n"/>
      <c r="HK8" s="1409" t="n"/>
      <c r="HL8" s="1409" t="n"/>
      <c r="HM8" s="1409" t="n"/>
      <c r="HN8" s="1409" t="n"/>
      <c r="HO8" s="1409" t="n"/>
      <c r="HP8" s="1409" t="n"/>
      <c r="HQ8" s="1409" t="n"/>
      <c r="HR8" s="1409" t="n"/>
      <c r="HS8" s="1409" t="n"/>
      <c r="HT8" s="1409" t="n"/>
      <c r="HU8" s="1409" t="n"/>
      <c r="HV8" s="1409" t="n"/>
    </row>
    <row r="9" ht="12" customFormat="1" customHeight="1" s="446">
      <c r="G9" s="446" t="inlineStr">
        <is>
          <t>Код по ЕКПС (при наличии)</t>
        </is>
      </c>
      <c r="BK9" s="949" t="n"/>
      <c r="BL9" s="1409" t="n"/>
      <c r="BM9" s="1409" t="n"/>
      <c r="BN9" s="1409" t="n"/>
      <c r="BO9" s="1409" t="n"/>
      <c r="BP9" s="1409" t="n"/>
      <c r="BQ9" s="1409" t="n"/>
      <c r="BR9" s="1409" t="n"/>
      <c r="BS9" s="1409" t="n"/>
      <c r="BT9" s="1409" t="n"/>
      <c r="BU9" s="1409" t="n"/>
      <c r="BV9" s="1409" t="n"/>
      <c r="BW9" s="1409" t="n"/>
      <c r="BX9" s="1409" t="n"/>
      <c r="BY9" s="1409" t="n"/>
      <c r="BZ9" s="1409" t="n"/>
      <c r="CA9" s="1409" t="n"/>
      <c r="CB9" s="1409" t="n"/>
      <c r="CC9" s="1409" t="n"/>
      <c r="CD9" s="1409" t="n"/>
      <c r="CE9" s="1409" t="n"/>
      <c r="CF9" s="1409" t="n"/>
      <c r="CG9" s="1409" t="n"/>
      <c r="CH9" s="1409" t="n"/>
      <c r="CI9" s="1409" t="n"/>
      <c r="CJ9" s="1409" t="n"/>
      <c r="CK9" s="1409" t="n"/>
      <c r="CL9" s="1409" t="n"/>
      <c r="CM9" s="1409" t="n"/>
      <c r="CN9" s="1409" t="n"/>
      <c r="CO9" s="1409" t="n"/>
      <c r="CP9" s="1409" t="n"/>
      <c r="CQ9" s="1409" t="n"/>
      <c r="CR9" s="1409" t="n"/>
      <c r="CS9" s="1409" t="n"/>
      <c r="CT9" s="1409" t="n"/>
      <c r="CU9" s="1409" t="n"/>
      <c r="CV9" s="1409" t="n"/>
      <c r="CW9" s="1409" t="n"/>
      <c r="CX9" s="1409" t="n"/>
      <c r="CY9" s="1409" t="n"/>
      <c r="CZ9" s="1409" t="n"/>
      <c r="DA9" s="1409" t="n"/>
      <c r="DB9" s="1409" t="n"/>
      <c r="DC9" s="1409" t="n"/>
      <c r="DD9" s="1409" t="n"/>
      <c r="DE9" s="1409" t="n"/>
      <c r="DF9" s="1409" t="n"/>
      <c r="DG9" s="1409" t="n"/>
      <c r="DH9" s="1409" t="n"/>
      <c r="DI9" s="1409" t="n"/>
      <c r="DJ9" s="1409" t="n"/>
      <c r="DK9" s="1409" t="n"/>
      <c r="DL9" s="1409" t="n"/>
      <c r="DM9" s="1409" t="n"/>
      <c r="DN9" s="1409" t="n"/>
      <c r="DO9" s="1409" t="n"/>
      <c r="DP9" s="1409" t="n"/>
      <c r="DQ9" s="1409" t="n"/>
      <c r="DR9" s="1409" t="n"/>
      <c r="DS9" s="1409" t="n"/>
      <c r="DT9" s="1409" t="n"/>
      <c r="DU9" s="1409" t="n"/>
      <c r="DV9" s="1409" t="n"/>
      <c r="DW9" s="1409" t="n"/>
      <c r="DX9" s="1409" t="n"/>
      <c r="DY9" s="1409" t="n"/>
      <c r="DZ9" s="1409" t="n"/>
      <c r="EA9" s="1409" t="n"/>
      <c r="EB9" s="1409" t="n"/>
      <c r="EC9" s="1409" t="n"/>
      <c r="ED9" s="1409" t="n"/>
      <c r="EE9" s="1409" t="n"/>
      <c r="EF9" s="1409" t="n"/>
      <c r="EG9" s="1409" t="n"/>
      <c r="EH9" s="1409" t="n"/>
      <c r="EI9" s="1409" t="n"/>
      <c r="EJ9" s="1409" t="n"/>
      <c r="EK9" s="1409" t="n"/>
      <c r="EL9" s="1409" t="n"/>
      <c r="EM9" s="1409" t="n"/>
      <c r="EN9" s="1409" t="n"/>
      <c r="EO9" s="1409" t="n"/>
      <c r="EP9" s="1409" t="n"/>
      <c r="EQ9" s="1409" t="n"/>
      <c r="ER9" s="1409" t="n"/>
      <c r="ES9" s="1409" t="n"/>
      <c r="ET9" s="1409" t="n"/>
      <c r="EU9" s="1409" t="n"/>
      <c r="EV9" s="1409" t="n"/>
      <c r="EW9" s="1409" t="n"/>
      <c r="EX9" s="1409" t="n"/>
      <c r="EY9" s="1409" t="n"/>
      <c r="EZ9" s="1409" t="n"/>
      <c r="FA9" s="1409" t="n"/>
      <c r="FB9" s="1409" t="n"/>
      <c r="FC9" s="1409" t="n"/>
      <c r="FD9" s="1409" t="n"/>
      <c r="FE9" s="1409" t="n"/>
      <c r="FF9" s="1409" t="n"/>
      <c r="FG9" s="1409" t="n"/>
      <c r="FH9" s="1409" t="n"/>
      <c r="FI9" s="1409" t="n"/>
      <c r="FJ9" s="1409" t="n"/>
      <c r="FK9" s="1409" t="n"/>
      <c r="FL9" s="1409" t="n"/>
      <c r="FM9" s="1409" t="n"/>
      <c r="FN9" s="1409" t="n"/>
      <c r="FO9" s="1409" t="n"/>
      <c r="FP9" s="1409" t="n"/>
      <c r="FQ9" s="1409" t="n"/>
      <c r="FR9" s="1409" t="n"/>
      <c r="FS9" s="1409" t="n"/>
      <c r="FT9" s="1409" t="n"/>
      <c r="FU9" s="1409" t="n"/>
      <c r="FV9" s="1409" t="n"/>
      <c r="FW9" s="1409" t="n"/>
      <c r="FX9" s="1409" t="n"/>
      <c r="FY9" s="1409" t="n"/>
      <c r="FZ9" s="1409" t="n"/>
      <c r="GA9" s="1409" t="n"/>
      <c r="GB9" s="1409" t="n"/>
      <c r="GC9" s="1409" t="n"/>
      <c r="GD9" s="1409" t="n"/>
      <c r="GE9" s="1409" t="n"/>
      <c r="GF9" s="1409" t="n"/>
      <c r="GG9" s="1409" t="n"/>
      <c r="GH9" s="1409" t="n"/>
      <c r="GI9" s="1409" t="n"/>
      <c r="GJ9" s="1409" t="n"/>
      <c r="GK9" s="1409" t="n"/>
      <c r="GL9" s="1409" t="n"/>
      <c r="GM9" s="1409" t="n"/>
      <c r="GN9" s="1409" t="n"/>
      <c r="GO9" s="1409" t="n"/>
      <c r="GP9" s="1409" t="n"/>
      <c r="GQ9" s="1409" t="n"/>
      <c r="GR9" s="1409" t="n"/>
      <c r="GS9" s="1409" t="n"/>
      <c r="GT9" s="1409" t="n"/>
      <c r="GU9" s="1409" t="n"/>
      <c r="GV9" s="1409" t="n"/>
      <c r="GW9" s="1409" t="n"/>
      <c r="GX9" s="1409" t="n"/>
      <c r="GY9" s="1409" t="n"/>
      <c r="GZ9" s="1409" t="n"/>
      <c r="HA9" s="1409" t="n"/>
      <c r="HB9" s="1409" t="n"/>
      <c r="HC9" s="1409" t="n"/>
      <c r="HD9" s="1409" t="n"/>
      <c r="HE9" s="1409" t="n"/>
      <c r="HF9" s="1409" t="n"/>
      <c r="HG9" s="1409" t="n"/>
      <c r="HH9" s="1409" t="n"/>
      <c r="HI9" s="1409" t="n"/>
      <c r="HJ9" s="1409" t="n"/>
      <c r="HK9" s="1409" t="n"/>
      <c r="HL9" s="1409" t="n"/>
      <c r="HM9" s="1409" t="n"/>
      <c r="HN9" s="1409" t="n"/>
      <c r="HO9" s="1409" t="n"/>
      <c r="HP9" s="1409" t="n"/>
      <c r="HQ9" s="1409" t="n"/>
      <c r="HR9" s="1409" t="n"/>
      <c r="HS9" s="1409" t="n"/>
      <c r="HT9" s="1409" t="n"/>
      <c r="HU9" s="1409" t="n"/>
      <c r="HV9" s="1409" t="n"/>
    </row>
    <row r="10" ht="12" customFormat="1" customHeight="1" s="446">
      <c r="G10" s="446" t="inlineStr">
        <is>
          <t>ФНН (при наличии)</t>
        </is>
      </c>
      <c r="BK10" s="949" t="n"/>
      <c r="BL10" s="1409" t="n"/>
      <c r="BM10" s="1409" t="n"/>
      <c r="BN10" s="1409" t="n"/>
      <c r="BO10" s="1409" t="n"/>
      <c r="BP10" s="1409" t="n"/>
      <c r="BQ10" s="1409" t="n"/>
      <c r="BR10" s="1409" t="n"/>
      <c r="BS10" s="1409" t="n"/>
      <c r="BT10" s="1409" t="n"/>
      <c r="BU10" s="1409" t="n"/>
      <c r="BV10" s="1409" t="n"/>
      <c r="BW10" s="1409" t="n"/>
      <c r="BX10" s="1409" t="n"/>
      <c r="BY10" s="1409" t="n"/>
      <c r="BZ10" s="1409" t="n"/>
      <c r="CA10" s="1409" t="n"/>
      <c r="CB10" s="1409" t="n"/>
      <c r="CC10" s="1409" t="n"/>
      <c r="CD10" s="1409" t="n"/>
      <c r="CE10" s="1409" t="n"/>
      <c r="CF10" s="1409" t="n"/>
      <c r="CG10" s="1409" t="n"/>
      <c r="CH10" s="1409" t="n"/>
      <c r="CI10" s="1409" t="n"/>
      <c r="CJ10" s="1409" t="n"/>
      <c r="CK10" s="1409" t="n"/>
      <c r="CL10" s="1409" t="n"/>
      <c r="CM10" s="1409" t="n"/>
      <c r="CN10" s="1409" t="n"/>
      <c r="CO10" s="1409" t="n"/>
      <c r="CP10" s="1409" t="n"/>
      <c r="CQ10" s="1409" t="n"/>
      <c r="CR10" s="1409" t="n"/>
      <c r="CS10" s="1409" t="n"/>
      <c r="CT10" s="1409" t="n"/>
      <c r="CU10" s="1409" t="n"/>
      <c r="CV10" s="1409" t="n"/>
      <c r="CW10" s="1409" t="n"/>
      <c r="CX10" s="1409" t="n"/>
      <c r="CY10" s="1409" t="n"/>
      <c r="CZ10" s="1409" t="n"/>
      <c r="DA10" s="1409" t="n"/>
      <c r="DB10" s="1409" t="n"/>
      <c r="DC10" s="1409" t="n"/>
      <c r="DD10" s="1409" t="n"/>
      <c r="DE10" s="1409" t="n"/>
      <c r="DF10" s="1409" t="n"/>
      <c r="DG10" s="1409" t="n"/>
      <c r="DH10" s="1409" t="n"/>
      <c r="DI10" s="1409" t="n"/>
      <c r="DJ10" s="1409" t="n"/>
      <c r="DK10" s="1409" t="n"/>
      <c r="DL10" s="1409" t="n"/>
      <c r="DM10" s="1409" t="n"/>
      <c r="DN10" s="1409" t="n"/>
      <c r="DO10" s="1409" t="n"/>
      <c r="DP10" s="1409" t="n"/>
      <c r="DQ10" s="1409" t="n"/>
      <c r="DR10" s="1409" t="n"/>
      <c r="DS10" s="1409" t="n"/>
      <c r="DT10" s="1409" t="n"/>
      <c r="DU10" s="1409" t="n"/>
      <c r="DV10" s="1409" t="n"/>
      <c r="DW10" s="1409" t="n"/>
      <c r="DX10" s="1409" t="n"/>
      <c r="DY10" s="1409" t="n"/>
      <c r="DZ10" s="1409" t="n"/>
      <c r="EA10" s="1409" t="n"/>
      <c r="EB10" s="1409" t="n"/>
      <c r="EC10" s="1409" t="n"/>
      <c r="ED10" s="1409" t="n"/>
      <c r="EE10" s="1409" t="n"/>
      <c r="EF10" s="1409" t="n"/>
      <c r="EG10" s="1409" t="n"/>
      <c r="EH10" s="1409" t="n"/>
      <c r="EI10" s="1409" t="n"/>
      <c r="EJ10" s="1409" t="n"/>
      <c r="EK10" s="1409" t="n"/>
      <c r="EL10" s="1409" t="n"/>
      <c r="EM10" s="1409" t="n"/>
      <c r="EN10" s="1409" t="n"/>
      <c r="EO10" s="1409" t="n"/>
      <c r="EP10" s="1409" t="n"/>
      <c r="EQ10" s="1409" t="n"/>
      <c r="ER10" s="1409" t="n"/>
      <c r="ES10" s="1409" t="n"/>
      <c r="ET10" s="1409" t="n"/>
      <c r="EU10" s="1409" t="n"/>
      <c r="EV10" s="1409" t="n"/>
      <c r="EW10" s="1409" t="n"/>
      <c r="EX10" s="1409" t="n"/>
      <c r="EY10" s="1409" t="n"/>
      <c r="EZ10" s="1409" t="n"/>
      <c r="FA10" s="1409" t="n"/>
      <c r="FB10" s="1409" t="n"/>
      <c r="FC10" s="1409" t="n"/>
      <c r="FD10" s="1409" t="n"/>
      <c r="FE10" s="1409" t="n"/>
      <c r="FF10" s="1409" t="n"/>
      <c r="FG10" s="1409" t="n"/>
      <c r="FH10" s="1409" t="n"/>
      <c r="FI10" s="1409" t="n"/>
      <c r="FJ10" s="1409" t="n"/>
      <c r="FK10" s="1409" t="n"/>
      <c r="FL10" s="1409" t="n"/>
      <c r="FM10" s="1409" t="n"/>
      <c r="FN10" s="1409" t="n"/>
      <c r="FO10" s="1409" t="n"/>
      <c r="FP10" s="1409" t="n"/>
      <c r="FQ10" s="1409" t="n"/>
      <c r="FR10" s="1409" t="n"/>
      <c r="FS10" s="1409" t="n"/>
      <c r="FT10" s="1409" t="n"/>
      <c r="FU10" s="1409" t="n"/>
      <c r="FV10" s="1409" t="n"/>
      <c r="FW10" s="1409" t="n"/>
      <c r="FX10" s="1409" t="n"/>
      <c r="FY10" s="1409" t="n"/>
      <c r="FZ10" s="1409" t="n"/>
      <c r="GA10" s="1409" t="n"/>
      <c r="GB10" s="1409" t="n"/>
      <c r="GC10" s="1409" t="n"/>
      <c r="GD10" s="1409" t="n"/>
      <c r="GE10" s="1409" t="n"/>
      <c r="GF10" s="1409" t="n"/>
      <c r="GG10" s="1409" t="n"/>
      <c r="GH10" s="1409" t="n"/>
      <c r="GI10" s="1409" t="n"/>
      <c r="GJ10" s="1409" t="n"/>
      <c r="GK10" s="1409" t="n"/>
      <c r="GL10" s="1409" t="n"/>
      <c r="GM10" s="1409" t="n"/>
      <c r="GN10" s="1409" t="n"/>
      <c r="GO10" s="1409" t="n"/>
      <c r="GP10" s="1409" t="n"/>
      <c r="GQ10" s="1409" t="n"/>
      <c r="GR10" s="1409" t="n"/>
      <c r="GS10" s="1409" t="n"/>
      <c r="GT10" s="1409" t="n"/>
      <c r="GU10" s="1409" t="n"/>
      <c r="GV10" s="1409" t="n"/>
      <c r="GW10" s="1409" t="n"/>
      <c r="GX10" s="1409" t="n"/>
      <c r="GY10" s="1409" t="n"/>
      <c r="GZ10" s="1409" t="n"/>
      <c r="HA10" s="1409" t="n"/>
      <c r="HB10" s="1409" t="n"/>
      <c r="HC10" s="1409" t="n"/>
      <c r="HD10" s="1409" t="n"/>
      <c r="HE10" s="1409" t="n"/>
      <c r="HF10" s="1409" t="n"/>
      <c r="HG10" s="1409" t="n"/>
      <c r="HH10" s="1409" t="n"/>
      <c r="HI10" s="1409" t="n"/>
      <c r="HJ10" s="1409" t="n"/>
      <c r="HK10" s="1409" t="n"/>
      <c r="HL10" s="1409" t="n"/>
      <c r="HM10" s="1409" t="n"/>
      <c r="HN10" s="1409" t="n"/>
      <c r="HO10" s="1409" t="n"/>
      <c r="HP10" s="1409" t="n"/>
      <c r="HQ10" s="1409" t="n"/>
      <c r="HR10" s="1409" t="n"/>
      <c r="HS10" s="1409" t="n"/>
      <c r="HT10" s="1409" t="n"/>
      <c r="HU10" s="1409" t="n"/>
      <c r="HV10" s="1409" t="n"/>
    </row>
    <row r="11" ht="12" customFormat="1" customHeight="1" s="446">
      <c r="G11" s="446" t="inlineStr">
        <is>
          <t>Калькуляционная единица</t>
        </is>
      </c>
      <c r="BK11" s="950" t="inlineStr">
        <is>
          <t>этап</t>
        </is>
      </c>
      <c r="BL11" s="1409" t="n"/>
      <c r="BM11" s="1409" t="n"/>
      <c r="BN11" s="1409" t="n"/>
      <c r="BO11" s="1409" t="n"/>
      <c r="BP11" s="1409" t="n"/>
      <c r="BQ11" s="1409" t="n"/>
      <c r="BR11" s="1409" t="n"/>
      <c r="BS11" s="1409" t="n"/>
      <c r="BT11" s="1409" t="n"/>
      <c r="BU11" s="1409" t="n"/>
      <c r="BV11" s="1409" t="n"/>
      <c r="BW11" s="1409" t="n"/>
      <c r="BX11" s="1409" t="n"/>
      <c r="BY11" s="1409" t="n"/>
      <c r="BZ11" s="1409" t="n"/>
      <c r="CA11" s="1409" t="n"/>
      <c r="CB11" s="1409" t="n"/>
      <c r="CC11" s="1409" t="n"/>
      <c r="CD11" s="1409" t="n"/>
      <c r="CE11" s="1409" t="n"/>
      <c r="CF11" s="1409" t="n"/>
      <c r="CG11" s="1409" t="n"/>
      <c r="CH11" s="1409" t="n"/>
      <c r="CI11" s="1409" t="n"/>
      <c r="CJ11" s="1409" t="n"/>
      <c r="CK11" s="1409" t="n"/>
      <c r="CL11" s="1409" t="n"/>
      <c r="CM11" s="1409" t="n"/>
      <c r="CN11" s="1409" t="n"/>
      <c r="CO11" s="1409" t="n"/>
      <c r="CP11" s="1409" t="n"/>
      <c r="CQ11" s="1409" t="n"/>
      <c r="CR11" s="1409" t="n"/>
      <c r="CS11" s="1409" t="n"/>
      <c r="CT11" s="1409" t="n"/>
      <c r="CU11" s="1409" t="n"/>
      <c r="CV11" s="1409" t="n"/>
      <c r="CW11" s="1409" t="n"/>
      <c r="CX11" s="1409" t="n"/>
      <c r="CY11" s="1409" t="n"/>
      <c r="CZ11" s="1409" t="n"/>
      <c r="DA11" s="1409" t="n"/>
      <c r="DB11" s="1409" t="n"/>
      <c r="DC11" s="1409" t="n"/>
      <c r="DD11" s="1409" t="n"/>
      <c r="DE11" s="1409" t="n"/>
      <c r="DF11" s="1409" t="n"/>
      <c r="DG11" s="1409" t="n"/>
      <c r="DH11" s="1409" t="n"/>
      <c r="DI11" s="1409" t="n"/>
      <c r="DJ11" s="1409" t="n"/>
      <c r="DK11" s="1409" t="n"/>
      <c r="DL11" s="1409" t="n"/>
      <c r="DM11" s="1409" t="n"/>
      <c r="DN11" s="1409" t="n"/>
      <c r="DO11" s="1409" t="n"/>
      <c r="DP11" s="1409" t="n"/>
      <c r="DQ11" s="1409" t="n"/>
      <c r="DR11" s="1409" t="n"/>
      <c r="DS11" s="1409" t="n"/>
      <c r="DT11" s="1409" t="n"/>
      <c r="DU11" s="1409" t="n"/>
      <c r="DV11" s="1409" t="n"/>
      <c r="DW11" s="1409" t="n"/>
      <c r="DX11" s="1409" t="n"/>
      <c r="DY11" s="1409" t="n"/>
      <c r="DZ11" s="1409" t="n"/>
      <c r="EA11" s="1409" t="n"/>
      <c r="EB11" s="1409" t="n"/>
      <c r="EC11" s="1409" t="n"/>
      <c r="ED11" s="1409" t="n"/>
      <c r="EE11" s="1409" t="n"/>
      <c r="EF11" s="1409" t="n"/>
      <c r="EG11" s="1409" t="n"/>
      <c r="EH11" s="1409" t="n"/>
      <c r="EI11" s="1409" t="n"/>
      <c r="EJ11" s="1409" t="n"/>
      <c r="EK11" s="1409" t="n"/>
      <c r="EL11" s="1409" t="n"/>
      <c r="EM11" s="1409" t="n"/>
      <c r="EN11" s="1409" t="n"/>
      <c r="EO11" s="1409" t="n"/>
      <c r="EP11" s="1409" t="n"/>
      <c r="EQ11" s="1409" t="n"/>
      <c r="ER11" s="1409" t="n"/>
      <c r="ES11" s="1409" t="n"/>
      <c r="ET11" s="1409" t="n"/>
      <c r="EU11" s="1409" t="n"/>
      <c r="EV11" s="1409" t="n"/>
      <c r="EW11" s="1409" t="n"/>
      <c r="EX11" s="1409" t="n"/>
      <c r="EY11" s="1409" t="n"/>
      <c r="EZ11" s="1409" t="n"/>
      <c r="FA11" s="1409" t="n"/>
      <c r="FB11" s="1409" t="n"/>
      <c r="FC11" s="1409" t="n"/>
      <c r="FD11" s="1409" t="n"/>
      <c r="FE11" s="1409" t="n"/>
      <c r="FF11" s="1409" t="n"/>
      <c r="FG11" s="1409" t="n"/>
      <c r="FH11" s="1409" t="n"/>
      <c r="FI11" s="1409" t="n"/>
      <c r="FJ11" s="1409" t="n"/>
      <c r="FK11" s="1409" t="n"/>
      <c r="FL11" s="1409" t="n"/>
      <c r="FM11" s="1409" t="n"/>
      <c r="FN11" s="1409" t="n"/>
      <c r="FO11" s="1409" t="n"/>
      <c r="FP11" s="1409" t="n"/>
      <c r="FQ11" s="1409" t="n"/>
      <c r="FR11" s="1409" t="n"/>
      <c r="FS11" s="1409" t="n"/>
      <c r="FT11" s="1409" t="n"/>
      <c r="FU11" s="1409" t="n"/>
      <c r="FV11" s="1409" t="n"/>
      <c r="FW11" s="1409" t="n"/>
      <c r="FX11" s="1409" t="n"/>
      <c r="FY11" s="1409" t="n"/>
      <c r="FZ11" s="1409" t="n"/>
      <c r="GA11" s="1409" t="n"/>
      <c r="GB11" s="1409" t="n"/>
      <c r="GC11" s="1409" t="n"/>
      <c r="GD11" s="1409" t="n"/>
      <c r="GE11" s="1409" t="n"/>
      <c r="GF11" s="1409" t="n"/>
      <c r="GG11" s="1409" t="n"/>
      <c r="GH11" s="1409" t="n"/>
      <c r="GI11" s="1409" t="n"/>
      <c r="GJ11" s="1409" t="n"/>
      <c r="GK11" s="1409" t="n"/>
      <c r="GL11" s="1409" t="n"/>
      <c r="GM11" s="1409" t="n"/>
      <c r="GN11" s="1409" t="n"/>
      <c r="GO11" s="1409" t="n"/>
      <c r="GP11" s="1409" t="n"/>
      <c r="GQ11" s="1409" t="n"/>
      <c r="GR11" s="1409" t="n"/>
      <c r="GS11" s="1409" t="n"/>
      <c r="GT11" s="1409" t="n"/>
      <c r="GU11" s="1409" t="n"/>
      <c r="GV11" s="1409" t="n"/>
      <c r="GW11" s="1409" t="n"/>
      <c r="GX11" s="1409" t="n"/>
      <c r="GY11" s="1409" t="n"/>
      <c r="GZ11" s="1409" t="n"/>
      <c r="HA11" s="1409" t="n"/>
      <c r="HB11" s="1409" t="n"/>
      <c r="HC11" s="1409" t="n"/>
      <c r="HD11" s="1409" t="n"/>
      <c r="HE11" s="1409" t="n"/>
      <c r="HF11" s="1409" t="n"/>
      <c r="HG11" s="1409" t="n"/>
      <c r="HH11" s="1409" t="n"/>
      <c r="HI11" s="1409" t="n"/>
      <c r="HJ11" s="1409" t="n"/>
      <c r="HK11" s="1409" t="n"/>
      <c r="HL11" s="1409" t="n"/>
      <c r="HM11" s="1409" t="n"/>
      <c r="HN11" s="1409" t="n"/>
      <c r="HO11" s="1409" t="n"/>
      <c r="HP11" s="1409" t="n"/>
      <c r="HQ11" s="1409" t="n"/>
      <c r="HR11" s="1409" t="n"/>
      <c r="HS11" s="1409" t="n"/>
      <c r="HT11" s="1409" t="n"/>
      <c r="HU11" s="1409" t="n"/>
      <c r="HV11" s="1409" t="n"/>
    </row>
    <row r="12" ht="12" customFormat="1" customHeight="1" s="1340">
      <c r="BK12" s="947" t="inlineStr">
        <is>
          <t>(штука, комплект, этап, единица работы (услуги), иное)</t>
        </is>
      </c>
    </row>
    <row r="13" ht="12" customFormat="1" customHeight="1" s="446">
      <c r="G13" s="446" t="inlineStr">
        <is>
          <t>Техническая документация</t>
        </is>
      </c>
      <c r="BK13" s="862" t="inlineStr">
        <is>
          <t>Техническое задание №</t>
        </is>
      </c>
      <c r="BL13" s="1409" t="n"/>
      <c r="BM13" s="1409" t="n"/>
      <c r="BN13" s="1409" t="n"/>
      <c r="BO13" s="1409" t="n"/>
      <c r="BP13" s="1409" t="n"/>
      <c r="BQ13" s="1409" t="n"/>
      <c r="BR13" s="1409" t="n"/>
      <c r="BS13" s="1409" t="n"/>
      <c r="BT13" s="1409" t="n"/>
      <c r="BU13" s="1409" t="n"/>
      <c r="BV13" s="1409" t="n"/>
      <c r="BW13" s="1409" t="n"/>
      <c r="BX13" s="1409" t="n"/>
      <c r="BY13" s="1409" t="n"/>
      <c r="BZ13" s="1409" t="n"/>
      <c r="CA13" s="1409" t="n"/>
      <c r="CB13" s="1409" t="n"/>
      <c r="CC13" s="1409" t="n"/>
      <c r="CD13" s="1409" t="n"/>
      <c r="CE13" s="1409" t="n"/>
      <c r="CF13" s="1409" t="n"/>
      <c r="CG13" s="1409" t="n"/>
      <c r="CH13" s="1409" t="n"/>
      <c r="CI13" s="1409" t="n"/>
      <c r="CJ13" s="1409" t="n"/>
      <c r="CK13" s="1409" t="n"/>
      <c r="CL13" s="1409" t="n"/>
      <c r="CM13" s="1409" t="n"/>
      <c r="CN13" s="1409" t="n"/>
      <c r="CO13" s="1409" t="n"/>
      <c r="CP13" s="1409" t="n"/>
      <c r="CQ13" s="1409" t="n"/>
      <c r="CR13" s="1409" t="n"/>
      <c r="CS13" s="1409" t="n"/>
      <c r="CT13" s="1409" t="n"/>
      <c r="CU13" s="1409" t="n"/>
      <c r="CV13" s="1409" t="n"/>
      <c r="CW13" s="1409" t="n"/>
      <c r="CX13" s="1409" t="n"/>
      <c r="CY13" s="1409" t="n"/>
      <c r="CZ13" s="1409" t="n"/>
      <c r="DA13" s="1409" t="n"/>
      <c r="DB13" s="1409" t="n"/>
      <c r="DC13" s="1409" t="n"/>
      <c r="DD13" s="1409" t="n"/>
      <c r="DE13" s="1409" t="n"/>
      <c r="DF13" s="1409" t="n"/>
      <c r="DG13" s="1409" t="n"/>
      <c r="DH13" s="1409" t="n"/>
      <c r="DI13" s="1409" t="n"/>
      <c r="DJ13" s="1409" t="n"/>
      <c r="DK13" s="1409" t="n"/>
      <c r="DL13" s="1409" t="n"/>
      <c r="DM13" s="1409" t="n"/>
      <c r="DN13" s="1409" t="n"/>
      <c r="DO13" s="1409" t="n"/>
      <c r="DP13" s="1409" t="n"/>
      <c r="DQ13" s="1409" t="n"/>
      <c r="DR13" s="1409" t="n"/>
      <c r="DS13" s="1409" t="n"/>
      <c r="DT13" s="1409" t="n"/>
      <c r="DU13" s="1409" t="n"/>
      <c r="DV13" s="1409" t="n"/>
      <c r="DW13" s="1409" t="n"/>
      <c r="DX13" s="1409" t="n"/>
      <c r="DY13" s="1409" t="n"/>
      <c r="DZ13" s="1409" t="n"/>
      <c r="EA13" s="1409" t="n"/>
      <c r="EB13" s="1409" t="n"/>
      <c r="EC13" s="1409" t="n"/>
      <c r="ED13" s="1409" t="n"/>
      <c r="EE13" s="1409" t="n"/>
      <c r="EF13" s="1409" t="n"/>
      <c r="EG13" s="1409" t="n"/>
      <c r="EH13" s="1409" t="n"/>
      <c r="EI13" s="1409" t="n"/>
      <c r="EJ13" s="1409" t="n"/>
      <c r="EK13" s="1409" t="n"/>
      <c r="EL13" s="1409" t="n"/>
      <c r="EM13" s="1409" t="n"/>
      <c r="EN13" s="1409" t="n"/>
      <c r="EO13" s="1409" t="n"/>
      <c r="EP13" s="1409" t="n"/>
      <c r="EQ13" s="1409" t="n"/>
      <c r="ER13" s="1409" t="n"/>
      <c r="ES13" s="1409" t="n"/>
      <c r="ET13" s="1409" t="n"/>
      <c r="EU13" s="1409" t="n"/>
      <c r="EV13" s="1409" t="n"/>
      <c r="EW13" s="1409" t="n"/>
      <c r="EX13" s="1409" t="n"/>
      <c r="EY13" s="1409" t="n"/>
      <c r="EZ13" s="1409" t="n"/>
      <c r="FA13" s="1409" t="n"/>
      <c r="FB13" s="1409" t="n"/>
      <c r="FC13" s="1409" t="n"/>
      <c r="FD13" s="1409" t="n"/>
      <c r="FE13" s="1409" t="n"/>
      <c r="FF13" s="1409" t="n"/>
      <c r="FG13" s="1409" t="n"/>
      <c r="FH13" s="1409" t="n"/>
      <c r="FI13" s="1409" t="n"/>
      <c r="FJ13" s="1409" t="n"/>
      <c r="FK13" s="1409" t="n"/>
      <c r="FL13" s="1409" t="n"/>
      <c r="FM13" s="1409" t="n"/>
      <c r="FN13" s="1409" t="n"/>
      <c r="FO13" s="1409" t="n"/>
      <c r="FP13" s="1409" t="n"/>
      <c r="FQ13" s="1409" t="n"/>
      <c r="FR13" s="1409" t="n"/>
      <c r="FS13" s="1409" t="n"/>
      <c r="FT13" s="1409" t="n"/>
      <c r="FU13" s="1409" t="n"/>
      <c r="FV13" s="1409" t="n"/>
      <c r="FW13" s="1409" t="n"/>
      <c r="FX13" s="1409" t="n"/>
      <c r="FY13" s="1409" t="n"/>
      <c r="FZ13" s="1409" t="n"/>
      <c r="GA13" s="1409" t="n"/>
      <c r="GB13" s="1409" t="n"/>
      <c r="GC13" s="1409" t="n"/>
      <c r="GD13" s="1409" t="n"/>
      <c r="GE13" s="1409" t="n"/>
      <c r="GF13" s="1409" t="n"/>
      <c r="GG13" s="1409" t="n"/>
      <c r="GH13" s="1409" t="n"/>
      <c r="GI13" s="1409" t="n"/>
      <c r="GJ13" s="1409" t="n"/>
      <c r="GK13" s="1409" t="n"/>
      <c r="GL13" s="1409" t="n"/>
      <c r="GM13" s="1409" t="n"/>
      <c r="GN13" s="1409" t="n"/>
      <c r="GO13" s="1409" t="n"/>
      <c r="GP13" s="1409" t="n"/>
      <c r="GQ13" s="1409" t="n"/>
      <c r="GR13" s="1409" t="n"/>
      <c r="GS13" s="1409" t="n"/>
      <c r="GT13" s="1409" t="n"/>
      <c r="GU13" s="1409" t="n"/>
      <c r="GV13" s="1409" t="n"/>
      <c r="GW13" s="1409" t="n"/>
      <c r="GX13" s="1409" t="n"/>
      <c r="GY13" s="1409" t="n"/>
      <c r="GZ13" s="1409" t="n"/>
      <c r="HA13" s="1409" t="n"/>
      <c r="HB13" s="1409" t="n"/>
      <c r="HC13" s="1409" t="n"/>
      <c r="HD13" s="1409" t="n"/>
      <c r="HE13" s="1409" t="n"/>
      <c r="HF13" s="1409" t="n"/>
      <c r="HG13" s="1409" t="n"/>
      <c r="HH13" s="1409" t="n"/>
      <c r="HI13" s="1409" t="n"/>
      <c r="HJ13" s="1409" t="n"/>
      <c r="HK13" s="1409" t="n"/>
      <c r="HL13" s="1409" t="n"/>
      <c r="HM13" s="1409" t="n"/>
      <c r="HN13" s="1409" t="n"/>
      <c r="HO13" s="1409" t="n"/>
      <c r="HP13" s="1409" t="n"/>
      <c r="HQ13" s="1409" t="n"/>
      <c r="HR13" s="1409" t="n"/>
      <c r="HS13" s="1409" t="n"/>
      <c r="HT13" s="1409" t="n"/>
      <c r="HU13" s="1409" t="n"/>
      <c r="HV13" s="1409" t="n"/>
    </row>
    <row r="14" ht="12" customFormat="1" customHeight="1" s="1340">
      <c r="BK14" s="947" t="inlineStr">
        <is>
          <t>(ТУ, ТЗ, КД, ГОСТ, иное) орган и дата утверждения</t>
        </is>
      </c>
    </row>
    <row r="15" ht="12.75" customFormat="1" customHeight="1" s="446">
      <c r="IB15" s="437" t="inlineStr">
        <is>
          <t>Таблица 1</t>
        </is>
      </c>
    </row>
    <row r="16" ht="19.5" customFormat="1" customHeight="1" s="1340">
      <c r="A16" s="871" t="inlineStr">
        <is>
          <t>№ №
строк</t>
        </is>
      </c>
      <c r="B16" s="1416" t="n"/>
      <c r="C16" s="1416" t="n"/>
      <c r="D16" s="1416" t="n"/>
      <c r="E16" s="1416" t="n"/>
      <c r="F16" s="1417" t="n"/>
      <c r="G16" s="891" t="inlineStr">
        <is>
          <t>Наименование статьи затрат</t>
        </is>
      </c>
      <c r="H16" s="1416" t="n"/>
      <c r="I16" s="1416" t="n"/>
      <c r="J16" s="1416" t="n"/>
      <c r="K16" s="1416" t="n"/>
      <c r="L16" s="1416" t="n"/>
      <c r="M16" s="1416" t="n"/>
      <c r="N16" s="1416" t="n"/>
      <c r="O16" s="1416" t="n"/>
      <c r="P16" s="1416" t="n"/>
      <c r="Q16" s="1416" t="n"/>
      <c r="R16" s="1416" t="n"/>
      <c r="S16" s="1416" t="n"/>
      <c r="T16" s="1416" t="n"/>
      <c r="U16" s="1416" t="n"/>
      <c r="V16" s="1416" t="n"/>
      <c r="W16" s="1416" t="n"/>
      <c r="X16" s="1416" t="n"/>
      <c r="Y16" s="1416" t="n"/>
      <c r="Z16" s="1416" t="n"/>
      <c r="AA16" s="1416" t="n"/>
      <c r="AB16" s="1416" t="n"/>
      <c r="AC16" s="1416" t="n"/>
      <c r="AD16" s="1416" t="n"/>
      <c r="AE16" s="1416" t="n"/>
      <c r="AF16" s="1416" t="n"/>
      <c r="AG16" s="1416" t="n"/>
      <c r="AH16" s="1416" t="n"/>
      <c r="AI16" s="1416" t="n"/>
      <c r="AJ16" s="1416" t="n"/>
      <c r="AK16" s="1416" t="n"/>
      <c r="AL16" s="1416" t="n"/>
      <c r="AM16" s="1416" t="n"/>
      <c r="AN16" s="1416" t="n"/>
      <c r="AO16" s="1416" t="n"/>
      <c r="AP16" s="1416" t="n"/>
      <c r="AQ16" s="1416" t="n"/>
      <c r="AR16" s="1416" t="n"/>
      <c r="AS16" s="1416" t="n"/>
      <c r="AT16" s="1416" t="n"/>
      <c r="AU16" s="1416" t="n"/>
      <c r="AV16" s="1416" t="n"/>
      <c r="AW16" s="1416" t="n"/>
      <c r="AX16" s="1416" t="n"/>
      <c r="AY16" s="1416" t="n"/>
      <c r="AZ16" s="1416" t="n"/>
      <c r="BA16" s="1416" t="n"/>
      <c r="BB16" s="1416" t="n"/>
      <c r="BC16" s="1416" t="n"/>
      <c r="BD16" s="1416" t="n"/>
      <c r="BE16" s="1416" t="n"/>
      <c r="BF16" s="1416" t="n"/>
      <c r="BG16" s="1416" t="n"/>
      <c r="BH16" s="1416" t="n"/>
      <c r="BI16" s="1416" t="n"/>
      <c r="BJ16" s="1416" t="n"/>
      <c r="BK16" s="906" t="inlineStr">
        <is>
          <t>Данные по фактическим затратам по аналогу</t>
        </is>
      </c>
      <c r="BL16" s="1412" t="n"/>
      <c r="BM16" s="1412" t="n"/>
      <c r="BN16" s="1412" t="n"/>
      <c r="BO16" s="1412" t="n"/>
      <c r="BP16" s="1412" t="n"/>
      <c r="BQ16" s="1412" t="n"/>
      <c r="BR16" s="1412" t="n"/>
      <c r="BS16" s="1412" t="n"/>
      <c r="BT16" s="1412" t="n"/>
      <c r="BU16" s="1412" t="n"/>
      <c r="BV16" s="1412" t="n"/>
      <c r="BW16" s="1412" t="n"/>
      <c r="BX16" s="1412" t="n"/>
      <c r="BY16" s="1412" t="n"/>
      <c r="BZ16" s="1412" t="n"/>
      <c r="CA16" s="1412" t="n"/>
      <c r="CB16" s="1412" t="n"/>
      <c r="CC16" s="1412" t="n"/>
      <c r="CD16" s="1412" t="n"/>
      <c r="CE16" s="1412" t="n"/>
      <c r="CF16" s="1412" t="n"/>
      <c r="CG16" s="1412" t="n"/>
      <c r="CH16" s="1412" t="n"/>
      <c r="CI16" s="1412" t="n"/>
      <c r="CJ16" s="1412" t="n"/>
      <c r="CK16" s="1412" t="n"/>
      <c r="CL16" s="1412" t="n"/>
      <c r="CM16" s="1412" t="n"/>
      <c r="CN16" s="1412" t="n"/>
      <c r="CO16" s="1412" t="n"/>
      <c r="CP16" s="1412" t="n"/>
      <c r="CQ16" s="1412" t="n"/>
      <c r="CR16" s="1412" t="n"/>
      <c r="CS16" s="1412" t="n"/>
      <c r="CT16" s="1412" t="n"/>
      <c r="CU16" s="1412" t="n"/>
      <c r="CV16" s="1412" t="n"/>
      <c r="CW16" s="1412" t="n"/>
      <c r="CX16" s="1412" t="n"/>
      <c r="CY16" s="1412" t="n"/>
      <c r="CZ16" s="1412" t="n"/>
      <c r="DA16" s="1412" t="n"/>
      <c r="DB16" s="1412" t="n"/>
      <c r="DC16" s="1412" t="n"/>
      <c r="DD16" s="1412" t="n"/>
      <c r="DE16" s="1412" t="n"/>
      <c r="DF16" s="1412" t="n"/>
      <c r="DG16" s="1412" t="n"/>
      <c r="DH16" s="1412" t="n"/>
      <c r="DI16" s="1412" t="n"/>
      <c r="DJ16" s="1412" t="n"/>
      <c r="DK16" s="1412" t="n"/>
      <c r="DL16" s="1412" t="n"/>
      <c r="DM16" s="1412" t="n"/>
      <c r="DN16" s="1412" t="n"/>
      <c r="DO16" s="1412" t="n"/>
      <c r="DP16" s="1412" t="n"/>
      <c r="DQ16" s="1412" t="n"/>
      <c r="DR16" s="1412" t="n"/>
      <c r="DS16" s="1412" t="n"/>
      <c r="DT16" s="1412" t="n"/>
      <c r="DU16" s="1412" t="n"/>
      <c r="DV16" s="1412" t="n"/>
      <c r="DW16" s="1412" t="n"/>
      <c r="DX16" s="1412" t="n"/>
      <c r="DY16" s="1412" t="n"/>
      <c r="DZ16" s="1412" t="n"/>
      <c r="EA16" s="1412" t="n"/>
      <c r="EB16" s="1412" t="n"/>
      <c r="EC16" s="1412" t="n"/>
      <c r="ED16" s="1412" t="n"/>
      <c r="EE16" s="1412" t="n"/>
      <c r="EF16" s="1412" t="n"/>
      <c r="EG16" s="1412" t="n"/>
      <c r="EH16" s="1412" t="n"/>
      <c r="EI16" s="1412" t="n"/>
      <c r="EJ16" s="1412" t="n"/>
      <c r="EK16" s="1412" t="n"/>
      <c r="EL16" s="1412" t="n"/>
      <c r="EM16" s="1412" t="n"/>
      <c r="EN16" s="1412" t="n"/>
      <c r="EO16" s="1412" t="n"/>
      <c r="EP16" s="1412" t="n"/>
      <c r="EQ16" s="1412" t="n"/>
      <c r="ER16" s="1412" t="n"/>
      <c r="ES16" s="1412" t="n"/>
      <c r="ET16" s="1412" t="n"/>
      <c r="EU16" s="1412" t="n"/>
      <c r="EV16" s="1412" t="n"/>
      <c r="EW16" s="1412" t="n"/>
      <c r="EX16" s="1412" t="n"/>
      <c r="EY16" s="1412" t="n"/>
      <c r="EZ16" s="1412" t="n"/>
      <c r="FA16" s="1412" t="n"/>
      <c r="FB16" s="1412" t="n"/>
      <c r="FC16" s="1412" t="n"/>
      <c r="FD16" s="1412" t="n"/>
      <c r="FE16" s="1410" t="n"/>
      <c r="FF16" s="906" t="inlineStr">
        <is>
          <t>Планируемые затраты на продукцию</t>
        </is>
      </c>
      <c r="FG16" s="1412" t="n"/>
      <c r="FH16" s="1412" t="n"/>
      <c r="FI16" s="1412" t="n"/>
      <c r="FJ16" s="1412" t="n"/>
      <c r="FK16" s="1412" t="n"/>
      <c r="FL16" s="1412" t="n"/>
      <c r="FM16" s="1412" t="n"/>
      <c r="FN16" s="1412" t="n"/>
      <c r="FO16" s="1412" t="n"/>
      <c r="FP16" s="1412" t="n"/>
      <c r="FQ16" s="1412" t="n"/>
      <c r="FR16" s="1412" t="n"/>
      <c r="FS16" s="1412" t="n"/>
      <c r="FT16" s="1412" t="n"/>
      <c r="FU16" s="1412" t="n"/>
      <c r="FV16" s="1412" t="n"/>
      <c r="FW16" s="1412" t="n"/>
      <c r="FX16" s="1412" t="n"/>
      <c r="FY16" s="1412" t="n"/>
      <c r="FZ16" s="1412" t="n"/>
      <c r="GA16" s="1412" t="n"/>
      <c r="GB16" s="1412" t="n"/>
      <c r="GC16" s="1412" t="n"/>
      <c r="GD16" s="1412" t="n"/>
      <c r="GE16" s="1412" t="n"/>
      <c r="GF16" s="1412" t="n"/>
      <c r="GG16" s="1412" t="n"/>
      <c r="GH16" s="1412" t="n"/>
      <c r="GI16" s="1412" t="n"/>
      <c r="GJ16" s="1412" t="n"/>
      <c r="GK16" s="1412" t="n"/>
      <c r="GL16" s="1412" t="n"/>
      <c r="GM16" s="1412" t="n"/>
      <c r="GN16" s="1412" t="n"/>
      <c r="GO16" s="1412" t="n"/>
      <c r="GP16" s="1412" t="n"/>
      <c r="GQ16" s="1412" t="n"/>
      <c r="GR16" s="1412" t="n"/>
      <c r="GS16" s="1412" t="n"/>
      <c r="GT16" s="1412" t="n"/>
      <c r="GU16" s="1412" t="n"/>
      <c r="GV16" s="1412" t="n"/>
      <c r="GW16" s="1412" t="n"/>
      <c r="GX16" s="1412" t="n"/>
      <c r="GY16" s="1412" t="n"/>
      <c r="GZ16" s="1412" t="n"/>
      <c r="HA16" s="1412" t="n"/>
      <c r="HB16" s="1412" t="n"/>
      <c r="HC16" s="1412" t="n"/>
      <c r="HD16" s="1412" t="n"/>
      <c r="HE16" s="1412" t="n"/>
      <c r="HF16" s="1412" t="n"/>
      <c r="HG16" s="1412" t="n"/>
      <c r="HH16" s="1412" t="n"/>
      <c r="HI16" s="1412" t="n"/>
      <c r="HJ16" s="1412" t="n"/>
      <c r="HK16" s="1412" t="n"/>
      <c r="HL16" s="1412" t="n"/>
      <c r="HM16" s="1412" t="n"/>
      <c r="HN16" s="1412" t="n"/>
      <c r="HO16" s="1412" t="n"/>
      <c r="HP16" s="1412" t="n"/>
      <c r="HQ16" s="1412" t="n"/>
      <c r="HR16" s="1412" t="n"/>
      <c r="HS16" s="1412" t="n"/>
      <c r="HT16" s="1412" t="n"/>
      <c r="HU16" s="1412" t="n"/>
      <c r="HV16" s="1412" t="n"/>
      <c r="HW16" s="1412" t="n"/>
      <c r="HX16" s="1412" t="n"/>
      <c r="HY16" s="1412" t="n"/>
      <c r="HZ16" s="1412" t="n"/>
      <c r="IA16" s="1412" t="n"/>
      <c r="IB16" s="1410" t="n"/>
    </row>
    <row r="17" ht="77.25" customFormat="1" customHeight="1" s="1340">
      <c r="A17" s="1414" t="n"/>
      <c r="B17" s="1409" t="n"/>
      <c r="C17" s="1409" t="n"/>
      <c r="D17" s="1409" t="n"/>
      <c r="E17" s="1409" t="n"/>
      <c r="F17" s="1421" t="n"/>
      <c r="G17" s="1409" t="n"/>
      <c r="H17" s="1409" t="n"/>
      <c r="I17" s="1409" t="n"/>
      <c r="J17" s="1409" t="n"/>
      <c r="K17" s="1409" t="n"/>
      <c r="L17" s="1409" t="n"/>
      <c r="M17" s="1409" t="n"/>
      <c r="N17" s="1409" t="n"/>
      <c r="O17" s="1409" t="n"/>
      <c r="P17" s="1409" t="n"/>
      <c r="Q17" s="1409" t="n"/>
      <c r="R17" s="1409" t="n"/>
      <c r="S17" s="1409" t="n"/>
      <c r="T17" s="1409" t="n"/>
      <c r="U17" s="1409" t="n"/>
      <c r="V17" s="1409" t="n"/>
      <c r="W17" s="1409" t="n"/>
      <c r="X17" s="1409" t="n"/>
      <c r="Y17" s="1409" t="n"/>
      <c r="Z17" s="1409" t="n"/>
      <c r="AA17" s="1409" t="n"/>
      <c r="AB17" s="1409" t="n"/>
      <c r="AC17" s="1409" t="n"/>
      <c r="AD17" s="1409" t="n"/>
      <c r="AE17" s="1409" t="n"/>
      <c r="AF17" s="1409" t="n"/>
      <c r="AG17" s="1409" t="n"/>
      <c r="AH17" s="1409" t="n"/>
      <c r="AI17" s="1409" t="n"/>
      <c r="AJ17" s="1409" t="n"/>
      <c r="AK17" s="1409" t="n"/>
      <c r="AL17" s="1409" t="n"/>
      <c r="AM17" s="1409" t="n"/>
      <c r="AN17" s="1409" t="n"/>
      <c r="AO17" s="1409" t="n"/>
      <c r="AP17" s="1409" t="n"/>
      <c r="AQ17" s="1409" t="n"/>
      <c r="AR17" s="1409" t="n"/>
      <c r="AS17" s="1409" t="n"/>
      <c r="AT17" s="1409" t="n"/>
      <c r="AU17" s="1409" t="n"/>
      <c r="AV17" s="1409" t="n"/>
      <c r="AW17" s="1409" t="n"/>
      <c r="AX17" s="1409" t="n"/>
      <c r="AY17" s="1409" t="n"/>
      <c r="AZ17" s="1409" t="n"/>
      <c r="BA17" s="1409" t="n"/>
      <c r="BB17" s="1409" t="n"/>
      <c r="BC17" s="1409" t="n"/>
      <c r="BD17" s="1409" t="n"/>
      <c r="BE17" s="1409" t="n"/>
      <c r="BF17" s="1409" t="n"/>
      <c r="BG17" s="1409" t="n"/>
      <c r="BH17" s="1409" t="n"/>
      <c r="BI17" s="1409" t="n"/>
      <c r="BJ17" s="1409" t="n"/>
      <c r="BK17" s="871" t="inlineStr">
        <is>
          <t>наименование 
материала, 
работы (услуги) - аналога</t>
        </is>
      </c>
      <c r="BL17" s="1412" t="n"/>
      <c r="BM17" s="1412" t="n"/>
      <c r="BN17" s="1412" t="n"/>
      <c r="BO17" s="1412" t="n"/>
      <c r="BP17" s="1412" t="n"/>
      <c r="BQ17" s="1412" t="n"/>
      <c r="BR17" s="1412" t="n"/>
      <c r="BS17" s="1412" t="n"/>
      <c r="BT17" s="1412" t="n"/>
      <c r="BU17" s="1412" t="n"/>
      <c r="BV17" s="1412" t="n"/>
      <c r="BW17" s="1412" t="n"/>
      <c r="BX17" s="1412" t="n"/>
      <c r="BY17" s="1412" t="n"/>
      <c r="BZ17" s="1412" t="n"/>
      <c r="CA17" s="1412" t="n"/>
      <c r="CB17" s="1410" t="n"/>
      <c r="CC17" s="871" t="inlineStr">
        <is>
          <t>наименование государственного заказчика
(заказчика) аналога</t>
        </is>
      </c>
      <c r="CD17" s="1412" t="n"/>
      <c r="CE17" s="1412" t="n"/>
      <c r="CF17" s="1412" t="n"/>
      <c r="CG17" s="1412" t="n"/>
      <c r="CH17" s="1412" t="n"/>
      <c r="CI17" s="1412" t="n"/>
      <c r="CJ17" s="1412" t="n"/>
      <c r="CK17" s="1412" t="n"/>
      <c r="CL17" s="1412" t="n"/>
      <c r="CM17" s="1412" t="n"/>
      <c r="CN17" s="1412" t="n"/>
      <c r="CO17" s="1412" t="n"/>
      <c r="CP17" s="1412" t="n"/>
      <c r="CQ17" s="1412" t="n"/>
      <c r="CR17" s="1412" t="n"/>
      <c r="CS17" s="1412" t="n"/>
      <c r="CT17" s="1410" t="n"/>
      <c r="CU17" s="871" t="inlineStr">
        <is>
          <t>№, дата договора (контракта) 
на изготовление аналога, № этапа</t>
        </is>
      </c>
      <c r="CV17" s="1412" t="n"/>
      <c r="CW17" s="1412" t="n"/>
      <c r="CX17" s="1412" t="n"/>
      <c r="CY17" s="1412" t="n"/>
      <c r="CZ17" s="1412" t="n"/>
      <c r="DA17" s="1412" t="n"/>
      <c r="DB17" s="1412" t="n"/>
      <c r="DC17" s="1412" t="n"/>
      <c r="DD17" s="1412" t="n"/>
      <c r="DE17" s="1412" t="n"/>
      <c r="DF17" s="1412" t="n"/>
      <c r="DG17" s="1412" t="n"/>
      <c r="DH17" s="1412" t="n"/>
      <c r="DI17" s="1412" t="n"/>
      <c r="DJ17" s="1410" t="n"/>
      <c r="DK17" s="871" t="inlineStr">
        <is>
          <t>наименование поставщика (исполнителя, изготовителя)
аналога</t>
        </is>
      </c>
      <c r="DL17" s="1412" t="n"/>
      <c r="DM17" s="1412" t="n"/>
      <c r="DN17" s="1412" t="n"/>
      <c r="DO17" s="1412" t="n"/>
      <c r="DP17" s="1412" t="n"/>
      <c r="DQ17" s="1412" t="n"/>
      <c r="DR17" s="1412" t="n"/>
      <c r="DS17" s="1412" t="n"/>
      <c r="DT17" s="1412" t="n"/>
      <c r="DU17" s="1412" t="n"/>
      <c r="DV17" s="1412" t="n"/>
      <c r="DW17" s="1412" t="n"/>
      <c r="DX17" s="1412" t="n"/>
      <c r="DY17" s="1412" t="n"/>
      <c r="DZ17" s="1412" t="n"/>
      <c r="EA17" s="1412" t="n"/>
      <c r="EB17" s="1410" t="n"/>
      <c r="EC17" s="871" t="inlineStr">
        <is>
          <t>сроки поставки/
выполнения/
изготовления
аналога</t>
        </is>
      </c>
      <c r="ED17" s="1412" t="n"/>
      <c r="EE17" s="1412" t="n"/>
      <c r="EF17" s="1412" t="n"/>
      <c r="EG17" s="1412" t="n"/>
      <c r="EH17" s="1412" t="n"/>
      <c r="EI17" s="1412" t="n"/>
      <c r="EJ17" s="1412" t="n"/>
      <c r="EK17" s="1412" t="n"/>
      <c r="EL17" s="1412" t="n"/>
      <c r="EM17" s="1412" t="n"/>
      <c r="EN17" s="1412" t="n"/>
      <c r="EO17" s="1412" t="n"/>
      <c r="EP17" s="1412" t="n"/>
      <c r="EQ17" s="1412" t="n"/>
      <c r="ER17" s="1412" t="n"/>
      <c r="ES17" s="1410" t="n"/>
      <c r="ET17" s="871" t="inlineStr">
        <is>
          <t>затраты 
по аналогу (руб.)</t>
        </is>
      </c>
      <c r="EU17" s="1412" t="n"/>
      <c r="EV17" s="1412" t="n"/>
      <c r="EW17" s="1412" t="n"/>
      <c r="EX17" s="1412" t="n"/>
      <c r="EY17" s="1412" t="n"/>
      <c r="EZ17" s="1412" t="n"/>
      <c r="FA17" s="1412" t="n"/>
      <c r="FB17" s="1412" t="n"/>
      <c r="FC17" s="1412" t="n"/>
      <c r="FD17" s="1412" t="n"/>
      <c r="FE17" s="1410" t="n"/>
      <c r="FF17" s="871" t="inlineStr">
        <is>
          <t>коэффициент сопостави-мости_</t>
        </is>
      </c>
      <c r="FG17" s="1412" t="n"/>
      <c r="FH17" s="1412" t="n"/>
      <c r="FI17" s="1412" t="n"/>
      <c r="FJ17" s="1412" t="n"/>
      <c r="FK17" s="1412" t="n"/>
      <c r="FL17" s="1412" t="n"/>
      <c r="FM17" s="1412" t="n"/>
      <c r="FN17" s="1412" t="n"/>
      <c r="FO17" s="1412" t="n"/>
      <c r="FP17" s="1412" t="n"/>
      <c r="FQ17" s="1412" t="n"/>
      <c r="FR17" s="1410" t="n"/>
      <c r="FS17" s="871" t="inlineStr">
        <is>
          <t>итого 
приведенные затраты
(гр. 3.6 * гр. 4)</t>
        </is>
      </c>
      <c r="FT17" s="1412" t="n"/>
      <c r="FU17" s="1412" t="n"/>
      <c r="FV17" s="1412" t="n"/>
      <c r="FW17" s="1412" t="n"/>
      <c r="FX17" s="1412" t="n"/>
      <c r="FY17" s="1412" t="n"/>
      <c r="FZ17" s="1412" t="n"/>
      <c r="GA17" s="1412" t="n"/>
      <c r="GB17" s="1412" t="n"/>
      <c r="GC17" s="1412" t="n"/>
      <c r="GD17" s="1412" t="n"/>
      <c r="GE17" s="1412" t="n"/>
      <c r="GF17" s="1412" t="n"/>
      <c r="GG17" s="1410" t="n"/>
      <c r="GH17" s="871" t="inlineStr">
        <is>
          <t>применяемый индекс цен</t>
        </is>
      </c>
      <c r="GI17" s="1412" t="n"/>
      <c r="GJ17" s="1412" t="n"/>
      <c r="GK17" s="1412" t="n"/>
      <c r="GL17" s="1412" t="n"/>
      <c r="GM17" s="1412" t="n"/>
      <c r="GN17" s="1412" t="n"/>
      <c r="GO17" s="1412" t="n"/>
      <c r="GP17" s="1412" t="n"/>
      <c r="GQ17" s="1412" t="n"/>
      <c r="GR17" s="1412" t="n"/>
      <c r="GS17" s="1412" t="n"/>
      <c r="GT17" s="1412" t="n"/>
      <c r="GU17" s="1412" t="n"/>
      <c r="GV17" s="1412" t="n"/>
      <c r="GW17" s="1410" t="n"/>
      <c r="GX17" s="871" t="inlineStr">
        <is>
          <t>предложено организацией-поставщиком (подрядчиком, исполнителем)
(руб.)</t>
        </is>
      </c>
      <c r="GY17" s="1412" t="n"/>
      <c r="GZ17" s="1412" t="n"/>
      <c r="HA17" s="1412" t="n"/>
      <c r="HB17" s="1412" t="n"/>
      <c r="HC17" s="1412" t="n"/>
      <c r="HD17" s="1412" t="n"/>
      <c r="HE17" s="1412" t="n"/>
      <c r="HF17" s="1412" t="n"/>
      <c r="HG17" s="1412" t="n"/>
      <c r="HH17" s="1412" t="n"/>
      <c r="HI17" s="1412" t="n"/>
      <c r="HJ17" s="1412" t="n"/>
      <c r="HK17" s="1412" t="n"/>
      <c r="HL17" s="1410" t="n"/>
      <c r="HM17" s="871" t="inlineStr">
        <is>
          <t>принято государственным заказчиком/
заказчиком</t>
        </is>
      </c>
      <c r="HN17" s="1412" t="n"/>
      <c r="HO17" s="1412" t="n"/>
      <c r="HP17" s="1412" t="n"/>
      <c r="HQ17" s="1412" t="n"/>
      <c r="HR17" s="1412" t="n"/>
      <c r="HS17" s="1412" t="n"/>
      <c r="HT17" s="1412" t="n"/>
      <c r="HU17" s="1412" t="n"/>
      <c r="HV17" s="1412" t="n"/>
      <c r="HW17" s="1412" t="n"/>
      <c r="HX17" s="1412" t="n"/>
      <c r="HY17" s="1412" t="n"/>
      <c r="HZ17" s="1412" t="n"/>
      <c r="IA17" s="1412" t="n"/>
      <c r="IB17" s="1410" t="n"/>
    </row>
    <row r="18" ht="15.6" customFormat="1" customHeight="1" s="1340">
      <c r="A18" s="945" t="n">
        <v>1</v>
      </c>
      <c r="B18" s="1412" t="n"/>
      <c r="C18" s="1412" t="n"/>
      <c r="D18" s="1412" t="n"/>
      <c r="E18" s="1412" t="n"/>
      <c r="F18" s="1410" t="n"/>
      <c r="G18" s="884" t="n">
        <v>2</v>
      </c>
      <c r="H18" s="1412" t="n"/>
      <c r="I18" s="1412" t="n"/>
      <c r="J18" s="1412" t="n"/>
      <c r="K18" s="1412" t="n"/>
      <c r="L18" s="1412" t="n"/>
      <c r="M18" s="1412" t="n"/>
      <c r="N18" s="1412" t="n"/>
      <c r="O18" s="1412" t="n"/>
      <c r="P18" s="1412" t="n"/>
      <c r="Q18" s="1412" t="n"/>
      <c r="R18" s="1412" t="n"/>
      <c r="S18" s="1412" t="n"/>
      <c r="T18" s="1412" t="n"/>
      <c r="U18" s="1412" t="n"/>
      <c r="V18" s="1412" t="n"/>
      <c r="W18" s="1412" t="n"/>
      <c r="X18" s="1412" t="n"/>
      <c r="Y18" s="1412" t="n"/>
      <c r="Z18" s="1412" t="n"/>
      <c r="AA18" s="1412" t="n"/>
      <c r="AB18" s="1412" t="n"/>
      <c r="AC18" s="1412" t="n"/>
      <c r="AD18" s="1412" t="n"/>
      <c r="AE18" s="1412" t="n"/>
      <c r="AF18" s="1412" t="n"/>
      <c r="AG18" s="1412" t="n"/>
      <c r="AH18" s="1412" t="n"/>
      <c r="AI18" s="1412" t="n"/>
      <c r="AJ18" s="1412" t="n"/>
      <c r="AK18" s="1412" t="n"/>
      <c r="AL18" s="1412" t="n"/>
      <c r="AM18" s="1412" t="n"/>
      <c r="AN18" s="1412" t="n"/>
      <c r="AO18" s="1412" t="n"/>
      <c r="AP18" s="1412" t="n"/>
      <c r="AQ18" s="1412" t="n"/>
      <c r="AR18" s="1412" t="n"/>
      <c r="AS18" s="1412" t="n"/>
      <c r="AT18" s="1412" t="n"/>
      <c r="AU18" s="1412" t="n"/>
      <c r="AV18" s="1412" t="n"/>
      <c r="AW18" s="1412" t="n"/>
      <c r="AX18" s="1412" t="n"/>
      <c r="AY18" s="1412" t="n"/>
      <c r="AZ18" s="1412" t="n"/>
      <c r="BA18" s="1412" t="n"/>
      <c r="BB18" s="1412" t="n"/>
      <c r="BC18" s="1412" t="n"/>
      <c r="BD18" s="1412" t="n"/>
      <c r="BE18" s="1412" t="n"/>
      <c r="BF18" s="1412" t="n"/>
      <c r="BG18" s="1412" t="n"/>
      <c r="BH18" s="1412" t="n"/>
      <c r="BI18" s="1412" t="n"/>
      <c r="BJ18" s="1412" t="n"/>
      <c r="BK18" s="945" t="inlineStr">
        <is>
          <t>3.1</t>
        </is>
      </c>
      <c r="BL18" s="1412" t="n"/>
      <c r="BM18" s="1412" t="n"/>
      <c r="BN18" s="1412" t="n"/>
      <c r="BO18" s="1412" t="n"/>
      <c r="BP18" s="1412" t="n"/>
      <c r="BQ18" s="1412" t="n"/>
      <c r="BR18" s="1412" t="n"/>
      <c r="BS18" s="1412" t="n"/>
      <c r="BT18" s="1412" t="n"/>
      <c r="BU18" s="1412" t="n"/>
      <c r="BV18" s="1412" t="n"/>
      <c r="BW18" s="1412" t="n"/>
      <c r="BX18" s="1412" t="n"/>
      <c r="BY18" s="1412" t="n"/>
      <c r="BZ18" s="1412" t="n"/>
      <c r="CA18" s="1412" t="n"/>
      <c r="CB18" s="1410" t="n"/>
      <c r="CC18" s="945" t="inlineStr">
        <is>
          <t>3.2</t>
        </is>
      </c>
      <c r="CD18" s="1412" t="n"/>
      <c r="CE18" s="1412" t="n"/>
      <c r="CF18" s="1412" t="n"/>
      <c r="CG18" s="1412" t="n"/>
      <c r="CH18" s="1412" t="n"/>
      <c r="CI18" s="1412" t="n"/>
      <c r="CJ18" s="1412" t="n"/>
      <c r="CK18" s="1412" t="n"/>
      <c r="CL18" s="1412" t="n"/>
      <c r="CM18" s="1412" t="n"/>
      <c r="CN18" s="1412" t="n"/>
      <c r="CO18" s="1412" t="n"/>
      <c r="CP18" s="1412" t="n"/>
      <c r="CQ18" s="1412" t="n"/>
      <c r="CR18" s="1412" t="n"/>
      <c r="CS18" s="1412" t="n"/>
      <c r="CT18" s="1410" t="n"/>
      <c r="CU18" s="945" t="inlineStr">
        <is>
          <t>3.3</t>
        </is>
      </c>
      <c r="CV18" s="1412" t="n"/>
      <c r="CW18" s="1412" t="n"/>
      <c r="CX18" s="1412" t="n"/>
      <c r="CY18" s="1412" t="n"/>
      <c r="CZ18" s="1412" t="n"/>
      <c r="DA18" s="1412" t="n"/>
      <c r="DB18" s="1412" t="n"/>
      <c r="DC18" s="1412" t="n"/>
      <c r="DD18" s="1412" t="n"/>
      <c r="DE18" s="1412" t="n"/>
      <c r="DF18" s="1412" t="n"/>
      <c r="DG18" s="1412" t="n"/>
      <c r="DH18" s="1412" t="n"/>
      <c r="DI18" s="1412" t="n"/>
      <c r="DJ18" s="1410" t="n"/>
      <c r="DK18" s="945" t="inlineStr">
        <is>
          <t>3.4</t>
        </is>
      </c>
      <c r="DL18" s="1412" t="n"/>
      <c r="DM18" s="1412" t="n"/>
      <c r="DN18" s="1412" t="n"/>
      <c r="DO18" s="1412" t="n"/>
      <c r="DP18" s="1412" t="n"/>
      <c r="DQ18" s="1412" t="n"/>
      <c r="DR18" s="1412" t="n"/>
      <c r="DS18" s="1412" t="n"/>
      <c r="DT18" s="1412" t="n"/>
      <c r="DU18" s="1412" t="n"/>
      <c r="DV18" s="1412" t="n"/>
      <c r="DW18" s="1412" t="n"/>
      <c r="DX18" s="1412" t="n"/>
      <c r="DY18" s="1412" t="n"/>
      <c r="DZ18" s="1412" t="n"/>
      <c r="EA18" s="1412" t="n"/>
      <c r="EB18" s="1410" t="n"/>
      <c r="EC18" s="945" t="inlineStr">
        <is>
          <t>3.5</t>
        </is>
      </c>
      <c r="ED18" s="1412" t="n"/>
      <c r="EE18" s="1412" t="n"/>
      <c r="EF18" s="1412" t="n"/>
      <c r="EG18" s="1412" t="n"/>
      <c r="EH18" s="1412" t="n"/>
      <c r="EI18" s="1412" t="n"/>
      <c r="EJ18" s="1412" t="n"/>
      <c r="EK18" s="1412" t="n"/>
      <c r="EL18" s="1412" t="n"/>
      <c r="EM18" s="1412" t="n"/>
      <c r="EN18" s="1412" t="n"/>
      <c r="EO18" s="1412" t="n"/>
      <c r="EP18" s="1412" t="n"/>
      <c r="EQ18" s="1412" t="n"/>
      <c r="ER18" s="1412" t="n"/>
      <c r="ES18" s="1410" t="n"/>
      <c r="ET18" s="945" t="inlineStr">
        <is>
          <t>3.6</t>
        </is>
      </c>
      <c r="EU18" s="1412" t="n"/>
      <c r="EV18" s="1412" t="n"/>
      <c r="EW18" s="1412" t="n"/>
      <c r="EX18" s="1412" t="n"/>
      <c r="EY18" s="1412" t="n"/>
      <c r="EZ18" s="1412" t="n"/>
      <c r="FA18" s="1412" t="n"/>
      <c r="FB18" s="1412" t="n"/>
      <c r="FC18" s="1412" t="n"/>
      <c r="FD18" s="1412" t="n"/>
      <c r="FE18" s="1410" t="n"/>
      <c r="FF18" s="1432" t="n">
        <v>4</v>
      </c>
      <c r="FG18" s="1409" t="n"/>
      <c r="FH18" s="1409" t="n"/>
      <c r="FI18" s="1409" t="n"/>
      <c r="FJ18" s="1409" t="n"/>
      <c r="FK18" s="1409" t="n"/>
      <c r="FL18" s="1409" t="n"/>
      <c r="FM18" s="1409" t="n"/>
      <c r="FN18" s="1409" t="n"/>
      <c r="FO18" s="1409" t="n"/>
      <c r="FP18" s="1409" t="n"/>
      <c r="FQ18" s="1409" t="n"/>
      <c r="FR18" s="1421" t="n"/>
      <c r="FS18" s="1432" t="n">
        <v>5</v>
      </c>
      <c r="FT18" s="1409" t="n"/>
      <c r="FU18" s="1409" t="n"/>
      <c r="FV18" s="1409" t="n"/>
      <c r="FW18" s="1409" t="n"/>
      <c r="FX18" s="1409" t="n"/>
      <c r="FY18" s="1409" t="n"/>
      <c r="FZ18" s="1409" t="n"/>
      <c r="GA18" s="1409" t="n"/>
      <c r="GB18" s="1409" t="n"/>
      <c r="GC18" s="1409" t="n"/>
      <c r="GD18" s="1409" t="n"/>
      <c r="GE18" s="1409" t="n"/>
      <c r="GF18" s="1409" t="n"/>
      <c r="GG18" s="1421" t="n"/>
      <c r="GH18" s="1432" t="n">
        <v>6</v>
      </c>
      <c r="GI18" s="1409" t="n"/>
      <c r="GJ18" s="1409" t="n"/>
      <c r="GK18" s="1409" t="n"/>
      <c r="GL18" s="1409" t="n"/>
      <c r="GM18" s="1409" t="n"/>
      <c r="GN18" s="1409" t="n"/>
      <c r="GO18" s="1409" t="n"/>
      <c r="GP18" s="1409" t="n"/>
      <c r="GQ18" s="1409" t="n"/>
      <c r="GR18" s="1409" t="n"/>
      <c r="GS18" s="1409" t="n"/>
      <c r="GT18" s="1409" t="n"/>
      <c r="GU18" s="1409" t="n"/>
      <c r="GV18" s="1409" t="n"/>
      <c r="GW18" s="1421" t="n"/>
      <c r="GX18" s="1432" t="n">
        <v>7</v>
      </c>
      <c r="GY18" s="1409" t="n"/>
      <c r="GZ18" s="1409" t="n"/>
      <c r="HA18" s="1409" t="n"/>
      <c r="HB18" s="1409" t="n"/>
      <c r="HC18" s="1409" t="n"/>
      <c r="HD18" s="1409" t="n"/>
      <c r="HE18" s="1409" t="n"/>
      <c r="HF18" s="1409" t="n"/>
      <c r="HG18" s="1409" t="n"/>
      <c r="HH18" s="1409" t="n"/>
      <c r="HI18" s="1409" t="n"/>
      <c r="HJ18" s="1409" t="n"/>
      <c r="HK18" s="1409" t="n"/>
      <c r="HL18" s="1421" t="n"/>
      <c r="HM18" s="945" t="n">
        <v>8</v>
      </c>
      <c r="HN18" s="1412" t="n"/>
      <c r="HO18" s="1412" t="n"/>
      <c r="HP18" s="1412" t="n"/>
      <c r="HQ18" s="1412" t="n"/>
      <c r="HR18" s="1412" t="n"/>
      <c r="HS18" s="1412" t="n"/>
      <c r="HT18" s="1412" t="n"/>
      <c r="HU18" s="1412" t="n"/>
      <c r="HV18" s="1412" t="n"/>
      <c r="HW18" s="1412" t="n"/>
      <c r="HX18" s="1412" t="n"/>
      <c r="HY18" s="1412" t="n"/>
      <c r="HZ18" s="1412" t="n"/>
      <c r="IA18" s="1412" t="n"/>
      <c r="IB18" s="1410" t="n"/>
    </row>
    <row r="19" ht="15" customFormat="1" customHeight="1" s="1340">
      <c r="A19" s="938" t="inlineStr">
        <is>
          <t>0100</t>
        </is>
      </c>
      <c r="B19" s="1412" t="n"/>
      <c r="C19" s="1412" t="n"/>
      <c r="D19" s="1412" t="n"/>
      <c r="E19" s="1412" t="n"/>
      <c r="F19" s="1410" t="n"/>
      <c r="G19" s="920" t="inlineStr">
        <is>
          <t>Материальные затраты - всего:</t>
        </is>
      </c>
      <c r="H19" s="1412" t="n"/>
      <c r="I19" s="1412" t="n"/>
      <c r="J19" s="1412" t="n"/>
      <c r="K19" s="1412" t="n"/>
      <c r="L19" s="1412" t="n"/>
      <c r="M19" s="1412" t="n"/>
      <c r="N19" s="1412" t="n"/>
      <c r="O19" s="1412" t="n"/>
      <c r="P19" s="1412" t="n"/>
      <c r="Q19" s="1412" t="n"/>
      <c r="R19" s="1412" t="n"/>
      <c r="S19" s="1412" t="n"/>
      <c r="T19" s="1412" t="n"/>
      <c r="U19" s="1412" t="n"/>
      <c r="V19" s="1412" t="n"/>
      <c r="W19" s="1412" t="n"/>
      <c r="X19" s="1412" t="n"/>
      <c r="Y19" s="1412" t="n"/>
      <c r="Z19" s="1412" t="n"/>
      <c r="AA19" s="1412" t="n"/>
      <c r="AB19" s="1412" t="n"/>
      <c r="AC19" s="1412" t="n"/>
      <c r="AD19" s="1412" t="n"/>
      <c r="AE19" s="1412" t="n"/>
      <c r="AF19" s="1412" t="n"/>
      <c r="AG19" s="1412" t="n"/>
      <c r="AH19" s="1412" t="n"/>
      <c r="AI19" s="1412" t="n"/>
      <c r="AJ19" s="1412" t="n"/>
      <c r="AK19" s="1412" t="n"/>
      <c r="AL19" s="1412" t="n"/>
      <c r="AM19" s="1412" t="n"/>
      <c r="AN19" s="1412" t="n"/>
      <c r="AO19" s="1412" t="n"/>
      <c r="AP19" s="1412" t="n"/>
      <c r="AQ19" s="1412" t="n"/>
      <c r="AR19" s="1412" t="n"/>
      <c r="AS19" s="1412" t="n"/>
      <c r="AT19" s="1412" t="n"/>
      <c r="AU19" s="1412" t="n"/>
      <c r="AV19" s="1412" t="n"/>
      <c r="AW19" s="1412" t="n"/>
      <c r="AX19" s="1412" t="n"/>
      <c r="AY19" s="1412" t="n"/>
      <c r="AZ19" s="1412" t="n"/>
      <c r="BA19" s="1412" t="n"/>
      <c r="BB19" s="1412" t="n"/>
      <c r="BC19" s="1412" t="n"/>
      <c r="BD19" s="1412" t="n"/>
      <c r="BE19" s="1412" t="n"/>
      <c r="BF19" s="1412" t="n"/>
      <c r="BG19" s="1412" t="n"/>
      <c r="BH19" s="1412" t="n"/>
      <c r="BI19" s="1412" t="n"/>
      <c r="BJ19" s="1410" t="n"/>
      <c r="BK19" s="871" t="n"/>
      <c r="BL19" s="1412" t="n"/>
      <c r="BM19" s="1412" t="n"/>
      <c r="BN19" s="1412" t="n"/>
      <c r="BO19" s="1412" t="n"/>
      <c r="BP19" s="1412" t="n"/>
      <c r="BQ19" s="1412" t="n"/>
      <c r="BR19" s="1412" t="n"/>
      <c r="BS19" s="1412" t="n"/>
      <c r="BT19" s="1412" t="n"/>
      <c r="BU19" s="1412" t="n"/>
      <c r="BV19" s="1412" t="n"/>
      <c r="BW19" s="1412" t="n"/>
      <c r="BX19" s="1412" t="n"/>
      <c r="BY19" s="1412" t="n"/>
      <c r="BZ19" s="1412" t="n"/>
      <c r="CA19" s="1412" t="n"/>
      <c r="CB19" s="1410" t="n"/>
      <c r="CC19" s="871" t="n"/>
      <c r="CD19" s="1412" t="n"/>
      <c r="CE19" s="1412" t="n"/>
      <c r="CF19" s="1412" t="n"/>
      <c r="CG19" s="1412" t="n"/>
      <c r="CH19" s="1412" t="n"/>
      <c r="CI19" s="1412" t="n"/>
      <c r="CJ19" s="1412" t="n"/>
      <c r="CK19" s="1412" t="n"/>
      <c r="CL19" s="1412" t="n"/>
      <c r="CM19" s="1412" t="n"/>
      <c r="CN19" s="1412" t="n"/>
      <c r="CO19" s="1412" t="n"/>
      <c r="CP19" s="1412" t="n"/>
      <c r="CQ19" s="1412" t="n"/>
      <c r="CR19" s="1412" t="n"/>
      <c r="CS19" s="1412" t="n"/>
      <c r="CT19" s="1410" t="n"/>
      <c r="CU19" s="937" t="n"/>
      <c r="CV19" s="1412" t="n"/>
      <c r="CW19" s="1412" t="n"/>
      <c r="CX19" s="1412" t="n"/>
      <c r="CY19" s="1412" t="n"/>
      <c r="CZ19" s="1412" t="n"/>
      <c r="DA19" s="1412" t="n"/>
      <c r="DB19" s="1412" t="n"/>
      <c r="DC19" s="1412" t="n"/>
      <c r="DD19" s="1412" t="n"/>
      <c r="DE19" s="1412" t="n"/>
      <c r="DF19" s="1412" t="n"/>
      <c r="DG19" s="1412" t="n"/>
      <c r="DH19" s="1412" t="n"/>
      <c r="DI19" s="1412" t="n"/>
      <c r="DJ19" s="1410" t="n"/>
      <c r="DK19" s="871" t="n"/>
      <c r="DL19" s="1412" t="n"/>
      <c r="DM19" s="1412" t="n"/>
      <c r="DN19" s="1412" t="n"/>
      <c r="DO19" s="1412" t="n"/>
      <c r="DP19" s="1412" t="n"/>
      <c r="DQ19" s="1412" t="n"/>
      <c r="DR19" s="1412" t="n"/>
      <c r="DS19" s="1412" t="n"/>
      <c r="DT19" s="1412" t="n"/>
      <c r="DU19" s="1412" t="n"/>
      <c r="DV19" s="1412" t="n"/>
      <c r="DW19" s="1412" t="n"/>
      <c r="DX19" s="1412" t="n"/>
      <c r="DY19" s="1412" t="n"/>
      <c r="DZ19" s="1412" t="n"/>
      <c r="EA19" s="1412" t="n"/>
      <c r="EB19" s="1410" t="n"/>
      <c r="EC19" s="938" t="n"/>
      <c r="ED19" s="1412" t="n"/>
      <c r="EE19" s="1412" t="n"/>
      <c r="EF19" s="1412" t="n"/>
      <c r="EG19" s="1412" t="n"/>
      <c r="EH19" s="1412" t="n"/>
      <c r="EI19" s="1412" t="n"/>
      <c r="EJ19" s="1412" t="n"/>
      <c r="EK19" s="1412" t="n"/>
      <c r="EL19" s="1412" t="n"/>
      <c r="EM19" s="1412" t="n"/>
      <c r="EN19" s="1412" t="n"/>
      <c r="EO19" s="1412" t="n"/>
      <c r="EP19" s="1412" t="n"/>
      <c r="EQ19" s="1412" t="n"/>
      <c r="ER19" s="1412" t="n"/>
      <c r="ES19" s="1410" t="n"/>
      <c r="ET19" s="1433" t="n"/>
      <c r="EU19" s="1412" t="n"/>
      <c r="EV19" s="1412" t="n"/>
      <c r="EW19" s="1412" t="n"/>
      <c r="EX19" s="1412" t="n"/>
      <c r="EY19" s="1412" t="n"/>
      <c r="EZ19" s="1412" t="n"/>
      <c r="FA19" s="1412" t="n"/>
      <c r="FB19" s="1412" t="n"/>
      <c r="FC19" s="1412" t="n"/>
      <c r="FD19" s="1412" t="n"/>
      <c r="FE19" s="1410" t="n"/>
      <c r="FF19" s="1434" t="n"/>
      <c r="FG19" s="1412" t="n"/>
      <c r="FH19" s="1412" t="n"/>
      <c r="FI19" s="1412" t="n"/>
      <c r="FJ19" s="1412" t="n"/>
      <c r="FK19" s="1412" t="n"/>
      <c r="FL19" s="1412" t="n"/>
      <c r="FM19" s="1412" t="n"/>
      <c r="FN19" s="1412" t="n"/>
      <c r="FO19" s="1412" t="n"/>
      <c r="FP19" s="1412" t="n"/>
      <c r="FQ19" s="1412" t="n"/>
      <c r="FR19" s="1410" t="n"/>
      <c r="FS19" s="1433" t="n"/>
      <c r="FT19" s="1412" t="n"/>
      <c r="FU19" s="1412" t="n"/>
      <c r="FV19" s="1412" t="n"/>
      <c r="FW19" s="1412" t="n"/>
      <c r="FX19" s="1412" t="n"/>
      <c r="FY19" s="1412" t="n"/>
      <c r="FZ19" s="1412" t="n"/>
      <c r="GA19" s="1412" t="n"/>
      <c r="GB19" s="1412" t="n"/>
      <c r="GC19" s="1412" t="n"/>
      <c r="GD19" s="1412" t="n"/>
      <c r="GE19" s="1412" t="n"/>
      <c r="GF19" s="1412" t="n"/>
      <c r="GG19" s="1410" t="n"/>
      <c r="GH19" s="906" t="n"/>
      <c r="GI19" s="1412" t="n"/>
      <c r="GJ19" s="1412" t="n"/>
      <c r="GK19" s="1412" t="n"/>
      <c r="GL19" s="1412" t="n"/>
      <c r="GM19" s="1412" t="n"/>
      <c r="GN19" s="1412" t="n"/>
      <c r="GO19" s="1412" t="n"/>
      <c r="GP19" s="1412" t="n"/>
      <c r="GQ19" s="1412" t="n"/>
      <c r="GR19" s="1412" t="n"/>
      <c r="GS19" s="1412" t="n"/>
      <c r="GT19" s="1412" t="n"/>
      <c r="GU19" s="1412" t="n"/>
      <c r="GV19" s="1412" t="n"/>
      <c r="GW19" s="1410" t="n"/>
      <c r="GX19" s="1433" t="n"/>
      <c r="GY19" s="1412" t="n"/>
      <c r="GZ19" s="1412" t="n"/>
      <c r="HA19" s="1412" t="n"/>
      <c r="HB19" s="1412" t="n"/>
      <c r="HC19" s="1412" t="n"/>
      <c r="HD19" s="1412" t="n"/>
      <c r="HE19" s="1412" t="n"/>
      <c r="HF19" s="1412" t="n"/>
      <c r="HG19" s="1412" t="n"/>
      <c r="HH19" s="1412" t="n"/>
      <c r="HI19" s="1412" t="n"/>
      <c r="HJ19" s="1412" t="n"/>
      <c r="HK19" s="1412" t="n"/>
      <c r="HL19" s="1410" t="n"/>
      <c r="HM19" s="906" t="n"/>
      <c r="HN19" s="1412" t="n"/>
      <c r="HO19" s="1412" t="n"/>
      <c r="HP19" s="1412" t="n"/>
      <c r="HQ19" s="1412" t="n"/>
      <c r="HR19" s="1412" t="n"/>
      <c r="HS19" s="1412" t="n"/>
      <c r="HT19" s="1412" t="n"/>
      <c r="HU19" s="1412" t="n"/>
      <c r="HV19" s="1412" t="n"/>
      <c r="HW19" s="1412" t="n"/>
      <c r="HX19" s="1412" t="n"/>
      <c r="HY19" s="1412" t="n"/>
      <c r="HZ19" s="1412" t="n"/>
      <c r="IA19" s="1412" t="n"/>
      <c r="IB19" s="1410" t="n"/>
    </row>
    <row r="20" ht="12" customFormat="1" customHeight="1" s="1340">
      <c r="A20" s="938" t="n"/>
      <c r="B20" s="1412" t="n"/>
      <c r="C20" s="1412" t="n"/>
      <c r="D20" s="1412" t="n"/>
      <c r="E20" s="1412" t="n"/>
      <c r="F20" s="1410" t="n"/>
      <c r="G20" s="910" t="inlineStr">
        <is>
          <t>в том числе:</t>
        </is>
      </c>
      <c r="H20" s="1412" t="n"/>
      <c r="I20" s="1412" t="n"/>
      <c r="J20" s="1412" t="n"/>
      <c r="K20" s="1412" t="n"/>
      <c r="L20" s="1412" t="n"/>
      <c r="M20" s="1412" t="n"/>
      <c r="N20" s="1412" t="n"/>
      <c r="O20" s="1412" t="n"/>
      <c r="P20" s="1412" t="n"/>
      <c r="Q20" s="1412" t="n"/>
      <c r="R20" s="1412" t="n"/>
      <c r="S20" s="1412" t="n"/>
      <c r="T20" s="1412" t="n"/>
      <c r="U20" s="1412" t="n"/>
      <c r="V20" s="1412" t="n"/>
      <c r="W20" s="1412" t="n"/>
      <c r="X20" s="1412" t="n"/>
      <c r="Y20" s="1412" t="n"/>
      <c r="Z20" s="1412" t="n"/>
      <c r="AA20" s="1412" t="n"/>
      <c r="AB20" s="1412" t="n"/>
      <c r="AC20" s="1412" t="n"/>
      <c r="AD20" s="1412" t="n"/>
      <c r="AE20" s="1412" t="n"/>
      <c r="AF20" s="1412" t="n"/>
      <c r="AG20" s="1412" t="n"/>
      <c r="AH20" s="1412" t="n"/>
      <c r="AI20" s="1412" t="n"/>
      <c r="AJ20" s="1412" t="n"/>
      <c r="AK20" s="1412" t="n"/>
      <c r="AL20" s="1412" t="n"/>
      <c r="AM20" s="1412" t="n"/>
      <c r="AN20" s="1412" t="n"/>
      <c r="AO20" s="1412" t="n"/>
      <c r="AP20" s="1412" t="n"/>
      <c r="AQ20" s="1412" t="n"/>
      <c r="AR20" s="1412" t="n"/>
      <c r="AS20" s="1412" t="n"/>
      <c r="AT20" s="1412" t="n"/>
      <c r="AU20" s="1412" t="n"/>
      <c r="AV20" s="1412" t="n"/>
      <c r="AW20" s="1412" t="n"/>
      <c r="AX20" s="1412" t="n"/>
      <c r="AY20" s="1412" t="n"/>
      <c r="AZ20" s="1412" t="n"/>
      <c r="BA20" s="1412" t="n"/>
      <c r="BB20" s="1412" t="n"/>
      <c r="BC20" s="1412" t="n"/>
      <c r="BD20" s="1412" t="n"/>
      <c r="BE20" s="1412" t="n"/>
      <c r="BF20" s="1412" t="n"/>
      <c r="BG20" s="1412" t="n"/>
      <c r="BH20" s="1412" t="n"/>
      <c r="BI20" s="1412" t="n"/>
      <c r="BJ20" s="1410" t="n"/>
      <c r="BK20" s="871" t="n"/>
      <c r="BL20" s="1412" t="n"/>
      <c r="BM20" s="1412" t="n"/>
      <c r="BN20" s="1412" t="n"/>
      <c r="BO20" s="1412" t="n"/>
      <c r="BP20" s="1412" t="n"/>
      <c r="BQ20" s="1412" t="n"/>
      <c r="BR20" s="1412" t="n"/>
      <c r="BS20" s="1412" t="n"/>
      <c r="BT20" s="1412" t="n"/>
      <c r="BU20" s="1412" t="n"/>
      <c r="BV20" s="1412" t="n"/>
      <c r="BW20" s="1412" t="n"/>
      <c r="BX20" s="1412" t="n"/>
      <c r="BY20" s="1412" t="n"/>
      <c r="BZ20" s="1412" t="n"/>
      <c r="CA20" s="1412" t="n"/>
      <c r="CB20" s="1410" t="n"/>
      <c r="CC20" s="871" t="n"/>
      <c r="CD20" s="1412" t="n"/>
      <c r="CE20" s="1412" t="n"/>
      <c r="CF20" s="1412" t="n"/>
      <c r="CG20" s="1412" t="n"/>
      <c r="CH20" s="1412" t="n"/>
      <c r="CI20" s="1412" t="n"/>
      <c r="CJ20" s="1412" t="n"/>
      <c r="CK20" s="1412" t="n"/>
      <c r="CL20" s="1412" t="n"/>
      <c r="CM20" s="1412" t="n"/>
      <c r="CN20" s="1412" t="n"/>
      <c r="CO20" s="1412" t="n"/>
      <c r="CP20" s="1412" t="n"/>
      <c r="CQ20" s="1412" t="n"/>
      <c r="CR20" s="1412" t="n"/>
      <c r="CS20" s="1412" t="n"/>
      <c r="CT20" s="1410" t="n"/>
      <c r="CU20" s="938" t="n"/>
      <c r="CV20" s="1412" t="n"/>
      <c r="CW20" s="1412" t="n"/>
      <c r="CX20" s="1412" t="n"/>
      <c r="CY20" s="1412" t="n"/>
      <c r="CZ20" s="1412" t="n"/>
      <c r="DA20" s="1412" t="n"/>
      <c r="DB20" s="1412" t="n"/>
      <c r="DC20" s="1412" t="n"/>
      <c r="DD20" s="1412" t="n"/>
      <c r="DE20" s="1412" t="n"/>
      <c r="DF20" s="1412" t="n"/>
      <c r="DG20" s="1412" t="n"/>
      <c r="DH20" s="1412" t="n"/>
      <c r="DI20" s="1412" t="n"/>
      <c r="DJ20" s="1410" t="n"/>
      <c r="DK20" s="871" t="n"/>
      <c r="DL20" s="1412" t="n"/>
      <c r="DM20" s="1412" t="n"/>
      <c r="DN20" s="1412" t="n"/>
      <c r="DO20" s="1412" t="n"/>
      <c r="DP20" s="1412" t="n"/>
      <c r="DQ20" s="1412" t="n"/>
      <c r="DR20" s="1412" t="n"/>
      <c r="DS20" s="1412" t="n"/>
      <c r="DT20" s="1412" t="n"/>
      <c r="DU20" s="1412" t="n"/>
      <c r="DV20" s="1412" t="n"/>
      <c r="DW20" s="1412" t="n"/>
      <c r="DX20" s="1412" t="n"/>
      <c r="DY20" s="1412" t="n"/>
      <c r="DZ20" s="1412" t="n"/>
      <c r="EA20" s="1412" t="n"/>
      <c r="EB20" s="1410" t="n"/>
      <c r="EC20" s="938" t="n"/>
      <c r="ED20" s="1412" t="n"/>
      <c r="EE20" s="1412" t="n"/>
      <c r="EF20" s="1412" t="n"/>
      <c r="EG20" s="1412" t="n"/>
      <c r="EH20" s="1412" t="n"/>
      <c r="EI20" s="1412" t="n"/>
      <c r="EJ20" s="1412" t="n"/>
      <c r="EK20" s="1412" t="n"/>
      <c r="EL20" s="1412" t="n"/>
      <c r="EM20" s="1412" t="n"/>
      <c r="EN20" s="1412" t="n"/>
      <c r="EO20" s="1412" t="n"/>
      <c r="EP20" s="1412" t="n"/>
      <c r="EQ20" s="1412" t="n"/>
      <c r="ER20" s="1412" t="n"/>
      <c r="ES20" s="1410" t="n"/>
      <c r="ET20" s="906" t="n"/>
      <c r="EU20" s="1412" t="n"/>
      <c r="EV20" s="1412" t="n"/>
      <c r="EW20" s="1412" t="n"/>
      <c r="EX20" s="1412" t="n"/>
      <c r="EY20" s="1412" t="n"/>
      <c r="EZ20" s="1412" t="n"/>
      <c r="FA20" s="1412" t="n"/>
      <c r="FB20" s="1412" t="n"/>
      <c r="FC20" s="1412" t="n"/>
      <c r="FD20" s="1412" t="n"/>
      <c r="FE20" s="1410" t="n"/>
      <c r="FF20" s="906" t="n"/>
      <c r="FG20" s="1412" t="n"/>
      <c r="FH20" s="1412" t="n"/>
      <c r="FI20" s="1412" t="n"/>
      <c r="FJ20" s="1412" t="n"/>
      <c r="FK20" s="1412" t="n"/>
      <c r="FL20" s="1412" t="n"/>
      <c r="FM20" s="1412" t="n"/>
      <c r="FN20" s="1412" t="n"/>
      <c r="FO20" s="1412" t="n"/>
      <c r="FP20" s="1412" t="n"/>
      <c r="FQ20" s="1412" t="n"/>
      <c r="FR20" s="1410" t="n"/>
      <c r="FS20" s="906" t="n"/>
      <c r="FT20" s="1412" t="n"/>
      <c r="FU20" s="1412" t="n"/>
      <c r="FV20" s="1412" t="n"/>
      <c r="FW20" s="1412" t="n"/>
      <c r="FX20" s="1412" t="n"/>
      <c r="FY20" s="1412" t="n"/>
      <c r="FZ20" s="1412" t="n"/>
      <c r="GA20" s="1412" t="n"/>
      <c r="GB20" s="1412" t="n"/>
      <c r="GC20" s="1412" t="n"/>
      <c r="GD20" s="1412" t="n"/>
      <c r="GE20" s="1412" t="n"/>
      <c r="GF20" s="1412" t="n"/>
      <c r="GG20" s="1410" t="n"/>
      <c r="GH20" s="1435" t="n"/>
      <c r="GI20" s="1412" t="n"/>
      <c r="GJ20" s="1412" t="n"/>
      <c r="GK20" s="1412" t="n"/>
      <c r="GL20" s="1412" t="n"/>
      <c r="GM20" s="1412" t="n"/>
      <c r="GN20" s="1412" t="n"/>
      <c r="GO20" s="1412" t="n"/>
      <c r="GP20" s="1412" t="n"/>
      <c r="GQ20" s="1412" t="n"/>
      <c r="GR20" s="1412" t="n"/>
      <c r="GS20" s="1412" t="n"/>
      <c r="GT20" s="1412" t="n"/>
      <c r="GU20" s="1412" t="n"/>
      <c r="GV20" s="1412" t="n"/>
      <c r="GW20" s="1410" t="n"/>
      <c r="GX20" s="1433" t="n"/>
      <c r="GY20" s="1412" t="n"/>
      <c r="GZ20" s="1412" t="n"/>
      <c r="HA20" s="1412" t="n"/>
      <c r="HB20" s="1412" t="n"/>
      <c r="HC20" s="1412" t="n"/>
      <c r="HD20" s="1412" t="n"/>
      <c r="HE20" s="1412" t="n"/>
      <c r="HF20" s="1412" t="n"/>
      <c r="HG20" s="1412" t="n"/>
      <c r="HH20" s="1412" t="n"/>
      <c r="HI20" s="1412" t="n"/>
      <c r="HJ20" s="1412" t="n"/>
      <c r="HK20" s="1412" t="n"/>
      <c r="HL20" s="1410" t="n"/>
      <c r="HM20" s="906" t="n"/>
      <c r="HN20" s="1412" t="n"/>
      <c r="HO20" s="1412" t="n"/>
      <c r="HP20" s="1412" t="n"/>
      <c r="HQ20" s="1412" t="n"/>
      <c r="HR20" s="1412" t="n"/>
      <c r="HS20" s="1412" t="n"/>
      <c r="HT20" s="1412" t="n"/>
      <c r="HU20" s="1412" t="n"/>
      <c r="HV20" s="1412" t="n"/>
      <c r="HW20" s="1412" t="n"/>
      <c r="HX20" s="1412" t="n"/>
      <c r="HY20" s="1412" t="n"/>
      <c r="HZ20" s="1412" t="n"/>
      <c r="IA20" s="1412" t="n"/>
      <c r="IB20" s="1410" t="n"/>
    </row>
    <row r="21" ht="24" customFormat="1" customHeight="1" s="1340">
      <c r="A21" s="938" t="inlineStr">
        <is>
          <t>0101</t>
        </is>
      </c>
      <c r="B21" s="1412" t="n"/>
      <c r="C21" s="1412" t="n"/>
      <c r="D21" s="1412" t="n"/>
      <c r="E21" s="1412" t="n"/>
      <c r="F21" s="1410" t="n"/>
      <c r="G21" s="1436" t="inlineStr">
        <is>
          <t>приобретение сырья, материалов и вспомогательных 
материалов</t>
        </is>
      </c>
      <c r="H21" s="1412" t="n"/>
      <c r="I21" s="1412" t="n"/>
      <c r="J21" s="1412" t="n"/>
      <c r="K21" s="1412" t="n"/>
      <c r="L21" s="1412" t="n"/>
      <c r="M21" s="1412" t="n"/>
      <c r="N21" s="1412" t="n"/>
      <c r="O21" s="1412" t="n"/>
      <c r="P21" s="1412" t="n"/>
      <c r="Q21" s="1412" t="n"/>
      <c r="R21" s="1412" t="n"/>
      <c r="S21" s="1412" t="n"/>
      <c r="T21" s="1412" t="n"/>
      <c r="U21" s="1412" t="n"/>
      <c r="V21" s="1412" t="n"/>
      <c r="W21" s="1412" t="n"/>
      <c r="X21" s="1412" t="n"/>
      <c r="Y21" s="1412" t="n"/>
      <c r="Z21" s="1412" t="n"/>
      <c r="AA21" s="1412" t="n"/>
      <c r="AB21" s="1412" t="n"/>
      <c r="AC21" s="1412" t="n"/>
      <c r="AD21" s="1412" t="n"/>
      <c r="AE21" s="1412" t="n"/>
      <c r="AF21" s="1412" t="n"/>
      <c r="AG21" s="1412" t="n"/>
      <c r="AH21" s="1412" t="n"/>
      <c r="AI21" s="1412" t="n"/>
      <c r="AJ21" s="1412" t="n"/>
      <c r="AK21" s="1412" t="n"/>
      <c r="AL21" s="1412" t="n"/>
      <c r="AM21" s="1412" t="n"/>
      <c r="AN21" s="1412" t="n"/>
      <c r="AO21" s="1412" t="n"/>
      <c r="AP21" s="1412" t="n"/>
      <c r="AQ21" s="1412" t="n"/>
      <c r="AR21" s="1412" t="n"/>
      <c r="AS21" s="1412" t="n"/>
      <c r="AT21" s="1412" t="n"/>
      <c r="AU21" s="1412" t="n"/>
      <c r="AV21" s="1412" t="n"/>
      <c r="AW21" s="1412" t="n"/>
      <c r="AX21" s="1412" t="n"/>
      <c r="AY21" s="1412" t="n"/>
      <c r="AZ21" s="1412" t="n"/>
      <c r="BA21" s="1412" t="n"/>
      <c r="BB21" s="1412" t="n"/>
      <c r="BC21" s="1412" t="n"/>
      <c r="BD21" s="1412" t="n"/>
      <c r="BE21" s="1412" t="n"/>
      <c r="BF21" s="1412" t="n"/>
      <c r="BG21" s="1412" t="n"/>
      <c r="BH21" s="1412" t="n"/>
      <c r="BI21" s="1412" t="n"/>
      <c r="BJ21" s="1410" t="n"/>
      <c r="BK21" s="871" t="n"/>
      <c r="BL21" s="1412" t="n"/>
      <c r="BM21" s="1412" t="n"/>
      <c r="BN21" s="1412" t="n"/>
      <c r="BO21" s="1412" t="n"/>
      <c r="BP21" s="1412" t="n"/>
      <c r="BQ21" s="1412" t="n"/>
      <c r="BR21" s="1412" t="n"/>
      <c r="BS21" s="1412" t="n"/>
      <c r="BT21" s="1412" t="n"/>
      <c r="BU21" s="1412" t="n"/>
      <c r="BV21" s="1412" t="n"/>
      <c r="BW21" s="1412" t="n"/>
      <c r="BX21" s="1412" t="n"/>
      <c r="BY21" s="1412" t="n"/>
      <c r="BZ21" s="1412" t="n"/>
      <c r="CA21" s="1412" t="n"/>
      <c r="CB21" s="1410" t="n"/>
      <c r="CC21" s="871" t="n"/>
      <c r="CD21" s="1412" t="n"/>
      <c r="CE21" s="1412" t="n"/>
      <c r="CF21" s="1412" t="n"/>
      <c r="CG21" s="1412" t="n"/>
      <c r="CH21" s="1412" t="n"/>
      <c r="CI21" s="1412" t="n"/>
      <c r="CJ21" s="1412" t="n"/>
      <c r="CK21" s="1412" t="n"/>
      <c r="CL21" s="1412" t="n"/>
      <c r="CM21" s="1412" t="n"/>
      <c r="CN21" s="1412" t="n"/>
      <c r="CO21" s="1412" t="n"/>
      <c r="CP21" s="1412" t="n"/>
      <c r="CQ21" s="1412" t="n"/>
      <c r="CR21" s="1412" t="n"/>
      <c r="CS21" s="1412" t="n"/>
      <c r="CT21" s="1410" t="n"/>
      <c r="CU21" s="938" t="n"/>
      <c r="CV21" s="1412" t="n"/>
      <c r="CW21" s="1412" t="n"/>
      <c r="CX21" s="1412" t="n"/>
      <c r="CY21" s="1412" t="n"/>
      <c r="CZ21" s="1412" t="n"/>
      <c r="DA21" s="1412" t="n"/>
      <c r="DB21" s="1412" t="n"/>
      <c r="DC21" s="1412" t="n"/>
      <c r="DD21" s="1412" t="n"/>
      <c r="DE21" s="1412" t="n"/>
      <c r="DF21" s="1412" t="n"/>
      <c r="DG21" s="1412" t="n"/>
      <c r="DH21" s="1412" t="n"/>
      <c r="DI21" s="1412" t="n"/>
      <c r="DJ21" s="1410" t="n"/>
      <c r="DK21" s="871" t="n"/>
      <c r="DL21" s="1412" t="n"/>
      <c r="DM21" s="1412" t="n"/>
      <c r="DN21" s="1412" t="n"/>
      <c r="DO21" s="1412" t="n"/>
      <c r="DP21" s="1412" t="n"/>
      <c r="DQ21" s="1412" t="n"/>
      <c r="DR21" s="1412" t="n"/>
      <c r="DS21" s="1412" t="n"/>
      <c r="DT21" s="1412" t="n"/>
      <c r="DU21" s="1412" t="n"/>
      <c r="DV21" s="1412" t="n"/>
      <c r="DW21" s="1412" t="n"/>
      <c r="DX21" s="1412" t="n"/>
      <c r="DY21" s="1412" t="n"/>
      <c r="DZ21" s="1412" t="n"/>
      <c r="EA21" s="1412" t="n"/>
      <c r="EB21" s="1410" t="n"/>
      <c r="EC21" s="938" t="n"/>
      <c r="ED21" s="1412" t="n"/>
      <c r="EE21" s="1412" t="n"/>
      <c r="EF21" s="1412" t="n"/>
      <c r="EG21" s="1412" t="n"/>
      <c r="EH21" s="1412" t="n"/>
      <c r="EI21" s="1412" t="n"/>
      <c r="EJ21" s="1412" t="n"/>
      <c r="EK21" s="1412" t="n"/>
      <c r="EL21" s="1412" t="n"/>
      <c r="EM21" s="1412" t="n"/>
      <c r="EN21" s="1412" t="n"/>
      <c r="EO21" s="1412" t="n"/>
      <c r="EP21" s="1412" t="n"/>
      <c r="EQ21" s="1412" t="n"/>
      <c r="ER21" s="1412" t="n"/>
      <c r="ES21" s="1410" t="n"/>
      <c r="ET21" s="906" t="n"/>
      <c r="EU21" s="1412" t="n"/>
      <c r="EV21" s="1412" t="n"/>
      <c r="EW21" s="1412" t="n"/>
      <c r="EX21" s="1412" t="n"/>
      <c r="EY21" s="1412" t="n"/>
      <c r="EZ21" s="1412" t="n"/>
      <c r="FA21" s="1412" t="n"/>
      <c r="FB21" s="1412" t="n"/>
      <c r="FC21" s="1412" t="n"/>
      <c r="FD21" s="1412" t="n"/>
      <c r="FE21" s="1410" t="n"/>
      <c r="FF21" s="906" t="n"/>
      <c r="FG21" s="1412" t="n"/>
      <c r="FH21" s="1412" t="n"/>
      <c r="FI21" s="1412" t="n"/>
      <c r="FJ21" s="1412" t="n"/>
      <c r="FK21" s="1412" t="n"/>
      <c r="FL21" s="1412" t="n"/>
      <c r="FM21" s="1412" t="n"/>
      <c r="FN21" s="1412" t="n"/>
      <c r="FO21" s="1412" t="n"/>
      <c r="FP21" s="1412" t="n"/>
      <c r="FQ21" s="1412" t="n"/>
      <c r="FR21" s="1410" t="n"/>
      <c r="FS21" s="906" t="n"/>
      <c r="FT21" s="1412" t="n"/>
      <c r="FU21" s="1412" t="n"/>
      <c r="FV21" s="1412" t="n"/>
      <c r="FW21" s="1412" t="n"/>
      <c r="FX21" s="1412" t="n"/>
      <c r="FY21" s="1412" t="n"/>
      <c r="FZ21" s="1412" t="n"/>
      <c r="GA21" s="1412" t="n"/>
      <c r="GB21" s="1412" t="n"/>
      <c r="GC21" s="1412" t="n"/>
      <c r="GD21" s="1412" t="n"/>
      <c r="GE21" s="1412" t="n"/>
      <c r="GF21" s="1412" t="n"/>
      <c r="GG21" s="1410" t="n"/>
      <c r="GH21" s="906" t="n"/>
      <c r="GI21" s="1412" t="n"/>
      <c r="GJ21" s="1412" t="n"/>
      <c r="GK21" s="1412" t="n"/>
      <c r="GL21" s="1412" t="n"/>
      <c r="GM21" s="1412" t="n"/>
      <c r="GN21" s="1412" t="n"/>
      <c r="GO21" s="1412" t="n"/>
      <c r="GP21" s="1412" t="n"/>
      <c r="GQ21" s="1412" t="n"/>
      <c r="GR21" s="1412" t="n"/>
      <c r="GS21" s="1412" t="n"/>
      <c r="GT21" s="1412" t="n"/>
      <c r="GU21" s="1412" t="n"/>
      <c r="GV21" s="1412" t="n"/>
      <c r="GW21" s="1410" t="n"/>
      <c r="GX21" s="1433" t="n"/>
      <c r="GY21" s="1412" t="n"/>
      <c r="GZ21" s="1412" t="n"/>
      <c r="HA21" s="1412" t="n"/>
      <c r="HB21" s="1412" t="n"/>
      <c r="HC21" s="1412" t="n"/>
      <c r="HD21" s="1412" t="n"/>
      <c r="HE21" s="1412" t="n"/>
      <c r="HF21" s="1412" t="n"/>
      <c r="HG21" s="1412" t="n"/>
      <c r="HH21" s="1412" t="n"/>
      <c r="HI21" s="1412" t="n"/>
      <c r="HJ21" s="1412" t="n"/>
      <c r="HK21" s="1412" t="n"/>
      <c r="HL21" s="1410" t="n"/>
      <c r="HM21" s="906" t="n"/>
      <c r="HN21" s="1412" t="n"/>
      <c r="HO21" s="1412" t="n"/>
      <c r="HP21" s="1412" t="n"/>
      <c r="HQ21" s="1412" t="n"/>
      <c r="HR21" s="1412" t="n"/>
      <c r="HS21" s="1412" t="n"/>
      <c r="HT21" s="1412" t="n"/>
      <c r="HU21" s="1412" t="n"/>
      <c r="HV21" s="1412" t="n"/>
      <c r="HW21" s="1412" t="n"/>
      <c r="HX21" s="1412" t="n"/>
      <c r="HY21" s="1412" t="n"/>
      <c r="HZ21" s="1412" t="n"/>
      <c r="IA21" s="1412" t="n"/>
      <c r="IB21" s="1410" t="n"/>
    </row>
    <row r="22" ht="12" customFormat="1" customHeight="1" s="1340">
      <c r="A22" s="938" t="inlineStr">
        <is>
          <t>0102</t>
        </is>
      </c>
      <c r="B22" s="1412" t="n"/>
      <c r="C22" s="1412" t="n"/>
      <c r="D22" s="1412" t="n"/>
      <c r="E22" s="1412" t="n"/>
      <c r="F22" s="1410" t="n"/>
      <c r="G22" s="910" t="inlineStr">
        <is>
          <t>приобретение полуфабрикатов</t>
        </is>
      </c>
      <c r="H22" s="1412" t="n"/>
      <c r="I22" s="1412" t="n"/>
      <c r="J22" s="1412" t="n"/>
      <c r="K22" s="1412" t="n"/>
      <c r="L22" s="1412" t="n"/>
      <c r="M22" s="1412" t="n"/>
      <c r="N22" s="1412" t="n"/>
      <c r="O22" s="1412" t="n"/>
      <c r="P22" s="1412" t="n"/>
      <c r="Q22" s="1412" t="n"/>
      <c r="R22" s="1412" t="n"/>
      <c r="S22" s="1412" t="n"/>
      <c r="T22" s="1412" t="n"/>
      <c r="U22" s="1412" t="n"/>
      <c r="V22" s="1412" t="n"/>
      <c r="W22" s="1412" t="n"/>
      <c r="X22" s="1412" t="n"/>
      <c r="Y22" s="1412" t="n"/>
      <c r="Z22" s="1412" t="n"/>
      <c r="AA22" s="1412" t="n"/>
      <c r="AB22" s="1412" t="n"/>
      <c r="AC22" s="1412" t="n"/>
      <c r="AD22" s="1412" t="n"/>
      <c r="AE22" s="1412" t="n"/>
      <c r="AF22" s="1412" t="n"/>
      <c r="AG22" s="1412" t="n"/>
      <c r="AH22" s="1412" t="n"/>
      <c r="AI22" s="1412" t="n"/>
      <c r="AJ22" s="1412" t="n"/>
      <c r="AK22" s="1412" t="n"/>
      <c r="AL22" s="1412" t="n"/>
      <c r="AM22" s="1412" t="n"/>
      <c r="AN22" s="1412" t="n"/>
      <c r="AO22" s="1412" t="n"/>
      <c r="AP22" s="1412" t="n"/>
      <c r="AQ22" s="1412" t="n"/>
      <c r="AR22" s="1412" t="n"/>
      <c r="AS22" s="1412" t="n"/>
      <c r="AT22" s="1412" t="n"/>
      <c r="AU22" s="1412" t="n"/>
      <c r="AV22" s="1412" t="n"/>
      <c r="AW22" s="1412" t="n"/>
      <c r="AX22" s="1412" t="n"/>
      <c r="AY22" s="1412" t="n"/>
      <c r="AZ22" s="1412" t="n"/>
      <c r="BA22" s="1412" t="n"/>
      <c r="BB22" s="1412" t="n"/>
      <c r="BC22" s="1412" t="n"/>
      <c r="BD22" s="1412" t="n"/>
      <c r="BE22" s="1412" t="n"/>
      <c r="BF22" s="1412" t="n"/>
      <c r="BG22" s="1412" t="n"/>
      <c r="BH22" s="1412" t="n"/>
      <c r="BI22" s="1412" t="n"/>
      <c r="BJ22" s="1410" t="n"/>
      <c r="BK22" s="871" t="n"/>
      <c r="BL22" s="1412" t="n"/>
      <c r="BM22" s="1412" t="n"/>
      <c r="BN22" s="1412" t="n"/>
      <c r="BO22" s="1412" t="n"/>
      <c r="BP22" s="1412" t="n"/>
      <c r="BQ22" s="1412" t="n"/>
      <c r="BR22" s="1412" t="n"/>
      <c r="BS22" s="1412" t="n"/>
      <c r="BT22" s="1412" t="n"/>
      <c r="BU22" s="1412" t="n"/>
      <c r="BV22" s="1412" t="n"/>
      <c r="BW22" s="1412" t="n"/>
      <c r="BX22" s="1412" t="n"/>
      <c r="BY22" s="1412" t="n"/>
      <c r="BZ22" s="1412" t="n"/>
      <c r="CA22" s="1412" t="n"/>
      <c r="CB22" s="1410" t="n"/>
      <c r="CC22" s="871" t="n"/>
      <c r="CD22" s="1412" t="n"/>
      <c r="CE22" s="1412" t="n"/>
      <c r="CF22" s="1412" t="n"/>
      <c r="CG22" s="1412" t="n"/>
      <c r="CH22" s="1412" t="n"/>
      <c r="CI22" s="1412" t="n"/>
      <c r="CJ22" s="1412" t="n"/>
      <c r="CK22" s="1412" t="n"/>
      <c r="CL22" s="1412" t="n"/>
      <c r="CM22" s="1412" t="n"/>
      <c r="CN22" s="1412" t="n"/>
      <c r="CO22" s="1412" t="n"/>
      <c r="CP22" s="1412" t="n"/>
      <c r="CQ22" s="1412" t="n"/>
      <c r="CR22" s="1412" t="n"/>
      <c r="CS22" s="1412" t="n"/>
      <c r="CT22" s="1410" t="n"/>
      <c r="CU22" s="938" t="n"/>
      <c r="CV22" s="1412" t="n"/>
      <c r="CW22" s="1412" t="n"/>
      <c r="CX22" s="1412" t="n"/>
      <c r="CY22" s="1412" t="n"/>
      <c r="CZ22" s="1412" t="n"/>
      <c r="DA22" s="1412" t="n"/>
      <c r="DB22" s="1412" t="n"/>
      <c r="DC22" s="1412" t="n"/>
      <c r="DD22" s="1412" t="n"/>
      <c r="DE22" s="1412" t="n"/>
      <c r="DF22" s="1412" t="n"/>
      <c r="DG22" s="1412" t="n"/>
      <c r="DH22" s="1412" t="n"/>
      <c r="DI22" s="1412" t="n"/>
      <c r="DJ22" s="1410" t="n"/>
      <c r="DK22" s="871" t="n"/>
      <c r="DL22" s="1412" t="n"/>
      <c r="DM22" s="1412" t="n"/>
      <c r="DN22" s="1412" t="n"/>
      <c r="DO22" s="1412" t="n"/>
      <c r="DP22" s="1412" t="n"/>
      <c r="DQ22" s="1412" t="n"/>
      <c r="DR22" s="1412" t="n"/>
      <c r="DS22" s="1412" t="n"/>
      <c r="DT22" s="1412" t="n"/>
      <c r="DU22" s="1412" t="n"/>
      <c r="DV22" s="1412" t="n"/>
      <c r="DW22" s="1412" t="n"/>
      <c r="DX22" s="1412" t="n"/>
      <c r="DY22" s="1412" t="n"/>
      <c r="DZ22" s="1412" t="n"/>
      <c r="EA22" s="1412" t="n"/>
      <c r="EB22" s="1410" t="n"/>
      <c r="EC22" s="938" t="n"/>
      <c r="ED22" s="1412" t="n"/>
      <c r="EE22" s="1412" t="n"/>
      <c r="EF22" s="1412" t="n"/>
      <c r="EG22" s="1412" t="n"/>
      <c r="EH22" s="1412" t="n"/>
      <c r="EI22" s="1412" t="n"/>
      <c r="EJ22" s="1412" t="n"/>
      <c r="EK22" s="1412" t="n"/>
      <c r="EL22" s="1412" t="n"/>
      <c r="EM22" s="1412" t="n"/>
      <c r="EN22" s="1412" t="n"/>
      <c r="EO22" s="1412" t="n"/>
      <c r="EP22" s="1412" t="n"/>
      <c r="EQ22" s="1412" t="n"/>
      <c r="ER22" s="1412" t="n"/>
      <c r="ES22" s="1410" t="n"/>
      <c r="ET22" s="906" t="n"/>
      <c r="EU22" s="1412" t="n"/>
      <c r="EV22" s="1412" t="n"/>
      <c r="EW22" s="1412" t="n"/>
      <c r="EX22" s="1412" t="n"/>
      <c r="EY22" s="1412" t="n"/>
      <c r="EZ22" s="1412" t="n"/>
      <c r="FA22" s="1412" t="n"/>
      <c r="FB22" s="1412" t="n"/>
      <c r="FC22" s="1412" t="n"/>
      <c r="FD22" s="1412" t="n"/>
      <c r="FE22" s="1410" t="n"/>
      <c r="FF22" s="906" t="n"/>
      <c r="FG22" s="1412" t="n"/>
      <c r="FH22" s="1412" t="n"/>
      <c r="FI22" s="1412" t="n"/>
      <c r="FJ22" s="1412" t="n"/>
      <c r="FK22" s="1412" t="n"/>
      <c r="FL22" s="1412" t="n"/>
      <c r="FM22" s="1412" t="n"/>
      <c r="FN22" s="1412" t="n"/>
      <c r="FO22" s="1412" t="n"/>
      <c r="FP22" s="1412" t="n"/>
      <c r="FQ22" s="1412" t="n"/>
      <c r="FR22" s="1410" t="n"/>
      <c r="FS22" s="906" t="n"/>
      <c r="FT22" s="1412" t="n"/>
      <c r="FU22" s="1412" t="n"/>
      <c r="FV22" s="1412" t="n"/>
      <c r="FW22" s="1412" t="n"/>
      <c r="FX22" s="1412" t="n"/>
      <c r="FY22" s="1412" t="n"/>
      <c r="FZ22" s="1412" t="n"/>
      <c r="GA22" s="1412" t="n"/>
      <c r="GB22" s="1412" t="n"/>
      <c r="GC22" s="1412" t="n"/>
      <c r="GD22" s="1412" t="n"/>
      <c r="GE22" s="1412" t="n"/>
      <c r="GF22" s="1412" t="n"/>
      <c r="GG22" s="1410" t="n"/>
      <c r="GH22" s="906" t="n"/>
      <c r="GI22" s="1412" t="n"/>
      <c r="GJ22" s="1412" t="n"/>
      <c r="GK22" s="1412" t="n"/>
      <c r="GL22" s="1412" t="n"/>
      <c r="GM22" s="1412" t="n"/>
      <c r="GN22" s="1412" t="n"/>
      <c r="GO22" s="1412" t="n"/>
      <c r="GP22" s="1412" t="n"/>
      <c r="GQ22" s="1412" t="n"/>
      <c r="GR22" s="1412" t="n"/>
      <c r="GS22" s="1412" t="n"/>
      <c r="GT22" s="1412" t="n"/>
      <c r="GU22" s="1412" t="n"/>
      <c r="GV22" s="1412" t="n"/>
      <c r="GW22" s="1410" t="n"/>
      <c r="GX22" s="1433" t="n"/>
      <c r="GY22" s="1412" t="n"/>
      <c r="GZ22" s="1412" t="n"/>
      <c r="HA22" s="1412" t="n"/>
      <c r="HB22" s="1412" t="n"/>
      <c r="HC22" s="1412" t="n"/>
      <c r="HD22" s="1412" t="n"/>
      <c r="HE22" s="1412" t="n"/>
      <c r="HF22" s="1412" t="n"/>
      <c r="HG22" s="1412" t="n"/>
      <c r="HH22" s="1412" t="n"/>
      <c r="HI22" s="1412" t="n"/>
      <c r="HJ22" s="1412" t="n"/>
      <c r="HK22" s="1412" t="n"/>
      <c r="HL22" s="1410" t="n"/>
      <c r="HM22" s="906" t="n"/>
      <c r="HN22" s="1412" t="n"/>
      <c r="HO22" s="1412" t="n"/>
      <c r="HP22" s="1412" t="n"/>
      <c r="HQ22" s="1412" t="n"/>
      <c r="HR22" s="1412" t="n"/>
      <c r="HS22" s="1412" t="n"/>
      <c r="HT22" s="1412" t="n"/>
      <c r="HU22" s="1412" t="n"/>
      <c r="HV22" s="1412" t="n"/>
      <c r="HW22" s="1412" t="n"/>
      <c r="HX22" s="1412" t="n"/>
      <c r="HY22" s="1412" t="n"/>
      <c r="HZ22" s="1412" t="n"/>
      <c r="IA22" s="1412" t="n"/>
      <c r="IB22" s="1410" t="n"/>
    </row>
    <row r="23" ht="12" customFormat="1" customHeight="1" s="1340">
      <c r="A23" s="938" t="inlineStr">
        <is>
          <t>0103</t>
        </is>
      </c>
      <c r="B23" s="1412" t="n"/>
      <c r="C23" s="1412" t="n"/>
      <c r="D23" s="1412" t="n"/>
      <c r="E23" s="1412" t="n"/>
      <c r="F23" s="1410" t="n"/>
      <c r="G23" s="910" t="inlineStr">
        <is>
          <t>возвратные отходы</t>
        </is>
      </c>
      <c r="H23" s="1412" t="n"/>
      <c r="I23" s="1412" t="n"/>
      <c r="J23" s="1412" t="n"/>
      <c r="K23" s="1412" t="n"/>
      <c r="L23" s="1412" t="n"/>
      <c r="M23" s="1412" t="n"/>
      <c r="N23" s="1412" t="n"/>
      <c r="O23" s="1412" t="n"/>
      <c r="P23" s="1412" t="n"/>
      <c r="Q23" s="1412" t="n"/>
      <c r="R23" s="1412" t="n"/>
      <c r="S23" s="1412" t="n"/>
      <c r="T23" s="1412" t="n"/>
      <c r="U23" s="1412" t="n"/>
      <c r="V23" s="1412" t="n"/>
      <c r="W23" s="1412" t="n"/>
      <c r="X23" s="1412" t="n"/>
      <c r="Y23" s="1412" t="n"/>
      <c r="Z23" s="1412" t="n"/>
      <c r="AA23" s="1412" t="n"/>
      <c r="AB23" s="1412" t="n"/>
      <c r="AC23" s="1412" t="n"/>
      <c r="AD23" s="1412" t="n"/>
      <c r="AE23" s="1412" t="n"/>
      <c r="AF23" s="1412" t="n"/>
      <c r="AG23" s="1412" t="n"/>
      <c r="AH23" s="1412" t="n"/>
      <c r="AI23" s="1412" t="n"/>
      <c r="AJ23" s="1412" t="n"/>
      <c r="AK23" s="1412" t="n"/>
      <c r="AL23" s="1412" t="n"/>
      <c r="AM23" s="1412" t="n"/>
      <c r="AN23" s="1412" t="n"/>
      <c r="AO23" s="1412" t="n"/>
      <c r="AP23" s="1412" t="n"/>
      <c r="AQ23" s="1412" t="n"/>
      <c r="AR23" s="1412" t="n"/>
      <c r="AS23" s="1412" t="n"/>
      <c r="AT23" s="1412" t="n"/>
      <c r="AU23" s="1412" t="n"/>
      <c r="AV23" s="1412" t="n"/>
      <c r="AW23" s="1412" t="n"/>
      <c r="AX23" s="1412" t="n"/>
      <c r="AY23" s="1412" t="n"/>
      <c r="AZ23" s="1412" t="n"/>
      <c r="BA23" s="1412" t="n"/>
      <c r="BB23" s="1412" t="n"/>
      <c r="BC23" s="1412" t="n"/>
      <c r="BD23" s="1412" t="n"/>
      <c r="BE23" s="1412" t="n"/>
      <c r="BF23" s="1412" t="n"/>
      <c r="BG23" s="1412" t="n"/>
      <c r="BH23" s="1412" t="n"/>
      <c r="BI23" s="1412" t="n"/>
      <c r="BJ23" s="1410" t="n"/>
      <c r="BK23" s="871" t="inlineStr">
        <is>
          <t>Х</t>
        </is>
      </c>
      <c r="BL23" s="1412" t="n"/>
      <c r="BM23" s="1412" t="n"/>
      <c r="BN23" s="1412" t="n"/>
      <c r="BO23" s="1412" t="n"/>
      <c r="BP23" s="1412" t="n"/>
      <c r="BQ23" s="1412" t="n"/>
      <c r="BR23" s="1412" t="n"/>
      <c r="BS23" s="1412" t="n"/>
      <c r="BT23" s="1412" t="n"/>
      <c r="BU23" s="1412" t="n"/>
      <c r="BV23" s="1412" t="n"/>
      <c r="BW23" s="1412" t="n"/>
      <c r="BX23" s="1412" t="n"/>
      <c r="BY23" s="1412" t="n"/>
      <c r="BZ23" s="1412" t="n"/>
      <c r="CA23" s="1412" t="n"/>
      <c r="CB23" s="1410" t="n"/>
      <c r="CC23" s="871" t="inlineStr">
        <is>
          <t>Х</t>
        </is>
      </c>
      <c r="CD23" s="1412" t="n"/>
      <c r="CE23" s="1412" t="n"/>
      <c r="CF23" s="1412" t="n"/>
      <c r="CG23" s="1412" t="n"/>
      <c r="CH23" s="1412" t="n"/>
      <c r="CI23" s="1412" t="n"/>
      <c r="CJ23" s="1412" t="n"/>
      <c r="CK23" s="1412" t="n"/>
      <c r="CL23" s="1412" t="n"/>
      <c r="CM23" s="1412" t="n"/>
      <c r="CN23" s="1412" t="n"/>
      <c r="CO23" s="1412" t="n"/>
      <c r="CP23" s="1412" t="n"/>
      <c r="CQ23" s="1412" t="n"/>
      <c r="CR23" s="1412" t="n"/>
      <c r="CS23" s="1412" t="n"/>
      <c r="CT23" s="1410" t="n"/>
      <c r="CU23" s="938" t="inlineStr">
        <is>
          <t>Х</t>
        </is>
      </c>
      <c r="CV23" s="1412" t="n"/>
      <c r="CW23" s="1412" t="n"/>
      <c r="CX23" s="1412" t="n"/>
      <c r="CY23" s="1412" t="n"/>
      <c r="CZ23" s="1412" t="n"/>
      <c r="DA23" s="1412" t="n"/>
      <c r="DB23" s="1412" t="n"/>
      <c r="DC23" s="1412" t="n"/>
      <c r="DD23" s="1412" t="n"/>
      <c r="DE23" s="1412" t="n"/>
      <c r="DF23" s="1412" t="n"/>
      <c r="DG23" s="1412" t="n"/>
      <c r="DH23" s="1412" t="n"/>
      <c r="DI23" s="1412" t="n"/>
      <c r="DJ23" s="1410" t="n"/>
      <c r="DK23" s="871" t="inlineStr">
        <is>
          <t>Х</t>
        </is>
      </c>
      <c r="DL23" s="1412" t="n"/>
      <c r="DM23" s="1412" t="n"/>
      <c r="DN23" s="1412" t="n"/>
      <c r="DO23" s="1412" t="n"/>
      <c r="DP23" s="1412" t="n"/>
      <c r="DQ23" s="1412" t="n"/>
      <c r="DR23" s="1412" t="n"/>
      <c r="DS23" s="1412" t="n"/>
      <c r="DT23" s="1412" t="n"/>
      <c r="DU23" s="1412" t="n"/>
      <c r="DV23" s="1412" t="n"/>
      <c r="DW23" s="1412" t="n"/>
      <c r="DX23" s="1412" t="n"/>
      <c r="DY23" s="1412" t="n"/>
      <c r="DZ23" s="1412" t="n"/>
      <c r="EA23" s="1412" t="n"/>
      <c r="EB23" s="1410" t="n"/>
      <c r="EC23" s="938" t="inlineStr">
        <is>
          <t>Х</t>
        </is>
      </c>
      <c r="ED23" s="1412" t="n"/>
      <c r="EE23" s="1412" t="n"/>
      <c r="EF23" s="1412" t="n"/>
      <c r="EG23" s="1412" t="n"/>
      <c r="EH23" s="1412" t="n"/>
      <c r="EI23" s="1412" t="n"/>
      <c r="EJ23" s="1412" t="n"/>
      <c r="EK23" s="1412" t="n"/>
      <c r="EL23" s="1412" t="n"/>
      <c r="EM23" s="1412" t="n"/>
      <c r="EN23" s="1412" t="n"/>
      <c r="EO23" s="1412" t="n"/>
      <c r="EP23" s="1412" t="n"/>
      <c r="EQ23" s="1412" t="n"/>
      <c r="ER23" s="1412" t="n"/>
      <c r="ES23" s="1410" t="n"/>
      <c r="ET23" s="906" t="inlineStr">
        <is>
          <t>Х</t>
        </is>
      </c>
      <c r="EU23" s="1412" t="n"/>
      <c r="EV23" s="1412" t="n"/>
      <c r="EW23" s="1412" t="n"/>
      <c r="EX23" s="1412" t="n"/>
      <c r="EY23" s="1412" t="n"/>
      <c r="EZ23" s="1412" t="n"/>
      <c r="FA23" s="1412" t="n"/>
      <c r="FB23" s="1412" t="n"/>
      <c r="FC23" s="1412" t="n"/>
      <c r="FD23" s="1412" t="n"/>
      <c r="FE23" s="1410" t="n"/>
      <c r="FF23" s="906" t="inlineStr">
        <is>
          <t>Х</t>
        </is>
      </c>
      <c r="FG23" s="1412" t="n"/>
      <c r="FH23" s="1412" t="n"/>
      <c r="FI23" s="1412" t="n"/>
      <c r="FJ23" s="1412" t="n"/>
      <c r="FK23" s="1412" t="n"/>
      <c r="FL23" s="1412" t="n"/>
      <c r="FM23" s="1412" t="n"/>
      <c r="FN23" s="1412" t="n"/>
      <c r="FO23" s="1412" t="n"/>
      <c r="FP23" s="1412" t="n"/>
      <c r="FQ23" s="1412" t="n"/>
      <c r="FR23" s="1410" t="n"/>
      <c r="FS23" s="906" t="inlineStr">
        <is>
          <t>Х</t>
        </is>
      </c>
      <c r="FT23" s="1412" t="n"/>
      <c r="FU23" s="1412" t="n"/>
      <c r="FV23" s="1412" t="n"/>
      <c r="FW23" s="1412" t="n"/>
      <c r="FX23" s="1412" t="n"/>
      <c r="FY23" s="1412" t="n"/>
      <c r="FZ23" s="1412" t="n"/>
      <c r="GA23" s="1412" t="n"/>
      <c r="GB23" s="1412" t="n"/>
      <c r="GC23" s="1412" t="n"/>
      <c r="GD23" s="1412" t="n"/>
      <c r="GE23" s="1412" t="n"/>
      <c r="GF23" s="1412" t="n"/>
      <c r="GG23" s="1410" t="n"/>
      <c r="GH23" s="906" t="inlineStr">
        <is>
          <t>Х</t>
        </is>
      </c>
      <c r="GI23" s="1412" t="n"/>
      <c r="GJ23" s="1412" t="n"/>
      <c r="GK23" s="1412" t="n"/>
      <c r="GL23" s="1412" t="n"/>
      <c r="GM23" s="1412" t="n"/>
      <c r="GN23" s="1412" t="n"/>
      <c r="GO23" s="1412" t="n"/>
      <c r="GP23" s="1412" t="n"/>
      <c r="GQ23" s="1412" t="n"/>
      <c r="GR23" s="1412" t="n"/>
      <c r="GS23" s="1412" t="n"/>
      <c r="GT23" s="1412" t="n"/>
      <c r="GU23" s="1412" t="n"/>
      <c r="GV23" s="1412" t="n"/>
      <c r="GW23" s="1410" t="n"/>
      <c r="GX23" s="1433" t="n"/>
      <c r="GY23" s="1412" t="n"/>
      <c r="GZ23" s="1412" t="n"/>
      <c r="HA23" s="1412" t="n"/>
      <c r="HB23" s="1412" t="n"/>
      <c r="HC23" s="1412" t="n"/>
      <c r="HD23" s="1412" t="n"/>
      <c r="HE23" s="1412" t="n"/>
      <c r="HF23" s="1412" t="n"/>
      <c r="HG23" s="1412" t="n"/>
      <c r="HH23" s="1412" t="n"/>
      <c r="HI23" s="1412" t="n"/>
      <c r="HJ23" s="1412" t="n"/>
      <c r="HK23" s="1412" t="n"/>
      <c r="HL23" s="1410" t="n"/>
      <c r="HM23" s="906" t="n"/>
      <c r="HN23" s="1412" t="n"/>
      <c r="HO23" s="1412" t="n"/>
      <c r="HP23" s="1412" t="n"/>
      <c r="HQ23" s="1412" t="n"/>
      <c r="HR23" s="1412" t="n"/>
      <c r="HS23" s="1412" t="n"/>
      <c r="HT23" s="1412" t="n"/>
      <c r="HU23" s="1412" t="n"/>
      <c r="HV23" s="1412" t="n"/>
      <c r="HW23" s="1412" t="n"/>
      <c r="HX23" s="1412" t="n"/>
      <c r="HY23" s="1412" t="n"/>
      <c r="HZ23" s="1412" t="n"/>
      <c r="IA23" s="1412" t="n"/>
      <c r="IB23" s="1410" t="n"/>
    </row>
    <row r="24" ht="12" customFormat="1" customHeight="1" s="1340">
      <c r="A24" s="938" t="inlineStr">
        <is>
          <t>0104</t>
        </is>
      </c>
      <c r="B24" s="1412" t="n"/>
      <c r="C24" s="1412" t="n"/>
      <c r="D24" s="1412" t="n"/>
      <c r="E24" s="1412" t="n"/>
      <c r="F24" s="1410" t="n"/>
      <c r="G24" s="910" t="inlineStr">
        <is>
          <t>приобретение комплектующих изделий</t>
        </is>
      </c>
      <c r="H24" s="1412" t="n"/>
      <c r="I24" s="1412" t="n"/>
      <c r="J24" s="1412" t="n"/>
      <c r="K24" s="1412" t="n"/>
      <c r="L24" s="1412" t="n"/>
      <c r="M24" s="1412" t="n"/>
      <c r="N24" s="1412" t="n"/>
      <c r="O24" s="1412" t="n"/>
      <c r="P24" s="1412" t="n"/>
      <c r="Q24" s="1412" t="n"/>
      <c r="R24" s="1412" t="n"/>
      <c r="S24" s="1412" t="n"/>
      <c r="T24" s="1412" t="n"/>
      <c r="U24" s="1412" t="n"/>
      <c r="V24" s="1412" t="n"/>
      <c r="W24" s="1412" t="n"/>
      <c r="X24" s="1412" t="n"/>
      <c r="Y24" s="1412" t="n"/>
      <c r="Z24" s="1412" t="n"/>
      <c r="AA24" s="1412" t="n"/>
      <c r="AB24" s="1412" t="n"/>
      <c r="AC24" s="1412" t="n"/>
      <c r="AD24" s="1412" t="n"/>
      <c r="AE24" s="1412" t="n"/>
      <c r="AF24" s="1412" t="n"/>
      <c r="AG24" s="1412" t="n"/>
      <c r="AH24" s="1412" t="n"/>
      <c r="AI24" s="1412" t="n"/>
      <c r="AJ24" s="1412" t="n"/>
      <c r="AK24" s="1412" t="n"/>
      <c r="AL24" s="1412" t="n"/>
      <c r="AM24" s="1412" t="n"/>
      <c r="AN24" s="1412" t="n"/>
      <c r="AO24" s="1412" t="n"/>
      <c r="AP24" s="1412" t="n"/>
      <c r="AQ24" s="1412" t="n"/>
      <c r="AR24" s="1412" t="n"/>
      <c r="AS24" s="1412" t="n"/>
      <c r="AT24" s="1412" t="n"/>
      <c r="AU24" s="1412" t="n"/>
      <c r="AV24" s="1412" t="n"/>
      <c r="AW24" s="1412" t="n"/>
      <c r="AX24" s="1412" t="n"/>
      <c r="AY24" s="1412" t="n"/>
      <c r="AZ24" s="1412" t="n"/>
      <c r="BA24" s="1412" t="n"/>
      <c r="BB24" s="1412" t="n"/>
      <c r="BC24" s="1412" t="n"/>
      <c r="BD24" s="1412" t="n"/>
      <c r="BE24" s="1412" t="n"/>
      <c r="BF24" s="1412" t="n"/>
      <c r="BG24" s="1412" t="n"/>
      <c r="BH24" s="1412" t="n"/>
      <c r="BI24" s="1412" t="n"/>
      <c r="BJ24" s="1410" t="n"/>
      <c r="BK24" s="871" t="n"/>
      <c r="BL24" s="1412" t="n"/>
      <c r="BM24" s="1412" t="n"/>
      <c r="BN24" s="1412" t="n"/>
      <c r="BO24" s="1412" t="n"/>
      <c r="BP24" s="1412" t="n"/>
      <c r="BQ24" s="1412" t="n"/>
      <c r="BR24" s="1412" t="n"/>
      <c r="BS24" s="1412" t="n"/>
      <c r="BT24" s="1412" t="n"/>
      <c r="BU24" s="1412" t="n"/>
      <c r="BV24" s="1412" t="n"/>
      <c r="BW24" s="1412" t="n"/>
      <c r="BX24" s="1412" t="n"/>
      <c r="BY24" s="1412" t="n"/>
      <c r="BZ24" s="1412" t="n"/>
      <c r="CA24" s="1412" t="n"/>
      <c r="CB24" s="1410" t="n"/>
      <c r="CC24" s="871" t="n"/>
      <c r="CD24" s="1412" t="n"/>
      <c r="CE24" s="1412" t="n"/>
      <c r="CF24" s="1412" t="n"/>
      <c r="CG24" s="1412" t="n"/>
      <c r="CH24" s="1412" t="n"/>
      <c r="CI24" s="1412" t="n"/>
      <c r="CJ24" s="1412" t="n"/>
      <c r="CK24" s="1412" t="n"/>
      <c r="CL24" s="1412" t="n"/>
      <c r="CM24" s="1412" t="n"/>
      <c r="CN24" s="1412" t="n"/>
      <c r="CO24" s="1412" t="n"/>
      <c r="CP24" s="1412" t="n"/>
      <c r="CQ24" s="1412" t="n"/>
      <c r="CR24" s="1412" t="n"/>
      <c r="CS24" s="1412" t="n"/>
      <c r="CT24" s="1410" t="n"/>
      <c r="CU24" s="938" t="n"/>
      <c r="CV24" s="1412" t="n"/>
      <c r="CW24" s="1412" t="n"/>
      <c r="CX24" s="1412" t="n"/>
      <c r="CY24" s="1412" t="n"/>
      <c r="CZ24" s="1412" t="n"/>
      <c r="DA24" s="1412" t="n"/>
      <c r="DB24" s="1412" t="n"/>
      <c r="DC24" s="1412" t="n"/>
      <c r="DD24" s="1412" t="n"/>
      <c r="DE24" s="1412" t="n"/>
      <c r="DF24" s="1412" t="n"/>
      <c r="DG24" s="1412" t="n"/>
      <c r="DH24" s="1412" t="n"/>
      <c r="DI24" s="1412" t="n"/>
      <c r="DJ24" s="1410" t="n"/>
      <c r="DK24" s="871" t="n"/>
      <c r="DL24" s="1412" t="n"/>
      <c r="DM24" s="1412" t="n"/>
      <c r="DN24" s="1412" t="n"/>
      <c r="DO24" s="1412" t="n"/>
      <c r="DP24" s="1412" t="n"/>
      <c r="DQ24" s="1412" t="n"/>
      <c r="DR24" s="1412" t="n"/>
      <c r="DS24" s="1412" t="n"/>
      <c r="DT24" s="1412" t="n"/>
      <c r="DU24" s="1412" t="n"/>
      <c r="DV24" s="1412" t="n"/>
      <c r="DW24" s="1412" t="n"/>
      <c r="DX24" s="1412" t="n"/>
      <c r="DY24" s="1412" t="n"/>
      <c r="DZ24" s="1412" t="n"/>
      <c r="EA24" s="1412" t="n"/>
      <c r="EB24" s="1410" t="n"/>
      <c r="EC24" s="938" t="n"/>
      <c r="ED24" s="1412" t="n"/>
      <c r="EE24" s="1412" t="n"/>
      <c r="EF24" s="1412" t="n"/>
      <c r="EG24" s="1412" t="n"/>
      <c r="EH24" s="1412" t="n"/>
      <c r="EI24" s="1412" t="n"/>
      <c r="EJ24" s="1412" t="n"/>
      <c r="EK24" s="1412" t="n"/>
      <c r="EL24" s="1412" t="n"/>
      <c r="EM24" s="1412" t="n"/>
      <c r="EN24" s="1412" t="n"/>
      <c r="EO24" s="1412" t="n"/>
      <c r="EP24" s="1412" t="n"/>
      <c r="EQ24" s="1412" t="n"/>
      <c r="ER24" s="1412" t="n"/>
      <c r="ES24" s="1410" t="n"/>
      <c r="ET24" s="906" t="n"/>
      <c r="EU24" s="1412" t="n"/>
      <c r="EV24" s="1412" t="n"/>
      <c r="EW24" s="1412" t="n"/>
      <c r="EX24" s="1412" t="n"/>
      <c r="EY24" s="1412" t="n"/>
      <c r="EZ24" s="1412" t="n"/>
      <c r="FA24" s="1412" t="n"/>
      <c r="FB24" s="1412" t="n"/>
      <c r="FC24" s="1412" t="n"/>
      <c r="FD24" s="1412" t="n"/>
      <c r="FE24" s="1410" t="n"/>
      <c r="FF24" s="906" t="n"/>
      <c r="FG24" s="1412" t="n"/>
      <c r="FH24" s="1412" t="n"/>
      <c r="FI24" s="1412" t="n"/>
      <c r="FJ24" s="1412" t="n"/>
      <c r="FK24" s="1412" t="n"/>
      <c r="FL24" s="1412" t="n"/>
      <c r="FM24" s="1412" t="n"/>
      <c r="FN24" s="1412" t="n"/>
      <c r="FO24" s="1412" t="n"/>
      <c r="FP24" s="1412" t="n"/>
      <c r="FQ24" s="1412" t="n"/>
      <c r="FR24" s="1410" t="n"/>
      <c r="FS24" s="906" t="n"/>
      <c r="FT24" s="1412" t="n"/>
      <c r="FU24" s="1412" t="n"/>
      <c r="FV24" s="1412" t="n"/>
      <c r="FW24" s="1412" t="n"/>
      <c r="FX24" s="1412" t="n"/>
      <c r="FY24" s="1412" t="n"/>
      <c r="FZ24" s="1412" t="n"/>
      <c r="GA24" s="1412" t="n"/>
      <c r="GB24" s="1412" t="n"/>
      <c r="GC24" s="1412" t="n"/>
      <c r="GD24" s="1412" t="n"/>
      <c r="GE24" s="1412" t="n"/>
      <c r="GF24" s="1412" t="n"/>
      <c r="GG24" s="1410" t="n"/>
      <c r="GH24" s="906" t="n"/>
      <c r="GI24" s="1412" t="n"/>
      <c r="GJ24" s="1412" t="n"/>
      <c r="GK24" s="1412" t="n"/>
      <c r="GL24" s="1412" t="n"/>
      <c r="GM24" s="1412" t="n"/>
      <c r="GN24" s="1412" t="n"/>
      <c r="GO24" s="1412" t="n"/>
      <c r="GP24" s="1412" t="n"/>
      <c r="GQ24" s="1412" t="n"/>
      <c r="GR24" s="1412" t="n"/>
      <c r="GS24" s="1412" t="n"/>
      <c r="GT24" s="1412" t="n"/>
      <c r="GU24" s="1412" t="n"/>
      <c r="GV24" s="1412" t="n"/>
      <c r="GW24" s="1410" t="n"/>
      <c r="GX24" s="1433" t="n"/>
      <c r="GY24" s="1412" t="n"/>
      <c r="GZ24" s="1412" t="n"/>
      <c r="HA24" s="1412" t="n"/>
      <c r="HB24" s="1412" t="n"/>
      <c r="HC24" s="1412" t="n"/>
      <c r="HD24" s="1412" t="n"/>
      <c r="HE24" s="1412" t="n"/>
      <c r="HF24" s="1412" t="n"/>
      <c r="HG24" s="1412" t="n"/>
      <c r="HH24" s="1412" t="n"/>
      <c r="HI24" s="1412" t="n"/>
      <c r="HJ24" s="1412" t="n"/>
      <c r="HK24" s="1412" t="n"/>
      <c r="HL24" s="1410" t="n"/>
      <c r="HM24" s="906" t="n"/>
      <c r="HN24" s="1412" t="n"/>
      <c r="HO24" s="1412" t="n"/>
      <c r="HP24" s="1412" t="n"/>
      <c r="HQ24" s="1412" t="n"/>
      <c r="HR24" s="1412" t="n"/>
      <c r="HS24" s="1412" t="n"/>
      <c r="HT24" s="1412" t="n"/>
      <c r="HU24" s="1412" t="n"/>
      <c r="HV24" s="1412" t="n"/>
      <c r="HW24" s="1412" t="n"/>
      <c r="HX24" s="1412" t="n"/>
      <c r="HY24" s="1412" t="n"/>
      <c r="HZ24" s="1412" t="n"/>
      <c r="IA24" s="1412" t="n"/>
      <c r="IB24" s="1410" t="n"/>
    </row>
    <row r="25" ht="24" customFormat="1" customHeight="1" s="1340">
      <c r="A25" s="938" t="inlineStr">
        <is>
          <t>0105</t>
        </is>
      </c>
      <c r="B25" s="1412" t="n"/>
      <c r="C25" s="1412" t="n"/>
      <c r="D25" s="1412" t="n"/>
      <c r="E25" s="1412" t="n"/>
      <c r="F25" s="1410" t="n"/>
      <c r="G25" s="1436" t="inlineStr">
        <is>
          <t>оплата работ и услуг сторонних организаций 
производственного характера</t>
        </is>
      </c>
      <c r="H25" s="1412" t="n"/>
      <c r="I25" s="1412" t="n"/>
      <c r="J25" s="1412" t="n"/>
      <c r="K25" s="1412" t="n"/>
      <c r="L25" s="1412" t="n"/>
      <c r="M25" s="1412" t="n"/>
      <c r="N25" s="1412" t="n"/>
      <c r="O25" s="1412" t="n"/>
      <c r="P25" s="1412" t="n"/>
      <c r="Q25" s="1412" t="n"/>
      <c r="R25" s="1412" t="n"/>
      <c r="S25" s="1412" t="n"/>
      <c r="T25" s="1412" t="n"/>
      <c r="U25" s="1412" t="n"/>
      <c r="V25" s="1412" t="n"/>
      <c r="W25" s="1412" t="n"/>
      <c r="X25" s="1412" t="n"/>
      <c r="Y25" s="1412" t="n"/>
      <c r="Z25" s="1412" t="n"/>
      <c r="AA25" s="1412" t="n"/>
      <c r="AB25" s="1412" t="n"/>
      <c r="AC25" s="1412" t="n"/>
      <c r="AD25" s="1412" t="n"/>
      <c r="AE25" s="1412" t="n"/>
      <c r="AF25" s="1412" t="n"/>
      <c r="AG25" s="1412" t="n"/>
      <c r="AH25" s="1412" t="n"/>
      <c r="AI25" s="1412" t="n"/>
      <c r="AJ25" s="1412" t="n"/>
      <c r="AK25" s="1412" t="n"/>
      <c r="AL25" s="1412" t="n"/>
      <c r="AM25" s="1412" t="n"/>
      <c r="AN25" s="1412" t="n"/>
      <c r="AO25" s="1412" t="n"/>
      <c r="AP25" s="1412" t="n"/>
      <c r="AQ25" s="1412" t="n"/>
      <c r="AR25" s="1412" t="n"/>
      <c r="AS25" s="1412" t="n"/>
      <c r="AT25" s="1412" t="n"/>
      <c r="AU25" s="1412" t="n"/>
      <c r="AV25" s="1412" t="n"/>
      <c r="AW25" s="1412" t="n"/>
      <c r="AX25" s="1412" t="n"/>
      <c r="AY25" s="1412" t="n"/>
      <c r="AZ25" s="1412" t="n"/>
      <c r="BA25" s="1412" t="n"/>
      <c r="BB25" s="1412" t="n"/>
      <c r="BC25" s="1412" t="n"/>
      <c r="BD25" s="1412" t="n"/>
      <c r="BE25" s="1412" t="n"/>
      <c r="BF25" s="1412" t="n"/>
      <c r="BG25" s="1412" t="n"/>
      <c r="BH25" s="1412" t="n"/>
      <c r="BI25" s="1412" t="n"/>
      <c r="BJ25" s="1410" t="n"/>
      <c r="BK25" s="871" t="n"/>
      <c r="BL25" s="1412" t="n"/>
      <c r="BM25" s="1412" t="n"/>
      <c r="BN25" s="1412" t="n"/>
      <c r="BO25" s="1412" t="n"/>
      <c r="BP25" s="1412" t="n"/>
      <c r="BQ25" s="1412" t="n"/>
      <c r="BR25" s="1412" t="n"/>
      <c r="BS25" s="1412" t="n"/>
      <c r="BT25" s="1412" t="n"/>
      <c r="BU25" s="1412" t="n"/>
      <c r="BV25" s="1412" t="n"/>
      <c r="BW25" s="1412" t="n"/>
      <c r="BX25" s="1412" t="n"/>
      <c r="BY25" s="1412" t="n"/>
      <c r="BZ25" s="1412" t="n"/>
      <c r="CA25" s="1412" t="n"/>
      <c r="CB25" s="1410" t="n"/>
      <c r="CC25" s="871" t="n"/>
      <c r="CD25" s="1412" t="n"/>
      <c r="CE25" s="1412" t="n"/>
      <c r="CF25" s="1412" t="n"/>
      <c r="CG25" s="1412" t="n"/>
      <c r="CH25" s="1412" t="n"/>
      <c r="CI25" s="1412" t="n"/>
      <c r="CJ25" s="1412" t="n"/>
      <c r="CK25" s="1412" t="n"/>
      <c r="CL25" s="1412" t="n"/>
      <c r="CM25" s="1412" t="n"/>
      <c r="CN25" s="1412" t="n"/>
      <c r="CO25" s="1412" t="n"/>
      <c r="CP25" s="1412" t="n"/>
      <c r="CQ25" s="1412" t="n"/>
      <c r="CR25" s="1412" t="n"/>
      <c r="CS25" s="1412" t="n"/>
      <c r="CT25" s="1410" t="n"/>
      <c r="CU25" s="938" t="n"/>
      <c r="CV25" s="1412" t="n"/>
      <c r="CW25" s="1412" t="n"/>
      <c r="CX25" s="1412" t="n"/>
      <c r="CY25" s="1412" t="n"/>
      <c r="CZ25" s="1412" t="n"/>
      <c r="DA25" s="1412" t="n"/>
      <c r="DB25" s="1412" t="n"/>
      <c r="DC25" s="1412" t="n"/>
      <c r="DD25" s="1412" t="n"/>
      <c r="DE25" s="1412" t="n"/>
      <c r="DF25" s="1412" t="n"/>
      <c r="DG25" s="1412" t="n"/>
      <c r="DH25" s="1412" t="n"/>
      <c r="DI25" s="1412" t="n"/>
      <c r="DJ25" s="1410" t="n"/>
      <c r="DK25" s="871" t="n"/>
      <c r="DL25" s="1412" t="n"/>
      <c r="DM25" s="1412" t="n"/>
      <c r="DN25" s="1412" t="n"/>
      <c r="DO25" s="1412" t="n"/>
      <c r="DP25" s="1412" t="n"/>
      <c r="DQ25" s="1412" t="n"/>
      <c r="DR25" s="1412" t="n"/>
      <c r="DS25" s="1412" t="n"/>
      <c r="DT25" s="1412" t="n"/>
      <c r="DU25" s="1412" t="n"/>
      <c r="DV25" s="1412" t="n"/>
      <c r="DW25" s="1412" t="n"/>
      <c r="DX25" s="1412" t="n"/>
      <c r="DY25" s="1412" t="n"/>
      <c r="DZ25" s="1412" t="n"/>
      <c r="EA25" s="1412" t="n"/>
      <c r="EB25" s="1410" t="n"/>
      <c r="EC25" s="938" t="n"/>
      <c r="ED25" s="1412" t="n"/>
      <c r="EE25" s="1412" t="n"/>
      <c r="EF25" s="1412" t="n"/>
      <c r="EG25" s="1412" t="n"/>
      <c r="EH25" s="1412" t="n"/>
      <c r="EI25" s="1412" t="n"/>
      <c r="EJ25" s="1412" t="n"/>
      <c r="EK25" s="1412" t="n"/>
      <c r="EL25" s="1412" t="n"/>
      <c r="EM25" s="1412" t="n"/>
      <c r="EN25" s="1412" t="n"/>
      <c r="EO25" s="1412" t="n"/>
      <c r="EP25" s="1412" t="n"/>
      <c r="EQ25" s="1412" t="n"/>
      <c r="ER25" s="1412" t="n"/>
      <c r="ES25" s="1410" t="n"/>
      <c r="ET25" s="906" t="n"/>
      <c r="EU25" s="1412" t="n"/>
      <c r="EV25" s="1412" t="n"/>
      <c r="EW25" s="1412" t="n"/>
      <c r="EX25" s="1412" t="n"/>
      <c r="EY25" s="1412" t="n"/>
      <c r="EZ25" s="1412" t="n"/>
      <c r="FA25" s="1412" t="n"/>
      <c r="FB25" s="1412" t="n"/>
      <c r="FC25" s="1412" t="n"/>
      <c r="FD25" s="1412" t="n"/>
      <c r="FE25" s="1410" t="n"/>
      <c r="FF25" s="906" t="n"/>
      <c r="FG25" s="1412" t="n"/>
      <c r="FH25" s="1412" t="n"/>
      <c r="FI25" s="1412" t="n"/>
      <c r="FJ25" s="1412" t="n"/>
      <c r="FK25" s="1412" t="n"/>
      <c r="FL25" s="1412" t="n"/>
      <c r="FM25" s="1412" t="n"/>
      <c r="FN25" s="1412" t="n"/>
      <c r="FO25" s="1412" t="n"/>
      <c r="FP25" s="1412" t="n"/>
      <c r="FQ25" s="1412" t="n"/>
      <c r="FR25" s="1410" t="n"/>
      <c r="FS25" s="906" t="n"/>
      <c r="FT25" s="1412" t="n"/>
      <c r="FU25" s="1412" t="n"/>
      <c r="FV25" s="1412" t="n"/>
      <c r="FW25" s="1412" t="n"/>
      <c r="FX25" s="1412" t="n"/>
      <c r="FY25" s="1412" t="n"/>
      <c r="FZ25" s="1412" t="n"/>
      <c r="GA25" s="1412" t="n"/>
      <c r="GB25" s="1412" t="n"/>
      <c r="GC25" s="1412" t="n"/>
      <c r="GD25" s="1412" t="n"/>
      <c r="GE25" s="1412" t="n"/>
      <c r="GF25" s="1412" t="n"/>
      <c r="GG25" s="1410" t="n"/>
      <c r="GH25" s="906" t="n"/>
      <c r="GI25" s="1412" t="n"/>
      <c r="GJ25" s="1412" t="n"/>
      <c r="GK25" s="1412" t="n"/>
      <c r="GL25" s="1412" t="n"/>
      <c r="GM25" s="1412" t="n"/>
      <c r="GN25" s="1412" t="n"/>
      <c r="GO25" s="1412" t="n"/>
      <c r="GP25" s="1412" t="n"/>
      <c r="GQ25" s="1412" t="n"/>
      <c r="GR25" s="1412" t="n"/>
      <c r="GS25" s="1412" t="n"/>
      <c r="GT25" s="1412" t="n"/>
      <c r="GU25" s="1412" t="n"/>
      <c r="GV25" s="1412" t="n"/>
      <c r="GW25" s="1410" t="n"/>
      <c r="GX25" s="1433" t="n"/>
      <c r="GY25" s="1412" t="n"/>
      <c r="GZ25" s="1412" t="n"/>
      <c r="HA25" s="1412" t="n"/>
      <c r="HB25" s="1412" t="n"/>
      <c r="HC25" s="1412" t="n"/>
      <c r="HD25" s="1412" t="n"/>
      <c r="HE25" s="1412" t="n"/>
      <c r="HF25" s="1412" t="n"/>
      <c r="HG25" s="1412" t="n"/>
      <c r="HH25" s="1412" t="n"/>
      <c r="HI25" s="1412" t="n"/>
      <c r="HJ25" s="1412" t="n"/>
      <c r="HK25" s="1412" t="n"/>
      <c r="HL25" s="1410" t="n"/>
      <c r="HM25" s="906" t="n"/>
      <c r="HN25" s="1412" t="n"/>
      <c r="HO25" s="1412" t="n"/>
      <c r="HP25" s="1412" t="n"/>
      <c r="HQ25" s="1412" t="n"/>
      <c r="HR25" s="1412" t="n"/>
      <c r="HS25" s="1412" t="n"/>
      <c r="HT25" s="1412" t="n"/>
      <c r="HU25" s="1412" t="n"/>
      <c r="HV25" s="1412" t="n"/>
      <c r="HW25" s="1412" t="n"/>
      <c r="HX25" s="1412" t="n"/>
      <c r="HY25" s="1412" t="n"/>
      <c r="HZ25" s="1412" t="n"/>
      <c r="IA25" s="1412" t="n"/>
      <c r="IB25" s="1410" t="n"/>
    </row>
    <row r="26" ht="12" customFormat="1" customHeight="1" s="1340">
      <c r="A26" s="938" t="inlineStr">
        <is>
          <t>0106</t>
        </is>
      </c>
      <c r="B26" s="1412" t="n"/>
      <c r="C26" s="1412" t="n"/>
      <c r="D26" s="1412" t="n"/>
      <c r="E26" s="1412" t="n"/>
      <c r="F26" s="1410" t="n"/>
      <c r="G26" s="910" t="inlineStr">
        <is>
          <t>транспортно-заготовительные затраты</t>
        </is>
      </c>
      <c r="H26" s="1412" t="n"/>
      <c r="I26" s="1412" t="n"/>
      <c r="J26" s="1412" t="n"/>
      <c r="K26" s="1412" t="n"/>
      <c r="L26" s="1412" t="n"/>
      <c r="M26" s="1412" t="n"/>
      <c r="N26" s="1412" t="n"/>
      <c r="O26" s="1412" t="n"/>
      <c r="P26" s="1412" t="n"/>
      <c r="Q26" s="1412" t="n"/>
      <c r="R26" s="1412" t="n"/>
      <c r="S26" s="1412" t="n"/>
      <c r="T26" s="1412" t="n"/>
      <c r="U26" s="1412" t="n"/>
      <c r="V26" s="1412" t="n"/>
      <c r="W26" s="1412" t="n"/>
      <c r="X26" s="1412" t="n"/>
      <c r="Y26" s="1412" t="n"/>
      <c r="Z26" s="1412" t="n"/>
      <c r="AA26" s="1412" t="n"/>
      <c r="AB26" s="1412" t="n"/>
      <c r="AC26" s="1412" t="n"/>
      <c r="AD26" s="1412" t="n"/>
      <c r="AE26" s="1412" t="n"/>
      <c r="AF26" s="1412" t="n"/>
      <c r="AG26" s="1412" t="n"/>
      <c r="AH26" s="1412" t="n"/>
      <c r="AI26" s="1412" t="n"/>
      <c r="AJ26" s="1412" t="n"/>
      <c r="AK26" s="1412" t="n"/>
      <c r="AL26" s="1412" t="n"/>
      <c r="AM26" s="1412" t="n"/>
      <c r="AN26" s="1412" t="n"/>
      <c r="AO26" s="1412" t="n"/>
      <c r="AP26" s="1412" t="n"/>
      <c r="AQ26" s="1412" t="n"/>
      <c r="AR26" s="1412" t="n"/>
      <c r="AS26" s="1412" t="n"/>
      <c r="AT26" s="1412" t="n"/>
      <c r="AU26" s="1412" t="n"/>
      <c r="AV26" s="1412" t="n"/>
      <c r="AW26" s="1412" t="n"/>
      <c r="AX26" s="1412" t="n"/>
      <c r="AY26" s="1412" t="n"/>
      <c r="AZ26" s="1412" t="n"/>
      <c r="BA26" s="1412" t="n"/>
      <c r="BB26" s="1412" t="n"/>
      <c r="BC26" s="1412" t="n"/>
      <c r="BD26" s="1412" t="n"/>
      <c r="BE26" s="1412" t="n"/>
      <c r="BF26" s="1412" t="n"/>
      <c r="BG26" s="1412" t="n"/>
      <c r="BH26" s="1412" t="n"/>
      <c r="BI26" s="1412" t="n"/>
      <c r="BJ26" s="1410" t="n"/>
      <c r="BK26" s="871" t="inlineStr">
        <is>
          <t>Х</t>
        </is>
      </c>
      <c r="BL26" s="1412" t="n"/>
      <c r="BM26" s="1412" t="n"/>
      <c r="BN26" s="1412" t="n"/>
      <c r="BO26" s="1412" t="n"/>
      <c r="BP26" s="1412" t="n"/>
      <c r="BQ26" s="1412" t="n"/>
      <c r="BR26" s="1412" t="n"/>
      <c r="BS26" s="1412" t="n"/>
      <c r="BT26" s="1412" t="n"/>
      <c r="BU26" s="1412" t="n"/>
      <c r="BV26" s="1412" t="n"/>
      <c r="BW26" s="1412" t="n"/>
      <c r="BX26" s="1412" t="n"/>
      <c r="BY26" s="1412" t="n"/>
      <c r="BZ26" s="1412" t="n"/>
      <c r="CA26" s="1412" t="n"/>
      <c r="CB26" s="1410" t="n"/>
      <c r="CC26" s="871" t="inlineStr">
        <is>
          <t>Х</t>
        </is>
      </c>
      <c r="CD26" s="1412" t="n"/>
      <c r="CE26" s="1412" t="n"/>
      <c r="CF26" s="1412" t="n"/>
      <c r="CG26" s="1412" t="n"/>
      <c r="CH26" s="1412" t="n"/>
      <c r="CI26" s="1412" t="n"/>
      <c r="CJ26" s="1412" t="n"/>
      <c r="CK26" s="1412" t="n"/>
      <c r="CL26" s="1412" t="n"/>
      <c r="CM26" s="1412" t="n"/>
      <c r="CN26" s="1412" t="n"/>
      <c r="CO26" s="1412" t="n"/>
      <c r="CP26" s="1412" t="n"/>
      <c r="CQ26" s="1412" t="n"/>
      <c r="CR26" s="1412" t="n"/>
      <c r="CS26" s="1412" t="n"/>
      <c r="CT26" s="1410" t="n"/>
      <c r="CU26" s="938" t="inlineStr">
        <is>
          <t>Х</t>
        </is>
      </c>
      <c r="CV26" s="1412" t="n"/>
      <c r="CW26" s="1412" t="n"/>
      <c r="CX26" s="1412" t="n"/>
      <c r="CY26" s="1412" t="n"/>
      <c r="CZ26" s="1412" t="n"/>
      <c r="DA26" s="1412" t="n"/>
      <c r="DB26" s="1412" t="n"/>
      <c r="DC26" s="1412" t="n"/>
      <c r="DD26" s="1412" t="n"/>
      <c r="DE26" s="1412" t="n"/>
      <c r="DF26" s="1412" t="n"/>
      <c r="DG26" s="1412" t="n"/>
      <c r="DH26" s="1412" t="n"/>
      <c r="DI26" s="1412" t="n"/>
      <c r="DJ26" s="1410" t="n"/>
      <c r="DK26" s="871" t="inlineStr">
        <is>
          <t>Х</t>
        </is>
      </c>
      <c r="DL26" s="1412" t="n"/>
      <c r="DM26" s="1412" t="n"/>
      <c r="DN26" s="1412" t="n"/>
      <c r="DO26" s="1412" t="n"/>
      <c r="DP26" s="1412" t="n"/>
      <c r="DQ26" s="1412" t="n"/>
      <c r="DR26" s="1412" t="n"/>
      <c r="DS26" s="1412" t="n"/>
      <c r="DT26" s="1412" t="n"/>
      <c r="DU26" s="1412" t="n"/>
      <c r="DV26" s="1412" t="n"/>
      <c r="DW26" s="1412" t="n"/>
      <c r="DX26" s="1412" t="n"/>
      <c r="DY26" s="1412" t="n"/>
      <c r="DZ26" s="1412" t="n"/>
      <c r="EA26" s="1412" t="n"/>
      <c r="EB26" s="1410" t="n"/>
      <c r="EC26" s="938" t="inlineStr">
        <is>
          <t>Х</t>
        </is>
      </c>
      <c r="ED26" s="1412" t="n"/>
      <c r="EE26" s="1412" t="n"/>
      <c r="EF26" s="1412" t="n"/>
      <c r="EG26" s="1412" t="n"/>
      <c r="EH26" s="1412" t="n"/>
      <c r="EI26" s="1412" t="n"/>
      <c r="EJ26" s="1412" t="n"/>
      <c r="EK26" s="1412" t="n"/>
      <c r="EL26" s="1412" t="n"/>
      <c r="EM26" s="1412" t="n"/>
      <c r="EN26" s="1412" t="n"/>
      <c r="EO26" s="1412" t="n"/>
      <c r="EP26" s="1412" t="n"/>
      <c r="EQ26" s="1412" t="n"/>
      <c r="ER26" s="1412" t="n"/>
      <c r="ES26" s="1410" t="n"/>
      <c r="ET26" s="906" t="inlineStr">
        <is>
          <t>Х</t>
        </is>
      </c>
      <c r="EU26" s="1412" t="n"/>
      <c r="EV26" s="1412" t="n"/>
      <c r="EW26" s="1412" t="n"/>
      <c r="EX26" s="1412" t="n"/>
      <c r="EY26" s="1412" t="n"/>
      <c r="EZ26" s="1412" t="n"/>
      <c r="FA26" s="1412" t="n"/>
      <c r="FB26" s="1412" t="n"/>
      <c r="FC26" s="1412" t="n"/>
      <c r="FD26" s="1412" t="n"/>
      <c r="FE26" s="1410" t="n"/>
      <c r="FF26" s="906" t="inlineStr">
        <is>
          <t>Х</t>
        </is>
      </c>
      <c r="FG26" s="1412" t="n"/>
      <c r="FH26" s="1412" t="n"/>
      <c r="FI26" s="1412" t="n"/>
      <c r="FJ26" s="1412" t="n"/>
      <c r="FK26" s="1412" t="n"/>
      <c r="FL26" s="1412" t="n"/>
      <c r="FM26" s="1412" t="n"/>
      <c r="FN26" s="1412" t="n"/>
      <c r="FO26" s="1412" t="n"/>
      <c r="FP26" s="1412" t="n"/>
      <c r="FQ26" s="1412" t="n"/>
      <c r="FR26" s="1410" t="n"/>
      <c r="FS26" s="906" t="inlineStr">
        <is>
          <t>Х</t>
        </is>
      </c>
      <c r="FT26" s="1412" t="n"/>
      <c r="FU26" s="1412" t="n"/>
      <c r="FV26" s="1412" t="n"/>
      <c r="FW26" s="1412" t="n"/>
      <c r="FX26" s="1412" t="n"/>
      <c r="FY26" s="1412" t="n"/>
      <c r="FZ26" s="1412" t="n"/>
      <c r="GA26" s="1412" t="n"/>
      <c r="GB26" s="1412" t="n"/>
      <c r="GC26" s="1412" t="n"/>
      <c r="GD26" s="1412" t="n"/>
      <c r="GE26" s="1412" t="n"/>
      <c r="GF26" s="1412" t="n"/>
      <c r="GG26" s="1410" t="n"/>
      <c r="GH26" s="906" t="inlineStr">
        <is>
          <t>Х</t>
        </is>
      </c>
      <c r="GI26" s="1412" t="n"/>
      <c r="GJ26" s="1412" t="n"/>
      <c r="GK26" s="1412" t="n"/>
      <c r="GL26" s="1412" t="n"/>
      <c r="GM26" s="1412" t="n"/>
      <c r="GN26" s="1412" t="n"/>
      <c r="GO26" s="1412" t="n"/>
      <c r="GP26" s="1412" t="n"/>
      <c r="GQ26" s="1412" t="n"/>
      <c r="GR26" s="1412" t="n"/>
      <c r="GS26" s="1412" t="n"/>
      <c r="GT26" s="1412" t="n"/>
      <c r="GU26" s="1412" t="n"/>
      <c r="GV26" s="1412" t="n"/>
      <c r="GW26" s="1410" t="n"/>
      <c r="GX26" s="1433" t="n"/>
      <c r="GY26" s="1412" t="n"/>
      <c r="GZ26" s="1412" t="n"/>
      <c r="HA26" s="1412" t="n"/>
      <c r="HB26" s="1412" t="n"/>
      <c r="HC26" s="1412" t="n"/>
      <c r="HD26" s="1412" t="n"/>
      <c r="HE26" s="1412" t="n"/>
      <c r="HF26" s="1412" t="n"/>
      <c r="HG26" s="1412" t="n"/>
      <c r="HH26" s="1412" t="n"/>
      <c r="HI26" s="1412" t="n"/>
      <c r="HJ26" s="1412" t="n"/>
      <c r="HK26" s="1412" t="n"/>
      <c r="HL26" s="1410" t="n"/>
      <c r="HM26" s="906" t="n"/>
      <c r="HN26" s="1412" t="n"/>
      <c r="HO26" s="1412" t="n"/>
      <c r="HP26" s="1412" t="n"/>
      <c r="HQ26" s="1412" t="n"/>
      <c r="HR26" s="1412" t="n"/>
      <c r="HS26" s="1412" t="n"/>
      <c r="HT26" s="1412" t="n"/>
      <c r="HU26" s="1412" t="n"/>
      <c r="HV26" s="1412" t="n"/>
      <c r="HW26" s="1412" t="n"/>
      <c r="HX26" s="1412" t="n"/>
      <c r="HY26" s="1412" t="n"/>
      <c r="HZ26" s="1412" t="n"/>
      <c r="IA26" s="1412" t="n"/>
      <c r="IB26" s="1410" t="n"/>
    </row>
    <row r="27" ht="14.1" customFormat="1" customHeight="1" s="1340">
      <c r="A27" s="938" t="inlineStr">
        <is>
          <t>0107</t>
        </is>
      </c>
      <c r="B27" s="1412" t="n"/>
      <c r="C27" s="1412" t="n"/>
      <c r="D27" s="1412" t="n"/>
      <c r="E27" s="1412" t="n"/>
      <c r="F27" s="1410" t="n"/>
      <c r="G27" s="910" t="inlineStr">
        <is>
          <t>топливо на технологические цели</t>
        </is>
      </c>
      <c r="H27" s="1412" t="n"/>
      <c r="I27" s="1412" t="n"/>
      <c r="J27" s="1412" t="n"/>
      <c r="K27" s="1412" t="n"/>
      <c r="L27" s="1412" t="n"/>
      <c r="M27" s="1412" t="n"/>
      <c r="N27" s="1412" t="n"/>
      <c r="O27" s="1412" t="n"/>
      <c r="P27" s="1412" t="n"/>
      <c r="Q27" s="1412" t="n"/>
      <c r="R27" s="1412" t="n"/>
      <c r="S27" s="1412" t="n"/>
      <c r="T27" s="1412" t="n"/>
      <c r="U27" s="1412" t="n"/>
      <c r="V27" s="1412" t="n"/>
      <c r="W27" s="1412" t="n"/>
      <c r="X27" s="1412" t="n"/>
      <c r="Y27" s="1412" t="n"/>
      <c r="Z27" s="1412" t="n"/>
      <c r="AA27" s="1412" t="n"/>
      <c r="AB27" s="1412" t="n"/>
      <c r="AC27" s="1412" t="n"/>
      <c r="AD27" s="1412" t="n"/>
      <c r="AE27" s="1412" t="n"/>
      <c r="AF27" s="1412" t="n"/>
      <c r="AG27" s="1412" t="n"/>
      <c r="AH27" s="1412" t="n"/>
      <c r="AI27" s="1412" t="n"/>
      <c r="AJ27" s="1412" t="n"/>
      <c r="AK27" s="1412" t="n"/>
      <c r="AL27" s="1412" t="n"/>
      <c r="AM27" s="1412" t="n"/>
      <c r="AN27" s="1412" t="n"/>
      <c r="AO27" s="1412" t="n"/>
      <c r="AP27" s="1412" t="n"/>
      <c r="AQ27" s="1412" t="n"/>
      <c r="AR27" s="1412" t="n"/>
      <c r="AS27" s="1412" t="n"/>
      <c r="AT27" s="1412" t="n"/>
      <c r="AU27" s="1412" t="n"/>
      <c r="AV27" s="1412" t="n"/>
      <c r="AW27" s="1412" t="n"/>
      <c r="AX27" s="1412" t="n"/>
      <c r="AY27" s="1412" t="n"/>
      <c r="AZ27" s="1412" t="n"/>
      <c r="BA27" s="1412" t="n"/>
      <c r="BB27" s="1412" t="n"/>
      <c r="BC27" s="1412" t="n"/>
      <c r="BD27" s="1412" t="n"/>
      <c r="BE27" s="1412" t="n"/>
      <c r="BF27" s="1412" t="n"/>
      <c r="BG27" s="1412" t="n"/>
      <c r="BH27" s="1412" t="n"/>
      <c r="BI27" s="1412" t="n"/>
      <c r="BJ27" s="1410" t="n"/>
      <c r="BK27" s="871" t="n"/>
      <c r="BL27" s="1412" t="n"/>
      <c r="BM27" s="1412" t="n"/>
      <c r="BN27" s="1412" t="n"/>
      <c r="BO27" s="1412" t="n"/>
      <c r="BP27" s="1412" t="n"/>
      <c r="BQ27" s="1412" t="n"/>
      <c r="BR27" s="1412" t="n"/>
      <c r="BS27" s="1412" t="n"/>
      <c r="BT27" s="1412" t="n"/>
      <c r="BU27" s="1412" t="n"/>
      <c r="BV27" s="1412" t="n"/>
      <c r="BW27" s="1412" t="n"/>
      <c r="BX27" s="1412" t="n"/>
      <c r="BY27" s="1412" t="n"/>
      <c r="BZ27" s="1412" t="n"/>
      <c r="CA27" s="1412" t="n"/>
      <c r="CB27" s="1410" t="n"/>
      <c r="CC27" s="871" t="n"/>
      <c r="CD27" s="1412" t="n"/>
      <c r="CE27" s="1412" t="n"/>
      <c r="CF27" s="1412" t="n"/>
      <c r="CG27" s="1412" t="n"/>
      <c r="CH27" s="1412" t="n"/>
      <c r="CI27" s="1412" t="n"/>
      <c r="CJ27" s="1412" t="n"/>
      <c r="CK27" s="1412" t="n"/>
      <c r="CL27" s="1412" t="n"/>
      <c r="CM27" s="1412" t="n"/>
      <c r="CN27" s="1412" t="n"/>
      <c r="CO27" s="1412" t="n"/>
      <c r="CP27" s="1412" t="n"/>
      <c r="CQ27" s="1412" t="n"/>
      <c r="CR27" s="1412" t="n"/>
      <c r="CS27" s="1412" t="n"/>
      <c r="CT27" s="1410" t="n"/>
      <c r="CU27" s="938" t="n"/>
      <c r="CV27" s="1412" t="n"/>
      <c r="CW27" s="1412" t="n"/>
      <c r="CX27" s="1412" t="n"/>
      <c r="CY27" s="1412" t="n"/>
      <c r="CZ27" s="1412" t="n"/>
      <c r="DA27" s="1412" t="n"/>
      <c r="DB27" s="1412" t="n"/>
      <c r="DC27" s="1412" t="n"/>
      <c r="DD27" s="1412" t="n"/>
      <c r="DE27" s="1412" t="n"/>
      <c r="DF27" s="1412" t="n"/>
      <c r="DG27" s="1412" t="n"/>
      <c r="DH27" s="1412" t="n"/>
      <c r="DI27" s="1412" t="n"/>
      <c r="DJ27" s="1410" t="n"/>
      <c r="DK27" s="871" t="n"/>
      <c r="DL27" s="1412" t="n"/>
      <c r="DM27" s="1412" t="n"/>
      <c r="DN27" s="1412" t="n"/>
      <c r="DO27" s="1412" t="n"/>
      <c r="DP27" s="1412" t="n"/>
      <c r="DQ27" s="1412" t="n"/>
      <c r="DR27" s="1412" t="n"/>
      <c r="DS27" s="1412" t="n"/>
      <c r="DT27" s="1412" t="n"/>
      <c r="DU27" s="1412" t="n"/>
      <c r="DV27" s="1412" t="n"/>
      <c r="DW27" s="1412" t="n"/>
      <c r="DX27" s="1412" t="n"/>
      <c r="DY27" s="1412" t="n"/>
      <c r="DZ27" s="1412" t="n"/>
      <c r="EA27" s="1412" t="n"/>
      <c r="EB27" s="1410" t="n"/>
      <c r="EC27" s="938" t="n"/>
      <c r="ED27" s="1412" t="n"/>
      <c r="EE27" s="1412" t="n"/>
      <c r="EF27" s="1412" t="n"/>
      <c r="EG27" s="1412" t="n"/>
      <c r="EH27" s="1412" t="n"/>
      <c r="EI27" s="1412" t="n"/>
      <c r="EJ27" s="1412" t="n"/>
      <c r="EK27" s="1412" t="n"/>
      <c r="EL27" s="1412" t="n"/>
      <c r="EM27" s="1412" t="n"/>
      <c r="EN27" s="1412" t="n"/>
      <c r="EO27" s="1412" t="n"/>
      <c r="EP27" s="1412" t="n"/>
      <c r="EQ27" s="1412" t="n"/>
      <c r="ER27" s="1412" t="n"/>
      <c r="ES27" s="1410" t="n"/>
      <c r="ET27" s="906" t="n"/>
      <c r="EU27" s="1412" t="n"/>
      <c r="EV27" s="1412" t="n"/>
      <c r="EW27" s="1412" t="n"/>
      <c r="EX27" s="1412" t="n"/>
      <c r="EY27" s="1412" t="n"/>
      <c r="EZ27" s="1412" t="n"/>
      <c r="FA27" s="1412" t="n"/>
      <c r="FB27" s="1412" t="n"/>
      <c r="FC27" s="1412" t="n"/>
      <c r="FD27" s="1412" t="n"/>
      <c r="FE27" s="1410" t="n"/>
      <c r="FF27" s="906" t="n"/>
      <c r="FG27" s="1412" t="n"/>
      <c r="FH27" s="1412" t="n"/>
      <c r="FI27" s="1412" t="n"/>
      <c r="FJ27" s="1412" t="n"/>
      <c r="FK27" s="1412" t="n"/>
      <c r="FL27" s="1412" t="n"/>
      <c r="FM27" s="1412" t="n"/>
      <c r="FN27" s="1412" t="n"/>
      <c r="FO27" s="1412" t="n"/>
      <c r="FP27" s="1412" t="n"/>
      <c r="FQ27" s="1412" t="n"/>
      <c r="FR27" s="1410" t="n"/>
      <c r="FS27" s="906" t="n"/>
      <c r="FT27" s="1412" t="n"/>
      <c r="FU27" s="1412" t="n"/>
      <c r="FV27" s="1412" t="n"/>
      <c r="FW27" s="1412" t="n"/>
      <c r="FX27" s="1412" t="n"/>
      <c r="FY27" s="1412" t="n"/>
      <c r="FZ27" s="1412" t="n"/>
      <c r="GA27" s="1412" t="n"/>
      <c r="GB27" s="1412" t="n"/>
      <c r="GC27" s="1412" t="n"/>
      <c r="GD27" s="1412" t="n"/>
      <c r="GE27" s="1412" t="n"/>
      <c r="GF27" s="1412" t="n"/>
      <c r="GG27" s="1410" t="n"/>
      <c r="GH27" s="906" t="n"/>
      <c r="GI27" s="1412" t="n"/>
      <c r="GJ27" s="1412" t="n"/>
      <c r="GK27" s="1412" t="n"/>
      <c r="GL27" s="1412" t="n"/>
      <c r="GM27" s="1412" t="n"/>
      <c r="GN27" s="1412" t="n"/>
      <c r="GO27" s="1412" t="n"/>
      <c r="GP27" s="1412" t="n"/>
      <c r="GQ27" s="1412" t="n"/>
      <c r="GR27" s="1412" t="n"/>
      <c r="GS27" s="1412" t="n"/>
      <c r="GT27" s="1412" t="n"/>
      <c r="GU27" s="1412" t="n"/>
      <c r="GV27" s="1412" t="n"/>
      <c r="GW27" s="1410" t="n"/>
      <c r="GX27" s="1433" t="n"/>
      <c r="GY27" s="1412" t="n"/>
      <c r="GZ27" s="1412" t="n"/>
      <c r="HA27" s="1412" t="n"/>
      <c r="HB27" s="1412" t="n"/>
      <c r="HC27" s="1412" t="n"/>
      <c r="HD27" s="1412" t="n"/>
      <c r="HE27" s="1412" t="n"/>
      <c r="HF27" s="1412" t="n"/>
      <c r="HG27" s="1412" t="n"/>
      <c r="HH27" s="1412" t="n"/>
      <c r="HI27" s="1412" t="n"/>
      <c r="HJ27" s="1412" t="n"/>
      <c r="HK27" s="1412" t="n"/>
      <c r="HL27" s="1410" t="n"/>
      <c r="HM27" s="906" t="n"/>
      <c r="HN27" s="1412" t="n"/>
      <c r="HO27" s="1412" t="n"/>
      <c r="HP27" s="1412" t="n"/>
      <c r="HQ27" s="1412" t="n"/>
      <c r="HR27" s="1412" t="n"/>
      <c r="HS27" s="1412" t="n"/>
      <c r="HT27" s="1412" t="n"/>
      <c r="HU27" s="1412" t="n"/>
      <c r="HV27" s="1412" t="n"/>
      <c r="HW27" s="1412" t="n"/>
      <c r="HX27" s="1412" t="n"/>
      <c r="HY27" s="1412" t="n"/>
      <c r="HZ27" s="1412" t="n"/>
      <c r="IA27" s="1412" t="n"/>
      <c r="IB27" s="1410" t="n"/>
    </row>
    <row r="28" ht="14.1" customFormat="1" customHeight="1" s="1340">
      <c r="A28" s="938" t="inlineStr">
        <is>
          <t>0108</t>
        </is>
      </c>
      <c r="B28" s="1412" t="n"/>
      <c r="C28" s="1412" t="n"/>
      <c r="D28" s="1412" t="n"/>
      <c r="E28" s="1412" t="n"/>
      <c r="F28" s="1410" t="n"/>
      <c r="G28" s="910" t="inlineStr">
        <is>
          <t>энергия на технологические цели</t>
        </is>
      </c>
      <c r="H28" s="1412" t="n"/>
      <c r="I28" s="1412" t="n"/>
      <c r="J28" s="1412" t="n"/>
      <c r="K28" s="1412" t="n"/>
      <c r="L28" s="1412" t="n"/>
      <c r="M28" s="1412" t="n"/>
      <c r="N28" s="1412" t="n"/>
      <c r="O28" s="1412" t="n"/>
      <c r="P28" s="1412" t="n"/>
      <c r="Q28" s="1412" t="n"/>
      <c r="R28" s="1412" t="n"/>
      <c r="S28" s="1412" t="n"/>
      <c r="T28" s="1412" t="n"/>
      <c r="U28" s="1412" t="n"/>
      <c r="V28" s="1412" t="n"/>
      <c r="W28" s="1412" t="n"/>
      <c r="X28" s="1412" t="n"/>
      <c r="Y28" s="1412" t="n"/>
      <c r="Z28" s="1412" t="n"/>
      <c r="AA28" s="1412" t="n"/>
      <c r="AB28" s="1412" t="n"/>
      <c r="AC28" s="1412" t="n"/>
      <c r="AD28" s="1412" t="n"/>
      <c r="AE28" s="1412" t="n"/>
      <c r="AF28" s="1412" t="n"/>
      <c r="AG28" s="1412" t="n"/>
      <c r="AH28" s="1412" t="n"/>
      <c r="AI28" s="1412" t="n"/>
      <c r="AJ28" s="1412" t="n"/>
      <c r="AK28" s="1412" t="n"/>
      <c r="AL28" s="1412" t="n"/>
      <c r="AM28" s="1412" t="n"/>
      <c r="AN28" s="1412" t="n"/>
      <c r="AO28" s="1412" t="n"/>
      <c r="AP28" s="1412" t="n"/>
      <c r="AQ28" s="1412" t="n"/>
      <c r="AR28" s="1412" t="n"/>
      <c r="AS28" s="1412" t="n"/>
      <c r="AT28" s="1412" t="n"/>
      <c r="AU28" s="1412" t="n"/>
      <c r="AV28" s="1412" t="n"/>
      <c r="AW28" s="1412" t="n"/>
      <c r="AX28" s="1412" t="n"/>
      <c r="AY28" s="1412" t="n"/>
      <c r="AZ28" s="1412" t="n"/>
      <c r="BA28" s="1412" t="n"/>
      <c r="BB28" s="1412" t="n"/>
      <c r="BC28" s="1412" t="n"/>
      <c r="BD28" s="1412" t="n"/>
      <c r="BE28" s="1412" t="n"/>
      <c r="BF28" s="1412" t="n"/>
      <c r="BG28" s="1412" t="n"/>
      <c r="BH28" s="1412" t="n"/>
      <c r="BI28" s="1412" t="n"/>
      <c r="BJ28" s="1410" t="n"/>
      <c r="BK28" s="871" t="n"/>
      <c r="BL28" s="1412" t="n"/>
      <c r="BM28" s="1412" t="n"/>
      <c r="BN28" s="1412" t="n"/>
      <c r="BO28" s="1412" t="n"/>
      <c r="BP28" s="1412" t="n"/>
      <c r="BQ28" s="1412" t="n"/>
      <c r="BR28" s="1412" t="n"/>
      <c r="BS28" s="1412" t="n"/>
      <c r="BT28" s="1412" t="n"/>
      <c r="BU28" s="1412" t="n"/>
      <c r="BV28" s="1412" t="n"/>
      <c r="BW28" s="1412" t="n"/>
      <c r="BX28" s="1412" t="n"/>
      <c r="BY28" s="1412" t="n"/>
      <c r="BZ28" s="1412" t="n"/>
      <c r="CA28" s="1412" t="n"/>
      <c r="CB28" s="1410" t="n"/>
      <c r="CC28" s="871" t="n"/>
      <c r="CD28" s="1412" t="n"/>
      <c r="CE28" s="1412" t="n"/>
      <c r="CF28" s="1412" t="n"/>
      <c r="CG28" s="1412" t="n"/>
      <c r="CH28" s="1412" t="n"/>
      <c r="CI28" s="1412" t="n"/>
      <c r="CJ28" s="1412" t="n"/>
      <c r="CK28" s="1412" t="n"/>
      <c r="CL28" s="1412" t="n"/>
      <c r="CM28" s="1412" t="n"/>
      <c r="CN28" s="1412" t="n"/>
      <c r="CO28" s="1412" t="n"/>
      <c r="CP28" s="1412" t="n"/>
      <c r="CQ28" s="1412" t="n"/>
      <c r="CR28" s="1412" t="n"/>
      <c r="CS28" s="1412" t="n"/>
      <c r="CT28" s="1410" t="n"/>
      <c r="CU28" s="938" t="n"/>
      <c r="CV28" s="1412" t="n"/>
      <c r="CW28" s="1412" t="n"/>
      <c r="CX28" s="1412" t="n"/>
      <c r="CY28" s="1412" t="n"/>
      <c r="CZ28" s="1412" t="n"/>
      <c r="DA28" s="1412" t="n"/>
      <c r="DB28" s="1412" t="n"/>
      <c r="DC28" s="1412" t="n"/>
      <c r="DD28" s="1412" t="n"/>
      <c r="DE28" s="1412" t="n"/>
      <c r="DF28" s="1412" t="n"/>
      <c r="DG28" s="1412" t="n"/>
      <c r="DH28" s="1412" t="n"/>
      <c r="DI28" s="1412" t="n"/>
      <c r="DJ28" s="1410" t="n"/>
      <c r="DK28" s="871" t="n"/>
      <c r="DL28" s="1412" t="n"/>
      <c r="DM28" s="1412" t="n"/>
      <c r="DN28" s="1412" t="n"/>
      <c r="DO28" s="1412" t="n"/>
      <c r="DP28" s="1412" t="n"/>
      <c r="DQ28" s="1412" t="n"/>
      <c r="DR28" s="1412" t="n"/>
      <c r="DS28" s="1412" t="n"/>
      <c r="DT28" s="1412" t="n"/>
      <c r="DU28" s="1412" t="n"/>
      <c r="DV28" s="1412" t="n"/>
      <c r="DW28" s="1412" t="n"/>
      <c r="DX28" s="1412" t="n"/>
      <c r="DY28" s="1412" t="n"/>
      <c r="DZ28" s="1412" t="n"/>
      <c r="EA28" s="1412" t="n"/>
      <c r="EB28" s="1410" t="n"/>
      <c r="EC28" s="938" t="n"/>
      <c r="ED28" s="1412" t="n"/>
      <c r="EE28" s="1412" t="n"/>
      <c r="EF28" s="1412" t="n"/>
      <c r="EG28" s="1412" t="n"/>
      <c r="EH28" s="1412" t="n"/>
      <c r="EI28" s="1412" t="n"/>
      <c r="EJ28" s="1412" t="n"/>
      <c r="EK28" s="1412" t="n"/>
      <c r="EL28" s="1412" t="n"/>
      <c r="EM28" s="1412" t="n"/>
      <c r="EN28" s="1412" t="n"/>
      <c r="EO28" s="1412" t="n"/>
      <c r="EP28" s="1412" t="n"/>
      <c r="EQ28" s="1412" t="n"/>
      <c r="ER28" s="1412" t="n"/>
      <c r="ES28" s="1410" t="n"/>
      <c r="ET28" s="906" t="n"/>
      <c r="EU28" s="1412" t="n"/>
      <c r="EV28" s="1412" t="n"/>
      <c r="EW28" s="1412" t="n"/>
      <c r="EX28" s="1412" t="n"/>
      <c r="EY28" s="1412" t="n"/>
      <c r="EZ28" s="1412" t="n"/>
      <c r="FA28" s="1412" t="n"/>
      <c r="FB28" s="1412" t="n"/>
      <c r="FC28" s="1412" t="n"/>
      <c r="FD28" s="1412" t="n"/>
      <c r="FE28" s="1410" t="n"/>
      <c r="FF28" s="906" t="n"/>
      <c r="FG28" s="1412" t="n"/>
      <c r="FH28" s="1412" t="n"/>
      <c r="FI28" s="1412" t="n"/>
      <c r="FJ28" s="1412" t="n"/>
      <c r="FK28" s="1412" t="n"/>
      <c r="FL28" s="1412" t="n"/>
      <c r="FM28" s="1412" t="n"/>
      <c r="FN28" s="1412" t="n"/>
      <c r="FO28" s="1412" t="n"/>
      <c r="FP28" s="1412" t="n"/>
      <c r="FQ28" s="1412" t="n"/>
      <c r="FR28" s="1410" t="n"/>
      <c r="FS28" s="906" t="n"/>
      <c r="FT28" s="1412" t="n"/>
      <c r="FU28" s="1412" t="n"/>
      <c r="FV28" s="1412" t="n"/>
      <c r="FW28" s="1412" t="n"/>
      <c r="FX28" s="1412" t="n"/>
      <c r="FY28" s="1412" t="n"/>
      <c r="FZ28" s="1412" t="n"/>
      <c r="GA28" s="1412" t="n"/>
      <c r="GB28" s="1412" t="n"/>
      <c r="GC28" s="1412" t="n"/>
      <c r="GD28" s="1412" t="n"/>
      <c r="GE28" s="1412" t="n"/>
      <c r="GF28" s="1412" t="n"/>
      <c r="GG28" s="1410" t="n"/>
      <c r="GH28" s="906" t="n"/>
      <c r="GI28" s="1412" t="n"/>
      <c r="GJ28" s="1412" t="n"/>
      <c r="GK28" s="1412" t="n"/>
      <c r="GL28" s="1412" t="n"/>
      <c r="GM28" s="1412" t="n"/>
      <c r="GN28" s="1412" t="n"/>
      <c r="GO28" s="1412" t="n"/>
      <c r="GP28" s="1412" t="n"/>
      <c r="GQ28" s="1412" t="n"/>
      <c r="GR28" s="1412" t="n"/>
      <c r="GS28" s="1412" t="n"/>
      <c r="GT28" s="1412" t="n"/>
      <c r="GU28" s="1412" t="n"/>
      <c r="GV28" s="1412" t="n"/>
      <c r="GW28" s="1410" t="n"/>
      <c r="GX28" s="1433" t="n"/>
      <c r="GY28" s="1412" t="n"/>
      <c r="GZ28" s="1412" t="n"/>
      <c r="HA28" s="1412" t="n"/>
      <c r="HB28" s="1412" t="n"/>
      <c r="HC28" s="1412" t="n"/>
      <c r="HD28" s="1412" t="n"/>
      <c r="HE28" s="1412" t="n"/>
      <c r="HF28" s="1412" t="n"/>
      <c r="HG28" s="1412" t="n"/>
      <c r="HH28" s="1412" t="n"/>
      <c r="HI28" s="1412" t="n"/>
      <c r="HJ28" s="1412" t="n"/>
      <c r="HK28" s="1412" t="n"/>
      <c r="HL28" s="1410" t="n"/>
      <c r="HM28" s="906" t="n"/>
      <c r="HN28" s="1412" t="n"/>
      <c r="HO28" s="1412" t="n"/>
      <c r="HP28" s="1412" t="n"/>
      <c r="HQ28" s="1412" t="n"/>
      <c r="HR28" s="1412" t="n"/>
      <c r="HS28" s="1412" t="n"/>
      <c r="HT28" s="1412" t="n"/>
      <c r="HU28" s="1412" t="n"/>
      <c r="HV28" s="1412" t="n"/>
      <c r="HW28" s="1412" t="n"/>
      <c r="HX28" s="1412" t="n"/>
      <c r="HY28" s="1412" t="n"/>
      <c r="HZ28" s="1412" t="n"/>
      <c r="IA28" s="1412" t="n"/>
      <c r="IB28" s="1410" t="n"/>
    </row>
    <row r="29" ht="12" customFormat="1" customHeight="1" s="1340">
      <c r="A29" s="938" t="inlineStr">
        <is>
          <t>0109</t>
        </is>
      </c>
      <c r="B29" s="1412" t="n"/>
      <c r="C29" s="1412" t="n"/>
      <c r="D29" s="1412" t="n"/>
      <c r="E29" s="1412" t="n"/>
      <c r="F29" s="1410" t="n"/>
      <c r="G29" s="910" t="inlineStr">
        <is>
          <t>тара и упаковка</t>
        </is>
      </c>
      <c r="H29" s="1412" t="n"/>
      <c r="I29" s="1412" t="n"/>
      <c r="J29" s="1412" t="n"/>
      <c r="K29" s="1412" t="n"/>
      <c r="L29" s="1412" t="n"/>
      <c r="M29" s="1412" t="n"/>
      <c r="N29" s="1412" t="n"/>
      <c r="O29" s="1412" t="n"/>
      <c r="P29" s="1412" t="n"/>
      <c r="Q29" s="1412" t="n"/>
      <c r="R29" s="1412" t="n"/>
      <c r="S29" s="1412" t="n"/>
      <c r="T29" s="1412" t="n"/>
      <c r="U29" s="1412" t="n"/>
      <c r="V29" s="1412" t="n"/>
      <c r="W29" s="1412" t="n"/>
      <c r="X29" s="1412" t="n"/>
      <c r="Y29" s="1412" t="n"/>
      <c r="Z29" s="1412" t="n"/>
      <c r="AA29" s="1412" t="n"/>
      <c r="AB29" s="1412" t="n"/>
      <c r="AC29" s="1412" t="n"/>
      <c r="AD29" s="1412" t="n"/>
      <c r="AE29" s="1412" t="n"/>
      <c r="AF29" s="1412" t="n"/>
      <c r="AG29" s="1412" t="n"/>
      <c r="AH29" s="1412" t="n"/>
      <c r="AI29" s="1412" t="n"/>
      <c r="AJ29" s="1412" t="n"/>
      <c r="AK29" s="1412" t="n"/>
      <c r="AL29" s="1412" t="n"/>
      <c r="AM29" s="1412" t="n"/>
      <c r="AN29" s="1412" t="n"/>
      <c r="AO29" s="1412" t="n"/>
      <c r="AP29" s="1412" t="n"/>
      <c r="AQ29" s="1412" t="n"/>
      <c r="AR29" s="1412" t="n"/>
      <c r="AS29" s="1412" t="n"/>
      <c r="AT29" s="1412" t="n"/>
      <c r="AU29" s="1412" t="n"/>
      <c r="AV29" s="1412" t="n"/>
      <c r="AW29" s="1412" t="n"/>
      <c r="AX29" s="1412" t="n"/>
      <c r="AY29" s="1412" t="n"/>
      <c r="AZ29" s="1412" t="n"/>
      <c r="BA29" s="1412" t="n"/>
      <c r="BB29" s="1412" t="n"/>
      <c r="BC29" s="1412" t="n"/>
      <c r="BD29" s="1412" t="n"/>
      <c r="BE29" s="1412" t="n"/>
      <c r="BF29" s="1412" t="n"/>
      <c r="BG29" s="1412" t="n"/>
      <c r="BH29" s="1412" t="n"/>
      <c r="BI29" s="1412" t="n"/>
      <c r="BJ29" s="1410" t="n"/>
      <c r="BK29" s="871" t="n"/>
      <c r="BL29" s="1412" t="n"/>
      <c r="BM29" s="1412" t="n"/>
      <c r="BN29" s="1412" t="n"/>
      <c r="BO29" s="1412" t="n"/>
      <c r="BP29" s="1412" t="n"/>
      <c r="BQ29" s="1412" t="n"/>
      <c r="BR29" s="1412" t="n"/>
      <c r="BS29" s="1412" t="n"/>
      <c r="BT29" s="1412" t="n"/>
      <c r="BU29" s="1412" t="n"/>
      <c r="BV29" s="1412" t="n"/>
      <c r="BW29" s="1412" t="n"/>
      <c r="BX29" s="1412" t="n"/>
      <c r="BY29" s="1412" t="n"/>
      <c r="BZ29" s="1412" t="n"/>
      <c r="CA29" s="1412" t="n"/>
      <c r="CB29" s="1410" t="n"/>
      <c r="CC29" s="871" t="n"/>
      <c r="CD29" s="1412" t="n"/>
      <c r="CE29" s="1412" t="n"/>
      <c r="CF29" s="1412" t="n"/>
      <c r="CG29" s="1412" t="n"/>
      <c r="CH29" s="1412" t="n"/>
      <c r="CI29" s="1412" t="n"/>
      <c r="CJ29" s="1412" t="n"/>
      <c r="CK29" s="1412" t="n"/>
      <c r="CL29" s="1412" t="n"/>
      <c r="CM29" s="1412" t="n"/>
      <c r="CN29" s="1412" t="n"/>
      <c r="CO29" s="1412" t="n"/>
      <c r="CP29" s="1412" t="n"/>
      <c r="CQ29" s="1412" t="n"/>
      <c r="CR29" s="1412" t="n"/>
      <c r="CS29" s="1412" t="n"/>
      <c r="CT29" s="1410" t="n"/>
      <c r="CU29" s="938" t="n"/>
      <c r="CV29" s="1412" t="n"/>
      <c r="CW29" s="1412" t="n"/>
      <c r="CX29" s="1412" t="n"/>
      <c r="CY29" s="1412" t="n"/>
      <c r="CZ29" s="1412" t="n"/>
      <c r="DA29" s="1412" t="n"/>
      <c r="DB29" s="1412" t="n"/>
      <c r="DC29" s="1412" t="n"/>
      <c r="DD29" s="1412" t="n"/>
      <c r="DE29" s="1412" t="n"/>
      <c r="DF29" s="1412" t="n"/>
      <c r="DG29" s="1412" t="n"/>
      <c r="DH29" s="1412" t="n"/>
      <c r="DI29" s="1412" t="n"/>
      <c r="DJ29" s="1410" t="n"/>
      <c r="DK29" s="871" t="n"/>
      <c r="DL29" s="1412" t="n"/>
      <c r="DM29" s="1412" t="n"/>
      <c r="DN29" s="1412" t="n"/>
      <c r="DO29" s="1412" t="n"/>
      <c r="DP29" s="1412" t="n"/>
      <c r="DQ29" s="1412" t="n"/>
      <c r="DR29" s="1412" t="n"/>
      <c r="DS29" s="1412" t="n"/>
      <c r="DT29" s="1412" t="n"/>
      <c r="DU29" s="1412" t="n"/>
      <c r="DV29" s="1412" t="n"/>
      <c r="DW29" s="1412" t="n"/>
      <c r="DX29" s="1412" t="n"/>
      <c r="DY29" s="1412" t="n"/>
      <c r="DZ29" s="1412" t="n"/>
      <c r="EA29" s="1412" t="n"/>
      <c r="EB29" s="1410" t="n"/>
      <c r="EC29" s="938" t="n"/>
      <c r="ED29" s="1412" t="n"/>
      <c r="EE29" s="1412" t="n"/>
      <c r="EF29" s="1412" t="n"/>
      <c r="EG29" s="1412" t="n"/>
      <c r="EH29" s="1412" t="n"/>
      <c r="EI29" s="1412" t="n"/>
      <c r="EJ29" s="1412" t="n"/>
      <c r="EK29" s="1412" t="n"/>
      <c r="EL29" s="1412" t="n"/>
      <c r="EM29" s="1412" t="n"/>
      <c r="EN29" s="1412" t="n"/>
      <c r="EO29" s="1412" t="n"/>
      <c r="EP29" s="1412" t="n"/>
      <c r="EQ29" s="1412" t="n"/>
      <c r="ER29" s="1412" t="n"/>
      <c r="ES29" s="1410" t="n"/>
      <c r="ET29" s="906" t="n"/>
      <c r="EU29" s="1412" t="n"/>
      <c r="EV29" s="1412" t="n"/>
      <c r="EW29" s="1412" t="n"/>
      <c r="EX29" s="1412" t="n"/>
      <c r="EY29" s="1412" t="n"/>
      <c r="EZ29" s="1412" t="n"/>
      <c r="FA29" s="1412" t="n"/>
      <c r="FB29" s="1412" t="n"/>
      <c r="FC29" s="1412" t="n"/>
      <c r="FD29" s="1412" t="n"/>
      <c r="FE29" s="1410" t="n"/>
      <c r="FF29" s="906" t="n"/>
      <c r="FG29" s="1412" t="n"/>
      <c r="FH29" s="1412" t="n"/>
      <c r="FI29" s="1412" t="n"/>
      <c r="FJ29" s="1412" t="n"/>
      <c r="FK29" s="1412" t="n"/>
      <c r="FL29" s="1412" t="n"/>
      <c r="FM29" s="1412" t="n"/>
      <c r="FN29" s="1412" t="n"/>
      <c r="FO29" s="1412" t="n"/>
      <c r="FP29" s="1412" t="n"/>
      <c r="FQ29" s="1412" t="n"/>
      <c r="FR29" s="1410" t="n"/>
      <c r="FS29" s="906" t="n"/>
      <c r="FT29" s="1412" t="n"/>
      <c r="FU29" s="1412" t="n"/>
      <c r="FV29" s="1412" t="n"/>
      <c r="FW29" s="1412" t="n"/>
      <c r="FX29" s="1412" t="n"/>
      <c r="FY29" s="1412" t="n"/>
      <c r="FZ29" s="1412" t="n"/>
      <c r="GA29" s="1412" t="n"/>
      <c r="GB29" s="1412" t="n"/>
      <c r="GC29" s="1412" t="n"/>
      <c r="GD29" s="1412" t="n"/>
      <c r="GE29" s="1412" t="n"/>
      <c r="GF29" s="1412" t="n"/>
      <c r="GG29" s="1410" t="n"/>
      <c r="GH29" s="906" t="n"/>
      <c r="GI29" s="1412" t="n"/>
      <c r="GJ29" s="1412" t="n"/>
      <c r="GK29" s="1412" t="n"/>
      <c r="GL29" s="1412" t="n"/>
      <c r="GM29" s="1412" t="n"/>
      <c r="GN29" s="1412" t="n"/>
      <c r="GO29" s="1412" t="n"/>
      <c r="GP29" s="1412" t="n"/>
      <c r="GQ29" s="1412" t="n"/>
      <c r="GR29" s="1412" t="n"/>
      <c r="GS29" s="1412" t="n"/>
      <c r="GT29" s="1412" t="n"/>
      <c r="GU29" s="1412" t="n"/>
      <c r="GV29" s="1412" t="n"/>
      <c r="GW29" s="1410" t="n"/>
      <c r="GX29" s="1433" t="n"/>
      <c r="GY29" s="1412" t="n"/>
      <c r="GZ29" s="1412" t="n"/>
      <c r="HA29" s="1412" t="n"/>
      <c r="HB29" s="1412" t="n"/>
      <c r="HC29" s="1412" t="n"/>
      <c r="HD29" s="1412" t="n"/>
      <c r="HE29" s="1412" t="n"/>
      <c r="HF29" s="1412" t="n"/>
      <c r="HG29" s="1412" t="n"/>
      <c r="HH29" s="1412" t="n"/>
      <c r="HI29" s="1412" t="n"/>
      <c r="HJ29" s="1412" t="n"/>
      <c r="HK29" s="1412" t="n"/>
      <c r="HL29" s="1410" t="n"/>
      <c r="HM29" s="906" t="n"/>
      <c r="HN29" s="1412" t="n"/>
      <c r="HO29" s="1412" t="n"/>
      <c r="HP29" s="1412" t="n"/>
      <c r="HQ29" s="1412" t="n"/>
      <c r="HR29" s="1412" t="n"/>
      <c r="HS29" s="1412" t="n"/>
      <c r="HT29" s="1412" t="n"/>
      <c r="HU29" s="1412" t="n"/>
      <c r="HV29" s="1412" t="n"/>
      <c r="HW29" s="1412" t="n"/>
      <c r="HX29" s="1412" t="n"/>
      <c r="HY29" s="1412" t="n"/>
      <c r="HZ29" s="1412" t="n"/>
      <c r="IA29" s="1412" t="n"/>
      <c r="IB29" s="1410" t="n"/>
    </row>
    <row r="30" ht="12" customFormat="1" customHeight="1" s="1340">
      <c r="A30" s="938" t="inlineStr">
        <is>
          <t>0110</t>
        </is>
      </c>
      <c r="B30" s="1412" t="n"/>
      <c r="C30" s="1412" t="n"/>
      <c r="D30" s="1412" t="n"/>
      <c r="E30" s="1412" t="n"/>
      <c r="F30" s="1410" t="n"/>
      <c r="G30" s="910" t="inlineStr">
        <is>
          <t>затраты на изделия собственного производства</t>
        </is>
      </c>
      <c r="H30" s="1412" t="n"/>
      <c r="I30" s="1412" t="n"/>
      <c r="J30" s="1412" t="n"/>
      <c r="K30" s="1412" t="n"/>
      <c r="L30" s="1412" t="n"/>
      <c r="M30" s="1412" t="n"/>
      <c r="N30" s="1412" t="n"/>
      <c r="O30" s="1412" t="n"/>
      <c r="P30" s="1412" t="n"/>
      <c r="Q30" s="1412" t="n"/>
      <c r="R30" s="1412" t="n"/>
      <c r="S30" s="1412" t="n"/>
      <c r="T30" s="1412" t="n"/>
      <c r="U30" s="1412" t="n"/>
      <c r="V30" s="1412" t="n"/>
      <c r="W30" s="1412" t="n"/>
      <c r="X30" s="1412" t="n"/>
      <c r="Y30" s="1412" t="n"/>
      <c r="Z30" s="1412" t="n"/>
      <c r="AA30" s="1412" t="n"/>
      <c r="AB30" s="1412" t="n"/>
      <c r="AC30" s="1412" t="n"/>
      <c r="AD30" s="1412" t="n"/>
      <c r="AE30" s="1412" t="n"/>
      <c r="AF30" s="1412" t="n"/>
      <c r="AG30" s="1412" t="n"/>
      <c r="AH30" s="1412" t="n"/>
      <c r="AI30" s="1412" t="n"/>
      <c r="AJ30" s="1412" t="n"/>
      <c r="AK30" s="1412" t="n"/>
      <c r="AL30" s="1412" t="n"/>
      <c r="AM30" s="1412" t="n"/>
      <c r="AN30" s="1412" t="n"/>
      <c r="AO30" s="1412" t="n"/>
      <c r="AP30" s="1412" t="n"/>
      <c r="AQ30" s="1412" t="n"/>
      <c r="AR30" s="1412" t="n"/>
      <c r="AS30" s="1412" t="n"/>
      <c r="AT30" s="1412" t="n"/>
      <c r="AU30" s="1412" t="n"/>
      <c r="AV30" s="1412" t="n"/>
      <c r="AW30" s="1412" t="n"/>
      <c r="AX30" s="1412" t="n"/>
      <c r="AY30" s="1412" t="n"/>
      <c r="AZ30" s="1412" t="n"/>
      <c r="BA30" s="1412" t="n"/>
      <c r="BB30" s="1412" t="n"/>
      <c r="BC30" s="1412" t="n"/>
      <c r="BD30" s="1412" t="n"/>
      <c r="BE30" s="1412" t="n"/>
      <c r="BF30" s="1412" t="n"/>
      <c r="BG30" s="1412" t="n"/>
      <c r="BH30" s="1412" t="n"/>
      <c r="BI30" s="1412" t="n"/>
      <c r="BJ30" s="1410" t="n"/>
      <c r="BK30" s="871" t="n"/>
      <c r="BL30" s="1412" t="n"/>
      <c r="BM30" s="1412" t="n"/>
      <c r="BN30" s="1412" t="n"/>
      <c r="BO30" s="1412" t="n"/>
      <c r="BP30" s="1412" t="n"/>
      <c r="BQ30" s="1412" t="n"/>
      <c r="BR30" s="1412" t="n"/>
      <c r="BS30" s="1412" t="n"/>
      <c r="BT30" s="1412" t="n"/>
      <c r="BU30" s="1412" t="n"/>
      <c r="BV30" s="1412" t="n"/>
      <c r="BW30" s="1412" t="n"/>
      <c r="BX30" s="1412" t="n"/>
      <c r="BY30" s="1412" t="n"/>
      <c r="BZ30" s="1412" t="n"/>
      <c r="CA30" s="1412" t="n"/>
      <c r="CB30" s="1410" t="n"/>
      <c r="CC30" s="871" t="n"/>
      <c r="CD30" s="1412" t="n"/>
      <c r="CE30" s="1412" t="n"/>
      <c r="CF30" s="1412" t="n"/>
      <c r="CG30" s="1412" t="n"/>
      <c r="CH30" s="1412" t="n"/>
      <c r="CI30" s="1412" t="n"/>
      <c r="CJ30" s="1412" t="n"/>
      <c r="CK30" s="1412" t="n"/>
      <c r="CL30" s="1412" t="n"/>
      <c r="CM30" s="1412" t="n"/>
      <c r="CN30" s="1412" t="n"/>
      <c r="CO30" s="1412" t="n"/>
      <c r="CP30" s="1412" t="n"/>
      <c r="CQ30" s="1412" t="n"/>
      <c r="CR30" s="1412" t="n"/>
      <c r="CS30" s="1412" t="n"/>
      <c r="CT30" s="1410" t="n"/>
      <c r="CU30" s="938" t="n"/>
      <c r="CV30" s="1412" t="n"/>
      <c r="CW30" s="1412" t="n"/>
      <c r="CX30" s="1412" t="n"/>
      <c r="CY30" s="1412" t="n"/>
      <c r="CZ30" s="1412" t="n"/>
      <c r="DA30" s="1412" t="n"/>
      <c r="DB30" s="1412" t="n"/>
      <c r="DC30" s="1412" t="n"/>
      <c r="DD30" s="1412" t="n"/>
      <c r="DE30" s="1412" t="n"/>
      <c r="DF30" s="1412" t="n"/>
      <c r="DG30" s="1412" t="n"/>
      <c r="DH30" s="1412" t="n"/>
      <c r="DI30" s="1412" t="n"/>
      <c r="DJ30" s="1410" t="n"/>
      <c r="DK30" s="871" t="n"/>
      <c r="DL30" s="1412" t="n"/>
      <c r="DM30" s="1412" t="n"/>
      <c r="DN30" s="1412" t="n"/>
      <c r="DO30" s="1412" t="n"/>
      <c r="DP30" s="1412" t="n"/>
      <c r="DQ30" s="1412" t="n"/>
      <c r="DR30" s="1412" t="n"/>
      <c r="DS30" s="1412" t="n"/>
      <c r="DT30" s="1412" t="n"/>
      <c r="DU30" s="1412" t="n"/>
      <c r="DV30" s="1412" t="n"/>
      <c r="DW30" s="1412" t="n"/>
      <c r="DX30" s="1412" t="n"/>
      <c r="DY30" s="1412" t="n"/>
      <c r="DZ30" s="1412" t="n"/>
      <c r="EA30" s="1412" t="n"/>
      <c r="EB30" s="1410" t="n"/>
      <c r="EC30" s="938" t="n"/>
      <c r="ED30" s="1412" t="n"/>
      <c r="EE30" s="1412" t="n"/>
      <c r="EF30" s="1412" t="n"/>
      <c r="EG30" s="1412" t="n"/>
      <c r="EH30" s="1412" t="n"/>
      <c r="EI30" s="1412" t="n"/>
      <c r="EJ30" s="1412" t="n"/>
      <c r="EK30" s="1412" t="n"/>
      <c r="EL30" s="1412" t="n"/>
      <c r="EM30" s="1412" t="n"/>
      <c r="EN30" s="1412" t="n"/>
      <c r="EO30" s="1412" t="n"/>
      <c r="EP30" s="1412" t="n"/>
      <c r="EQ30" s="1412" t="n"/>
      <c r="ER30" s="1412" t="n"/>
      <c r="ES30" s="1410" t="n"/>
      <c r="ET30" s="906" t="n"/>
      <c r="EU30" s="1412" t="n"/>
      <c r="EV30" s="1412" t="n"/>
      <c r="EW30" s="1412" t="n"/>
      <c r="EX30" s="1412" t="n"/>
      <c r="EY30" s="1412" t="n"/>
      <c r="EZ30" s="1412" t="n"/>
      <c r="FA30" s="1412" t="n"/>
      <c r="FB30" s="1412" t="n"/>
      <c r="FC30" s="1412" t="n"/>
      <c r="FD30" s="1412" t="n"/>
      <c r="FE30" s="1410" t="n"/>
      <c r="FF30" s="906" t="n"/>
      <c r="FG30" s="1412" t="n"/>
      <c r="FH30" s="1412" t="n"/>
      <c r="FI30" s="1412" t="n"/>
      <c r="FJ30" s="1412" t="n"/>
      <c r="FK30" s="1412" t="n"/>
      <c r="FL30" s="1412" t="n"/>
      <c r="FM30" s="1412" t="n"/>
      <c r="FN30" s="1412" t="n"/>
      <c r="FO30" s="1412" t="n"/>
      <c r="FP30" s="1412" t="n"/>
      <c r="FQ30" s="1412" t="n"/>
      <c r="FR30" s="1410" t="n"/>
      <c r="FS30" s="906" t="n"/>
      <c r="FT30" s="1412" t="n"/>
      <c r="FU30" s="1412" t="n"/>
      <c r="FV30" s="1412" t="n"/>
      <c r="FW30" s="1412" t="n"/>
      <c r="FX30" s="1412" t="n"/>
      <c r="FY30" s="1412" t="n"/>
      <c r="FZ30" s="1412" t="n"/>
      <c r="GA30" s="1412" t="n"/>
      <c r="GB30" s="1412" t="n"/>
      <c r="GC30" s="1412" t="n"/>
      <c r="GD30" s="1412" t="n"/>
      <c r="GE30" s="1412" t="n"/>
      <c r="GF30" s="1412" t="n"/>
      <c r="GG30" s="1410" t="n"/>
      <c r="GH30" s="906" t="n"/>
      <c r="GI30" s="1412" t="n"/>
      <c r="GJ30" s="1412" t="n"/>
      <c r="GK30" s="1412" t="n"/>
      <c r="GL30" s="1412" t="n"/>
      <c r="GM30" s="1412" t="n"/>
      <c r="GN30" s="1412" t="n"/>
      <c r="GO30" s="1412" t="n"/>
      <c r="GP30" s="1412" t="n"/>
      <c r="GQ30" s="1412" t="n"/>
      <c r="GR30" s="1412" t="n"/>
      <c r="GS30" s="1412" t="n"/>
      <c r="GT30" s="1412" t="n"/>
      <c r="GU30" s="1412" t="n"/>
      <c r="GV30" s="1412" t="n"/>
      <c r="GW30" s="1410" t="n"/>
      <c r="GX30" s="1433" t="n"/>
      <c r="GY30" s="1412" t="n"/>
      <c r="GZ30" s="1412" t="n"/>
      <c r="HA30" s="1412" t="n"/>
      <c r="HB30" s="1412" t="n"/>
      <c r="HC30" s="1412" t="n"/>
      <c r="HD30" s="1412" t="n"/>
      <c r="HE30" s="1412" t="n"/>
      <c r="HF30" s="1412" t="n"/>
      <c r="HG30" s="1412" t="n"/>
      <c r="HH30" s="1412" t="n"/>
      <c r="HI30" s="1412" t="n"/>
      <c r="HJ30" s="1412" t="n"/>
      <c r="HK30" s="1412" t="n"/>
      <c r="HL30" s="1410" t="n"/>
      <c r="HM30" s="906" t="n"/>
      <c r="HN30" s="1412" t="n"/>
      <c r="HO30" s="1412" t="n"/>
      <c r="HP30" s="1412" t="n"/>
      <c r="HQ30" s="1412" t="n"/>
      <c r="HR30" s="1412" t="n"/>
      <c r="HS30" s="1412" t="n"/>
      <c r="HT30" s="1412" t="n"/>
      <c r="HU30" s="1412" t="n"/>
      <c r="HV30" s="1412" t="n"/>
      <c r="HW30" s="1412" t="n"/>
      <c r="HX30" s="1412" t="n"/>
      <c r="HY30" s="1412" t="n"/>
      <c r="HZ30" s="1412" t="n"/>
      <c r="IA30" s="1412" t="n"/>
      <c r="IB30" s="1410" t="n"/>
    </row>
    <row r="31" ht="12" customFormat="1" customHeight="1" s="1340">
      <c r="A31" s="938" t="inlineStr">
        <is>
          <t>0200</t>
        </is>
      </c>
      <c r="B31" s="1412" t="n"/>
      <c r="C31" s="1412" t="n"/>
      <c r="D31" s="1412" t="n"/>
      <c r="E31" s="1412" t="n"/>
      <c r="F31" s="1410" t="n"/>
      <c r="G31" s="920" t="inlineStr">
        <is>
          <t>Затраты на оплату труда - всего:</t>
        </is>
      </c>
      <c r="H31" s="1412" t="n"/>
      <c r="I31" s="1412" t="n"/>
      <c r="J31" s="1412" t="n"/>
      <c r="K31" s="1412" t="n"/>
      <c r="L31" s="1412" t="n"/>
      <c r="M31" s="1412" t="n"/>
      <c r="N31" s="1412" t="n"/>
      <c r="O31" s="1412" t="n"/>
      <c r="P31" s="1412" t="n"/>
      <c r="Q31" s="1412" t="n"/>
      <c r="R31" s="1412" t="n"/>
      <c r="S31" s="1412" t="n"/>
      <c r="T31" s="1412" t="n"/>
      <c r="U31" s="1412" t="n"/>
      <c r="V31" s="1412" t="n"/>
      <c r="W31" s="1412" t="n"/>
      <c r="X31" s="1412" t="n"/>
      <c r="Y31" s="1412" t="n"/>
      <c r="Z31" s="1412" t="n"/>
      <c r="AA31" s="1412" t="n"/>
      <c r="AB31" s="1412" t="n"/>
      <c r="AC31" s="1412" t="n"/>
      <c r="AD31" s="1412" t="n"/>
      <c r="AE31" s="1412" t="n"/>
      <c r="AF31" s="1412" t="n"/>
      <c r="AG31" s="1412" t="n"/>
      <c r="AH31" s="1412" t="n"/>
      <c r="AI31" s="1412" t="n"/>
      <c r="AJ31" s="1412" t="n"/>
      <c r="AK31" s="1412" t="n"/>
      <c r="AL31" s="1412" t="n"/>
      <c r="AM31" s="1412" t="n"/>
      <c r="AN31" s="1412" t="n"/>
      <c r="AO31" s="1412" t="n"/>
      <c r="AP31" s="1412" t="n"/>
      <c r="AQ31" s="1412" t="n"/>
      <c r="AR31" s="1412" t="n"/>
      <c r="AS31" s="1412" t="n"/>
      <c r="AT31" s="1412" t="n"/>
      <c r="AU31" s="1412" t="n"/>
      <c r="AV31" s="1412" t="n"/>
      <c r="AW31" s="1412" t="n"/>
      <c r="AX31" s="1412" t="n"/>
      <c r="AY31" s="1412" t="n"/>
      <c r="AZ31" s="1412" t="n"/>
      <c r="BA31" s="1412" t="n"/>
      <c r="BB31" s="1412" t="n"/>
      <c r="BC31" s="1412" t="n"/>
      <c r="BD31" s="1412" t="n"/>
      <c r="BE31" s="1412" t="n"/>
      <c r="BF31" s="1412" t="n"/>
      <c r="BG31" s="1412" t="n"/>
      <c r="BH31" s="1412" t="n"/>
      <c r="BI31" s="1412" t="n"/>
      <c r="BJ31" s="1410" t="n"/>
      <c r="BK31" s="871" t="inlineStr">
        <is>
          <t>Х</t>
        </is>
      </c>
      <c r="BL31" s="1412" t="n"/>
      <c r="BM31" s="1412" t="n"/>
      <c r="BN31" s="1412" t="n"/>
      <c r="BO31" s="1412" t="n"/>
      <c r="BP31" s="1412" t="n"/>
      <c r="BQ31" s="1412" t="n"/>
      <c r="BR31" s="1412" t="n"/>
      <c r="BS31" s="1412" t="n"/>
      <c r="BT31" s="1412" t="n"/>
      <c r="BU31" s="1412" t="n"/>
      <c r="BV31" s="1412" t="n"/>
      <c r="BW31" s="1412" t="n"/>
      <c r="BX31" s="1412" t="n"/>
      <c r="BY31" s="1412" t="n"/>
      <c r="BZ31" s="1412" t="n"/>
      <c r="CA31" s="1412" t="n"/>
      <c r="CB31" s="1410" t="n"/>
      <c r="CC31" s="871" t="inlineStr">
        <is>
          <t>Х</t>
        </is>
      </c>
      <c r="CD31" s="1412" t="n"/>
      <c r="CE31" s="1412" t="n"/>
      <c r="CF31" s="1412" t="n"/>
      <c r="CG31" s="1412" t="n"/>
      <c r="CH31" s="1412" t="n"/>
      <c r="CI31" s="1412" t="n"/>
      <c r="CJ31" s="1412" t="n"/>
      <c r="CK31" s="1412" t="n"/>
      <c r="CL31" s="1412" t="n"/>
      <c r="CM31" s="1412" t="n"/>
      <c r="CN31" s="1412" t="n"/>
      <c r="CO31" s="1412" t="n"/>
      <c r="CP31" s="1412" t="n"/>
      <c r="CQ31" s="1412" t="n"/>
      <c r="CR31" s="1412" t="n"/>
      <c r="CS31" s="1412" t="n"/>
      <c r="CT31" s="1410" t="n"/>
      <c r="CU31" s="938" t="inlineStr">
        <is>
          <t>Х</t>
        </is>
      </c>
      <c r="CV31" s="1412" t="n"/>
      <c r="CW31" s="1412" t="n"/>
      <c r="CX31" s="1412" t="n"/>
      <c r="CY31" s="1412" t="n"/>
      <c r="CZ31" s="1412" t="n"/>
      <c r="DA31" s="1412" t="n"/>
      <c r="DB31" s="1412" t="n"/>
      <c r="DC31" s="1412" t="n"/>
      <c r="DD31" s="1412" t="n"/>
      <c r="DE31" s="1412" t="n"/>
      <c r="DF31" s="1412" t="n"/>
      <c r="DG31" s="1412" t="n"/>
      <c r="DH31" s="1412" t="n"/>
      <c r="DI31" s="1412" t="n"/>
      <c r="DJ31" s="1410" t="n"/>
      <c r="DK31" s="871" t="inlineStr">
        <is>
          <t>Х</t>
        </is>
      </c>
      <c r="DL31" s="1412" t="n"/>
      <c r="DM31" s="1412" t="n"/>
      <c r="DN31" s="1412" t="n"/>
      <c r="DO31" s="1412" t="n"/>
      <c r="DP31" s="1412" t="n"/>
      <c r="DQ31" s="1412" t="n"/>
      <c r="DR31" s="1412" t="n"/>
      <c r="DS31" s="1412" t="n"/>
      <c r="DT31" s="1412" t="n"/>
      <c r="DU31" s="1412" t="n"/>
      <c r="DV31" s="1412" t="n"/>
      <c r="DW31" s="1412" t="n"/>
      <c r="DX31" s="1412" t="n"/>
      <c r="DY31" s="1412" t="n"/>
      <c r="DZ31" s="1412" t="n"/>
      <c r="EA31" s="1412" t="n"/>
      <c r="EB31" s="1410" t="n"/>
      <c r="EC31" s="938" t="inlineStr">
        <is>
          <t>Х</t>
        </is>
      </c>
      <c r="ED31" s="1412" t="n"/>
      <c r="EE31" s="1412" t="n"/>
      <c r="EF31" s="1412" t="n"/>
      <c r="EG31" s="1412" t="n"/>
      <c r="EH31" s="1412" t="n"/>
      <c r="EI31" s="1412" t="n"/>
      <c r="EJ31" s="1412" t="n"/>
      <c r="EK31" s="1412" t="n"/>
      <c r="EL31" s="1412" t="n"/>
      <c r="EM31" s="1412" t="n"/>
      <c r="EN31" s="1412" t="n"/>
      <c r="EO31" s="1412" t="n"/>
      <c r="EP31" s="1412" t="n"/>
      <c r="EQ31" s="1412" t="n"/>
      <c r="ER31" s="1412" t="n"/>
      <c r="ES31" s="1410" t="n"/>
      <c r="ET31" s="906" t="inlineStr">
        <is>
          <t>Х</t>
        </is>
      </c>
      <c r="EU31" s="1412" t="n"/>
      <c r="EV31" s="1412" t="n"/>
      <c r="EW31" s="1412" t="n"/>
      <c r="EX31" s="1412" t="n"/>
      <c r="EY31" s="1412" t="n"/>
      <c r="EZ31" s="1412" t="n"/>
      <c r="FA31" s="1412" t="n"/>
      <c r="FB31" s="1412" t="n"/>
      <c r="FC31" s="1412" t="n"/>
      <c r="FD31" s="1412" t="n"/>
      <c r="FE31" s="1410" t="n"/>
      <c r="FF31" s="906" t="inlineStr">
        <is>
          <t>Х</t>
        </is>
      </c>
      <c r="FG31" s="1412" t="n"/>
      <c r="FH31" s="1412" t="n"/>
      <c r="FI31" s="1412" t="n"/>
      <c r="FJ31" s="1412" t="n"/>
      <c r="FK31" s="1412" t="n"/>
      <c r="FL31" s="1412" t="n"/>
      <c r="FM31" s="1412" t="n"/>
      <c r="FN31" s="1412" t="n"/>
      <c r="FO31" s="1412" t="n"/>
      <c r="FP31" s="1412" t="n"/>
      <c r="FQ31" s="1412" t="n"/>
      <c r="FR31" s="1410" t="n"/>
      <c r="FS31" s="906" t="inlineStr">
        <is>
          <t>Х</t>
        </is>
      </c>
      <c r="FT31" s="1412" t="n"/>
      <c r="FU31" s="1412" t="n"/>
      <c r="FV31" s="1412" t="n"/>
      <c r="FW31" s="1412" t="n"/>
      <c r="FX31" s="1412" t="n"/>
      <c r="FY31" s="1412" t="n"/>
      <c r="FZ31" s="1412" t="n"/>
      <c r="GA31" s="1412" t="n"/>
      <c r="GB31" s="1412" t="n"/>
      <c r="GC31" s="1412" t="n"/>
      <c r="GD31" s="1412" t="n"/>
      <c r="GE31" s="1412" t="n"/>
      <c r="GF31" s="1412" t="n"/>
      <c r="GG31" s="1410" t="n"/>
      <c r="GH31" s="906" t="inlineStr">
        <is>
          <t>Х</t>
        </is>
      </c>
      <c r="GI31" s="1412" t="n"/>
      <c r="GJ31" s="1412" t="n"/>
      <c r="GK31" s="1412" t="n"/>
      <c r="GL31" s="1412" t="n"/>
      <c r="GM31" s="1412" t="n"/>
      <c r="GN31" s="1412" t="n"/>
      <c r="GO31" s="1412" t="n"/>
      <c r="GP31" s="1412" t="n"/>
      <c r="GQ31" s="1412" t="n"/>
      <c r="GR31" s="1412" t="n"/>
      <c r="GS31" s="1412" t="n"/>
      <c r="GT31" s="1412" t="n"/>
      <c r="GU31" s="1412" t="n"/>
      <c r="GV31" s="1412" t="n"/>
      <c r="GW31" s="1410" t="n"/>
      <c r="GX31" s="1437" t="n"/>
      <c r="GY31" s="1412" t="n"/>
      <c r="GZ31" s="1412" t="n"/>
      <c r="HA31" s="1412" t="n"/>
      <c r="HB31" s="1412" t="n"/>
      <c r="HC31" s="1412" t="n"/>
      <c r="HD31" s="1412" t="n"/>
      <c r="HE31" s="1412" t="n"/>
      <c r="HF31" s="1412" t="n"/>
      <c r="HG31" s="1412" t="n"/>
      <c r="HH31" s="1412" t="n"/>
      <c r="HI31" s="1412" t="n"/>
      <c r="HJ31" s="1412" t="n"/>
      <c r="HK31" s="1412" t="n"/>
      <c r="HL31" s="1410" t="n"/>
      <c r="HM31" s="906" t="n"/>
      <c r="HN31" s="1412" t="n"/>
      <c r="HO31" s="1412" t="n"/>
      <c r="HP31" s="1412" t="n"/>
      <c r="HQ31" s="1412" t="n"/>
      <c r="HR31" s="1412" t="n"/>
      <c r="HS31" s="1412" t="n"/>
      <c r="HT31" s="1412" t="n"/>
      <c r="HU31" s="1412" t="n"/>
      <c r="HV31" s="1412" t="n"/>
      <c r="HW31" s="1412" t="n"/>
      <c r="HX31" s="1412" t="n"/>
      <c r="HY31" s="1412" t="n"/>
      <c r="HZ31" s="1412" t="n"/>
      <c r="IA31" s="1412" t="n"/>
      <c r="IB31" s="1410" t="n"/>
    </row>
    <row r="32" ht="12" customFormat="1" customHeight="1" s="1340">
      <c r="A32" s="938" t="n"/>
      <c r="B32" s="1412" t="n"/>
      <c r="C32" s="1412" t="n"/>
      <c r="D32" s="1412" t="n"/>
      <c r="E32" s="1412" t="n"/>
      <c r="F32" s="1410" t="n"/>
      <c r="G32" s="910" t="inlineStr">
        <is>
          <t>в том числе:</t>
        </is>
      </c>
      <c r="H32" s="1412" t="n"/>
      <c r="I32" s="1412" t="n"/>
      <c r="J32" s="1412" t="n"/>
      <c r="K32" s="1412" t="n"/>
      <c r="L32" s="1412" t="n"/>
      <c r="M32" s="1412" t="n"/>
      <c r="N32" s="1412" t="n"/>
      <c r="O32" s="1412" t="n"/>
      <c r="P32" s="1412" t="n"/>
      <c r="Q32" s="1412" t="n"/>
      <c r="R32" s="1412" t="n"/>
      <c r="S32" s="1412" t="n"/>
      <c r="T32" s="1412" t="n"/>
      <c r="U32" s="1412" t="n"/>
      <c r="V32" s="1412" t="n"/>
      <c r="W32" s="1412" t="n"/>
      <c r="X32" s="1412" t="n"/>
      <c r="Y32" s="1412" t="n"/>
      <c r="Z32" s="1412" t="n"/>
      <c r="AA32" s="1412" t="n"/>
      <c r="AB32" s="1412" t="n"/>
      <c r="AC32" s="1412" t="n"/>
      <c r="AD32" s="1412" t="n"/>
      <c r="AE32" s="1412" t="n"/>
      <c r="AF32" s="1412" t="n"/>
      <c r="AG32" s="1412" t="n"/>
      <c r="AH32" s="1412" t="n"/>
      <c r="AI32" s="1412" t="n"/>
      <c r="AJ32" s="1412" t="n"/>
      <c r="AK32" s="1412" t="n"/>
      <c r="AL32" s="1412" t="n"/>
      <c r="AM32" s="1412" t="n"/>
      <c r="AN32" s="1412" t="n"/>
      <c r="AO32" s="1412" t="n"/>
      <c r="AP32" s="1412" t="n"/>
      <c r="AQ32" s="1412" t="n"/>
      <c r="AR32" s="1412" t="n"/>
      <c r="AS32" s="1412" t="n"/>
      <c r="AT32" s="1412" t="n"/>
      <c r="AU32" s="1412" t="n"/>
      <c r="AV32" s="1412" t="n"/>
      <c r="AW32" s="1412" t="n"/>
      <c r="AX32" s="1412" t="n"/>
      <c r="AY32" s="1412" t="n"/>
      <c r="AZ32" s="1412" t="n"/>
      <c r="BA32" s="1412" t="n"/>
      <c r="BB32" s="1412" t="n"/>
      <c r="BC32" s="1412" t="n"/>
      <c r="BD32" s="1412" t="n"/>
      <c r="BE32" s="1412" t="n"/>
      <c r="BF32" s="1412" t="n"/>
      <c r="BG32" s="1412" t="n"/>
      <c r="BH32" s="1412" t="n"/>
      <c r="BI32" s="1412" t="n"/>
      <c r="BJ32" s="1410" t="n"/>
      <c r="BK32" s="871" t="n"/>
      <c r="BL32" s="1412" t="n"/>
      <c r="BM32" s="1412" t="n"/>
      <c r="BN32" s="1412" t="n"/>
      <c r="BO32" s="1412" t="n"/>
      <c r="BP32" s="1412" t="n"/>
      <c r="BQ32" s="1412" t="n"/>
      <c r="BR32" s="1412" t="n"/>
      <c r="BS32" s="1412" t="n"/>
      <c r="BT32" s="1412" t="n"/>
      <c r="BU32" s="1412" t="n"/>
      <c r="BV32" s="1412" t="n"/>
      <c r="BW32" s="1412" t="n"/>
      <c r="BX32" s="1412" t="n"/>
      <c r="BY32" s="1412" t="n"/>
      <c r="BZ32" s="1412" t="n"/>
      <c r="CA32" s="1412" t="n"/>
      <c r="CB32" s="1410" t="n"/>
      <c r="CC32" s="871" t="n"/>
      <c r="CD32" s="1412" t="n"/>
      <c r="CE32" s="1412" t="n"/>
      <c r="CF32" s="1412" t="n"/>
      <c r="CG32" s="1412" t="n"/>
      <c r="CH32" s="1412" t="n"/>
      <c r="CI32" s="1412" t="n"/>
      <c r="CJ32" s="1412" t="n"/>
      <c r="CK32" s="1412" t="n"/>
      <c r="CL32" s="1412" t="n"/>
      <c r="CM32" s="1412" t="n"/>
      <c r="CN32" s="1412" t="n"/>
      <c r="CO32" s="1412" t="n"/>
      <c r="CP32" s="1412" t="n"/>
      <c r="CQ32" s="1412" t="n"/>
      <c r="CR32" s="1412" t="n"/>
      <c r="CS32" s="1412" t="n"/>
      <c r="CT32" s="1410" t="n"/>
      <c r="CU32" s="938" t="n"/>
      <c r="CV32" s="1412" t="n"/>
      <c r="CW32" s="1412" t="n"/>
      <c r="CX32" s="1412" t="n"/>
      <c r="CY32" s="1412" t="n"/>
      <c r="CZ32" s="1412" t="n"/>
      <c r="DA32" s="1412" t="n"/>
      <c r="DB32" s="1412" t="n"/>
      <c r="DC32" s="1412" t="n"/>
      <c r="DD32" s="1412" t="n"/>
      <c r="DE32" s="1412" t="n"/>
      <c r="DF32" s="1412" t="n"/>
      <c r="DG32" s="1412" t="n"/>
      <c r="DH32" s="1412" t="n"/>
      <c r="DI32" s="1412" t="n"/>
      <c r="DJ32" s="1410" t="n"/>
      <c r="DK32" s="871" t="n"/>
      <c r="DL32" s="1412" t="n"/>
      <c r="DM32" s="1412" t="n"/>
      <c r="DN32" s="1412" t="n"/>
      <c r="DO32" s="1412" t="n"/>
      <c r="DP32" s="1412" t="n"/>
      <c r="DQ32" s="1412" t="n"/>
      <c r="DR32" s="1412" t="n"/>
      <c r="DS32" s="1412" t="n"/>
      <c r="DT32" s="1412" t="n"/>
      <c r="DU32" s="1412" t="n"/>
      <c r="DV32" s="1412" t="n"/>
      <c r="DW32" s="1412" t="n"/>
      <c r="DX32" s="1412" t="n"/>
      <c r="DY32" s="1412" t="n"/>
      <c r="DZ32" s="1412" t="n"/>
      <c r="EA32" s="1412" t="n"/>
      <c r="EB32" s="1410" t="n"/>
      <c r="EC32" s="938" t="n"/>
      <c r="ED32" s="1412" t="n"/>
      <c r="EE32" s="1412" t="n"/>
      <c r="EF32" s="1412" t="n"/>
      <c r="EG32" s="1412" t="n"/>
      <c r="EH32" s="1412" t="n"/>
      <c r="EI32" s="1412" t="n"/>
      <c r="EJ32" s="1412" t="n"/>
      <c r="EK32" s="1412" t="n"/>
      <c r="EL32" s="1412" t="n"/>
      <c r="EM32" s="1412" t="n"/>
      <c r="EN32" s="1412" t="n"/>
      <c r="EO32" s="1412" t="n"/>
      <c r="EP32" s="1412" t="n"/>
      <c r="EQ32" s="1412" t="n"/>
      <c r="ER32" s="1412" t="n"/>
      <c r="ES32" s="1410" t="n"/>
      <c r="ET32" s="906" t="n"/>
      <c r="EU32" s="1412" t="n"/>
      <c r="EV32" s="1412" t="n"/>
      <c r="EW32" s="1412" t="n"/>
      <c r="EX32" s="1412" t="n"/>
      <c r="EY32" s="1412" t="n"/>
      <c r="EZ32" s="1412" t="n"/>
      <c r="FA32" s="1412" t="n"/>
      <c r="FB32" s="1412" t="n"/>
      <c r="FC32" s="1412" t="n"/>
      <c r="FD32" s="1412" t="n"/>
      <c r="FE32" s="1410" t="n"/>
      <c r="FF32" s="906" t="n"/>
      <c r="FG32" s="1412" t="n"/>
      <c r="FH32" s="1412" t="n"/>
      <c r="FI32" s="1412" t="n"/>
      <c r="FJ32" s="1412" t="n"/>
      <c r="FK32" s="1412" t="n"/>
      <c r="FL32" s="1412" t="n"/>
      <c r="FM32" s="1412" t="n"/>
      <c r="FN32" s="1412" t="n"/>
      <c r="FO32" s="1412" t="n"/>
      <c r="FP32" s="1412" t="n"/>
      <c r="FQ32" s="1412" t="n"/>
      <c r="FR32" s="1410" t="n"/>
      <c r="FS32" s="906" t="n"/>
      <c r="FT32" s="1412" t="n"/>
      <c r="FU32" s="1412" t="n"/>
      <c r="FV32" s="1412" t="n"/>
      <c r="FW32" s="1412" t="n"/>
      <c r="FX32" s="1412" t="n"/>
      <c r="FY32" s="1412" t="n"/>
      <c r="FZ32" s="1412" t="n"/>
      <c r="GA32" s="1412" t="n"/>
      <c r="GB32" s="1412" t="n"/>
      <c r="GC32" s="1412" t="n"/>
      <c r="GD32" s="1412" t="n"/>
      <c r="GE32" s="1412" t="n"/>
      <c r="GF32" s="1412" t="n"/>
      <c r="GG32" s="1410" t="n"/>
      <c r="GH32" s="906" t="n"/>
      <c r="GI32" s="1412" t="n"/>
      <c r="GJ32" s="1412" t="n"/>
      <c r="GK32" s="1412" t="n"/>
      <c r="GL32" s="1412" t="n"/>
      <c r="GM32" s="1412" t="n"/>
      <c r="GN32" s="1412" t="n"/>
      <c r="GO32" s="1412" t="n"/>
      <c r="GP32" s="1412" t="n"/>
      <c r="GQ32" s="1412" t="n"/>
      <c r="GR32" s="1412" t="n"/>
      <c r="GS32" s="1412" t="n"/>
      <c r="GT32" s="1412" t="n"/>
      <c r="GU32" s="1412" t="n"/>
      <c r="GV32" s="1412" t="n"/>
      <c r="GW32" s="1410" t="n"/>
      <c r="GX32" s="1433" t="n"/>
      <c r="GY32" s="1412" t="n"/>
      <c r="GZ32" s="1412" t="n"/>
      <c r="HA32" s="1412" t="n"/>
      <c r="HB32" s="1412" t="n"/>
      <c r="HC32" s="1412" t="n"/>
      <c r="HD32" s="1412" t="n"/>
      <c r="HE32" s="1412" t="n"/>
      <c r="HF32" s="1412" t="n"/>
      <c r="HG32" s="1412" t="n"/>
      <c r="HH32" s="1412" t="n"/>
      <c r="HI32" s="1412" t="n"/>
      <c r="HJ32" s="1412" t="n"/>
      <c r="HK32" s="1412" t="n"/>
      <c r="HL32" s="1410" t="n"/>
      <c r="HM32" s="906" t="n"/>
      <c r="HN32" s="1412" t="n"/>
      <c r="HO32" s="1412" t="n"/>
      <c r="HP32" s="1412" t="n"/>
      <c r="HQ32" s="1412" t="n"/>
      <c r="HR32" s="1412" t="n"/>
      <c r="HS32" s="1412" t="n"/>
      <c r="HT32" s="1412" t="n"/>
      <c r="HU32" s="1412" t="n"/>
      <c r="HV32" s="1412" t="n"/>
      <c r="HW32" s="1412" t="n"/>
      <c r="HX32" s="1412" t="n"/>
      <c r="HY32" s="1412" t="n"/>
      <c r="HZ32" s="1412" t="n"/>
      <c r="IA32" s="1412" t="n"/>
      <c r="IB32" s="1410" t="n"/>
    </row>
    <row r="33" ht="12" customFormat="1" customHeight="1" s="1340">
      <c r="A33" s="938" t="inlineStr">
        <is>
          <t>0201</t>
        </is>
      </c>
      <c r="B33" s="1412" t="n"/>
      <c r="C33" s="1412" t="n"/>
      <c r="D33" s="1412" t="n"/>
      <c r="E33" s="1412" t="n"/>
      <c r="F33" s="1410" t="n"/>
      <c r="G33" s="910" t="inlineStr">
        <is>
          <t>основная заработная плата</t>
        </is>
      </c>
      <c r="H33" s="1412" t="n"/>
      <c r="I33" s="1412" t="n"/>
      <c r="J33" s="1412" t="n"/>
      <c r="K33" s="1412" t="n"/>
      <c r="L33" s="1412" t="n"/>
      <c r="M33" s="1412" t="n"/>
      <c r="N33" s="1412" t="n"/>
      <c r="O33" s="1412" t="n"/>
      <c r="P33" s="1412" t="n"/>
      <c r="Q33" s="1412" t="n"/>
      <c r="R33" s="1412" t="n"/>
      <c r="S33" s="1412" t="n"/>
      <c r="T33" s="1412" t="n"/>
      <c r="U33" s="1412" t="n"/>
      <c r="V33" s="1412" t="n"/>
      <c r="W33" s="1412" t="n"/>
      <c r="X33" s="1412" t="n"/>
      <c r="Y33" s="1412" t="n"/>
      <c r="Z33" s="1412" t="n"/>
      <c r="AA33" s="1412" t="n"/>
      <c r="AB33" s="1412" t="n"/>
      <c r="AC33" s="1412" t="n"/>
      <c r="AD33" s="1412" t="n"/>
      <c r="AE33" s="1412" t="n"/>
      <c r="AF33" s="1412" t="n"/>
      <c r="AG33" s="1412" t="n"/>
      <c r="AH33" s="1412" t="n"/>
      <c r="AI33" s="1412" t="n"/>
      <c r="AJ33" s="1412" t="n"/>
      <c r="AK33" s="1412" t="n"/>
      <c r="AL33" s="1412" t="n"/>
      <c r="AM33" s="1412" t="n"/>
      <c r="AN33" s="1412" t="n"/>
      <c r="AO33" s="1412" t="n"/>
      <c r="AP33" s="1412" t="n"/>
      <c r="AQ33" s="1412" t="n"/>
      <c r="AR33" s="1412" t="n"/>
      <c r="AS33" s="1412" t="n"/>
      <c r="AT33" s="1412" t="n"/>
      <c r="AU33" s="1412" t="n"/>
      <c r="AV33" s="1412" t="n"/>
      <c r="AW33" s="1412" t="n"/>
      <c r="AX33" s="1412" t="n"/>
      <c r="AY33" s="1412" t="n"/>
      <c r="AZ33" s="1412" t="n"/>
      <c r="BA33" s="1412" t="n"/>
      <c r="BB33" s="1412" t="n"/>
      <c r="BC33" s="1412" t="n"/>
      <c r="BD33" s="1412" t="n"/>
      <c r="BE33" s="1412" t="n"/>
      <c r="BF33" s="1412" t="n"/>
      <c r="BG33" s="1412" t="n"/>
      <c r="BH33" s="1412" t="n"/>
      <c r="BI33" s="1412" t="n"/>
      <c r="BJ33" s="1410" t="n"/>
      <c r="BK33" s="871" t="n"/>
      <c r="BL33" s="1412" t="n"/>
      <c r="BM33" s="1412" t="n"/>
      <c r="BN33" s="1412" t="n"/>
      <c r="BO33" s="1412" t="n"/>
      <c r="BP33" s="1412" t="n"/>
      <c r="BQ33" s="1412" t="n"/>
      <c r="BR33" s="1412" t="n"/>
      <c r="BS33" s="1412" t="n"/>
      <c r="BT33" s="1412" t="n"/>
      <c r="BU33" s="1412" t="n"/>
      <c r="BV33" s="1412" t="n"/>
      <c r="BW33" s="1412" t="n"/>
      <c r="BX33" s="1412" t="n"/>
      <c r="BY33" s="1412" t="n"/>
      <c r="BZ33" s="1412" t="n"/>
      <c r="CA33" s="1412" t="n"/>
      <c r="CB33" s="1410" t="n"/>
      <c r="CC33" s="871" t="n"/>
      <c r="CD33" s="1412" t="n"/>
      <c r="CE33" s="1412" t="n"/>
      <c r="CF33" s="1412" t="n"/>
      <c r="CG33" s="1412" t="n"/>
      <c r="CH33" s="1412" t="n"/>
      <c r="CI33" s="1412" t="n"/>
      <c r="CJ33" s="1412" t="n"/>
      <c r="CK33" s="1412" t="n"/>
      <c r="CL33" s="1412" t="n"/>
      <c r="CM33" s="1412" t="n"/>
      <c r="CN33" s="1412" t="n"/>
      <c r="CO33" s="1412" t="n"/>
      <c r="CP33" s="1412" t="n"/>
      <c r="CQ33" s="1412" t="n"/>
      <c r="CR33" s="1412" t="n"/>
      <c r="CS33" s="1412" t="n"/>
      <c r="CT33" s="1410" t="n"/>
      <c r="CU33" s="938" t="n"/>
      <c r="CV33" s="1412" t="n"/>
      <c r="CW33" s="1412" t="n"/>
      <c r="CX33" s="1412" t="n"/>
      <c r="CY33" s="1412" t="n"/>
      <c r="CZ33" s="1412" t="n"/>
      <c r="DA33" s="1412" t="n"/>
      <c r="DB33" s="1412" t="n"/>
      <c r="DC33" s="1412" t="n"/>
      <c r="DD33" s="1412" t="n"/>
      <c r="DE33" s="1412" t="n"/>
      <c r="DF33" s="1412" t="n"/>
      <c r="DG33" s="1412" t="n"/>
      <c r="DH33" s="1412" t="n"/>
      <c r="DI33" s="1412" t="n"/>
      <c r="DJ33" s="1410" t="n"/>
      <c r="DK33" s="871" t="n"/>
      <c r="DL33" s="1412" t="n"/>
      <c r="DM33" s="1412" t="n"/>
      <c r="DN33" s="1412" t="n"/>
      <c r="DO33" s="1412" t="n"/>
      <c r="DP33" s="1412" t="n"/>
      <c r="DQ33" s="1412" t="n"/>
      <c r="DR33" s="1412" t="n"/>
      <c r="DS33" s="1412" t="n"/>
      <c r="DT33" s="1412" t="n"/>
      <c r="DU33" s="1412" t="n"/>
      <c r="DV33" s="1412" t="n"/>
      <c r="DW33" s="1412" t="n"/>
      <c r="DX33" s="1412" t="n"/>
      <c r="DY33" s="1412" t="n"/>
      <c r="DZ33" s="1412" t="n"/>
      <c r="EA33" s="1412" t="n"/>
      <c r="EB33" s="1410" t="n"/>
      <c r="EC33" s="938" t="n"/>
      <c r="ED33" s="1412" t="n"/>
      <c r="EE33" s="1412" t="n"/>
      <c r="EF33" s="1412" t="n"/>
      <c r="EG33" s="1412" t="n"/>
      <c r="EH33" s="1412" t="n"/>
      <c r="EI33" s="1412" t="n"/>
      <c r="EJ33" s="1412" t="n"/>
      <c r="EK33" s="1412" t="n"/>
      <c r="EL33" s="1412" t="n"/>
      <c r="EM33" s="1412" t="n"/>
      <c r="EN33" s="1412" t="n"/>
      <c r="EO33" s="1412" t="n"/>
      <c r="EP33" s="1412" t="n"/>
      <c r="EQ33" s="1412" t="n"/>
      <c r="ER33" s="1412" t="n"/>
      <c r="ES33" s="1410" t="n"/>
      <c r="ET33" s="906" t="n"/>
      <c r="EU33" s="1412" t="n"/>
      <c r="EV33" s="1412" t="n"/>
      <c r="EW33" s="1412" t="n"/>
      <c r="EX33" s="1412" t="n"/>
      <c r="EY33" s="1412" t="n"/>
      <c r="EZ33" s="1412" t="n"/>
      <c r="FA33" s="1412" t="n"/>
      <c r="FB33" s="1412" t="n"/>
      <c r="FC33" s="1412" t="n"/>
      <c r="FD33" s="1412" t="n"/>
      <c r="FE33" s="1410" t="n"/>
      <c r="FF33" s="906" t="n"/>
      <c r="FG33" s="1412" t="n"/>
      <c r="FH33" s="1412" t="n"/>
      <c r="FI33" s="1412" t="n"/>
      <c r="FJ33" s="1412" t="n"/>
      <c r="FK33" s="1412" t="n"/>
      <c r="FL33" s="1412" t="n"/>
      <c r="FM33" s="1412" t="n"/>
      <c r="FN33" s="1412" t="n"/>
      <c r="FO33" s="1412" t="n"/>
      <c r="FP33" s="1412" t="n"/>
      <c r="FQ33" s="1412" t="n"/>
      <c r="FR33" s="1410" t="n"/>
      <c r="FS33" s="906" t="n"/>
      <c r="FT33" s="1412" t="n"/>
      <c r="FU33" s="1412" t="n"/>
      <c r="FV33" s="1412" t="n"/>
      <c r="FW33" s="1412" t="n"/>
      <c r="FX33" s="1412" t="n"/>
      <c r="FY33" s="1412" t="n"/>
      <c r="FZ33" s="1412" t="n"/>
      <c r="GA33" s="1412" t="n"/>
      <c r="GB33" s="1412" t="n"/>
      <c r="GC33" s="1412" t="n"/>
      <c r="GD33" s="1412" t="n"/>
      <c r="GE33" s="1412" t="n"/>
      <c r="GF33" s="1412" t="n"/>
      <c r="GG33" s="1410" t="n"/>
      <c r="GH33" s="906" t="n"/>
      <c r="GI33" s="1412" t="n"/>
      <c r="GJ33" s="1412" t="n"/>
      <c r="GK33" s="1412" t="n"/>
      <c r="GL33" s="1412" t="n"/>
      <c r="GM33" s="1412" t="n"/>
      <c r="GN33" s="1412" t="n"/>
      <c r="GO33" s="1412" t="n"/>
      <c r="GP33" s="1412" t="n"/>
      <c r="GQ33" s="1412" t="n"/>
      <c r="GR33" s="1412" t="n"/>
      <c r="GS33" s="1412" t="n"/>
      <c r="GT33" s="1412" t="n"/>
      <c r="GU33" s="1412" t="n"/>
      <c r="GV33" s="1412" t="n"/>
      <c r="GW33" s="1410" t="n"/>
      <c r="GX33" s="1433" t="n"/>
      <c r="GY33" s="1412" t="n"/>
      <c r="GZ33" s="1412" t="n"/>
      <c r="HA33" s="1412" t="n"/>
      <c r="HB33" s="1412" t="n"/>
      <c r="HC33" s="1412" t="n"/>
      <c r="HD33" s="1412" t="n"/>
      <c r="HE33" s="1412" t="n"/>
      <c r="HF33" s="1412" t="n"/>
      <c r="HG33" s="1412" t="n"/>
      <c r="HH33" s="1412" t="n"/>
      <c r="HI33" s="1412" t="n"/>
      <c r="HJ33" s="1412" t="n"/>
      <c r="HK33" s="1412" t="n"/>
      <c r="HL33" s="1410" t="n"/>
      <c r="HM33" s="906" t="n"/>
      <c r="HN33" s="1412" t="n"/>
      <c r="HO33" s="1412" t="n"/>
      <c r="HP33" s="1412" t="n"/>
      <c r="HQ33" s="1412" t="n"/>
      <c r="HR33" s="1412" t="n"/>
      <c r="HS33" s="1412" t="n"/>
      <c r="HT33" s="1412" t="n"/>
      <c r="HU33" s="1412" t="n"/>
      <c r="HV33" s="1412" t="n"/>
      <c r="HW33" s="1412" t="n"/>
      <c r="HX33" s="1412" t="n"/>
      <c r="HY33" s="1412" t="n"/>
      <c r="HZ33" s="1412" t="n"/>
      <c r="IA33" s="1412" t="n"/>
      <c r="IB33" s="1410" t="n"/>
    </row>
    <row r="34" ht="12" customFormat="1" customHeight="1" s="1340">
      <c r="A34" s="938" t="inlineStr">
        <is>
          <t>0202</t>
        </is>
      </c>
      <c r="B34" s="1412" t="n"/>
      <c r="C34" s="1412" t="n"/>
      <c r="D34" s="1412" t="n"/>
      <c r="E34" s="1412" t="n"/>
      <c r="F34" s="1410" t="n"/>
      <c r="G34" s="910" t="inlineStr">
        <is>
          <t>дополнительная заработная плата</t>
        </is>
      </c>
      <c r="H34" s="1412" t="n"/>
      <c r="I34" s="1412" t="n"/>
      <c r="J34" s="1412" t="n"/>
      <c r="K34" s="1412" t="n"/>
      <c r="L34" s="1412" t="n"/>
      <c r="M34" s="1412" t="n"/>
      <c r="N34" s="1412" t="n"/>
      <c r="O34" s="1412" t="n"/>
      <c r="P34" s="1412" t="n"/>
      <c r="Q34" s="1412" t="n"/>
      <c r="R34" s="1412" t="n"/>
      <c r="S34" s="1412" t="n"/>
      <c r="T34" s="1412" t="n"/>
      <c r="U34" s="1412" t="n"/>
      <c r="V34" s="1412" t="n"/>
      <c r="W34" s="1412" t="n"/>
      <c r="X34" s="1412" t="n"/>
      <c r="Y34" s="1412" t="n"/>
      <c r="Z34" s="1412" t="n"/>
      <c r="AA34" s="1412" t="n"/>
      <c r="AB34" s="1412" t="n"/>
      <c r="AC34" s="1412" t="n"/>
      <c r="AD34" s="1412" t="n"/>
      <c r="AE34" s="1412" t="n"/>
      <c r="AF34" s="1412" t="n"/>
      <c r="AG34" s="1412" t="n"/>
      <c r="AH34" s="1412" t="n"/>
      <c r="AI34" s="1412" t="n"/>
      <c r="AJ34" s="1412" t="n"/>
      <c r="AK34" s="1412" t="n"/>
      <c r="AL34" s="1412" t="n"/>
      <c r="AM34" s="1412" t="n"/>
      <c r="AN34" s="1412" t="n"/>
      <c r="AO34" s="1412" t="n"/>
      <c r="AP34" s="1412" t="n"/>
      <c r="AQ34" s="1412" t="n"/>
      <c r="AR34" s="1412" t="n"/>
      <c r="AS34" s="1412" t="n"/>
      <c r="AT34" s="1412" t="n"/>
      <c r="AU34" s="1412" t="n"/>
      <c r="AV34" s="1412" t="n"/>
      <c r="AW34" s="1412" t="n"/>
      <c r="AX34" s="1412" t="n"/>
      <c r="AY34" s="1412" t="n"/>
      <c r="AZ34" s="1412" t="n"/>
      <c r="BA34" s="1412" t="n"/>
      <c r="BB34" s="1412" t="n"/>
      <c r="BC34" s="1412" t="n"/>
      <c r="BD34" s="1412" t="n"/>
      <c r="BE34" s="1412" t="n"/>
      <c r="BF34" s="1412" t="n"/>
      <c r="BG34" s="1412" t="n"/>
      <c r="BH34" s="1412" t="n"/>
      <c r="BI34" s="1412" t="n"/>
      <c r="BJ34" s="1410" t="n"/>
      <c r="BK34" s="871" t="inlineStr">
        <is>
          <t>Х</t>
        </is>
      </c>
      <c r="BL34" s="1412" t="n"/>
      <c r="BM34" s="1412" t="n"/>
      <c r="BN34" s="1412" t="n"/>
      <c r="BO34" s="1412" t="n"/>
      <c r="BP34" s="1412" t="n"/>
      <c r="BQ34" s="1412" t="n"/>
      <c r="BR34" s="1412" t="n"/>
      <c r="BS34" s="1412" t="n"/>
      <c r="BT34" s="1412" t="n"/>
      <c r="BU34" s="1412" t="n"/>
      <c r="BV34" s="1412" t="n"/>
      <c r="BW34" s="1412" t="n"/>
      <c r="BX34" s="1412" t="n"/>
      <c r="BY34" s="1412" t="n"/>
      <c r="BZ34" s="1412" t="n"/>
      <c r="CA34" s="1412" t="n"/>
      <c r="CB34" s="1410" t="n"/>
      <c r="CC34" s="871" t="inlineStr">
        <is>
          <t>Х</t>
        </is>
      </c>
      <c r="CD34" s="1412" t="n"/>
      <c r="CE34" s="1412" t="n"/>
      <c r="CF34" s="1412" t="n"/>
      <c r="CG34" s="1412" t="n"/>
      <c r="CH34" s="1412" t="n"/>
      <c r="CI34" s="1412" t="n"/>
      <c r="CJ34" s="1412" t="n"/>
      <c r="CK34" s="1412" t="n"/>
      <c r="CL34" s="1412" t="n"/>
      <c r="CM34" s="1412" t="n"/>
      <c r="CN34" s="1412" t="n"/>
      <c r="CO34" s="1412" t="n"/>
      <c r="CP34" s="1412" t="n"/>
      <c r="CQ34" s="1412" t="n"/>
      <c r="CR34" s="1412" t="n"/>
      <c r="CS34" s="1412" t="n"/>
      <c r="CT34" s="1410" t="n"/>
      <c r="CU34" s="938" t="inlineStr">
        <is>
          <t>Х</t>
        </is>
      </c>
      <c r="CV34" s="1412" t="n"/>
      <c r="CW34" s="1412" t="n"/>
      <c r="CX34" s="1412" t="n"/>
      <c r="CY34" s="1412" t="n"/>
      <c r="CZ34" s="1412" t="n"/>
      <c r="DA34" s="1412" t="n"/>
      <c r="DB34" s="1412" t="n"/>
      <c r="DC34" s="1412" t="n"/>
      <c r="DD34" s="1412" t="n"/>
      <c r="DE34" s="1412" t="n"/>
      <c r="DF34" s="1412" t="n"/>
      <c r="DG34" s="1412" t="n"/>
      <c r="DH34" s="1412" t="n"/>
      <c r="DI34" s="1412" t="n"/>
      <c r="DJ34" s="1410" t="n"/>
      <c r="DK34" s="871" t="inlineStr">
        <is>
          <t>Х</t>
        </is>
      </c>
      <c r="DL34" s="1412" t="n"/>
      <c r="DM34" s="1412" t="n"/>
      <c r="DN34" s="1412" t="n"/>
      <c r="DO34" s="1412" t="n"/>
      <c r="DP34" s="1412" t="n"/>
      <c r="DQ34" s="1412" t="n"/>
      <c r="DR34" s="1412" t="n"/>
      <c r="DS34" s="1412" t="n"/>
      <c r="DT34" s="1412" t="n"/>
      <c r="DU34" s="1412" t="n"/>
      <c r="DV34" s="1412" t="n"/>
      <c r="DW34" s="1412" t="n"/>
      <c r="DX34" s="1412" t="n"/>
      <c r="DY34" s="1412" t="n"/>
      <c r="DZ34" s="1412" t="n"/>
      <c r="EA34" s="1412" t="n"/>
      <c r="EB34" s="1410" t="n"/>
      <c r="EC34" s="938" t="inlineStr">
        <is>
          <t>Х</t>
        </is>
      </c>
      <c r="ED34" s="1412" t="n"/>
      <c r="EE34" s="1412" t="n"/>
      <c r="EF34" s="1412" t="n"/>
      <c r="EG34" s="1412" t="n"/>
      <c r="EH34" s="1412" t="n"/>
      <c r="EI34" s="1412" t="n"/>
      <c r="EJ34" s="1412" t="n"/>
      <c r="EK34" s="1412" t="n"/>
      <c r="EL34" s="1412" t="n"/>
      <c r="EM34" s="1412" t="n"/>
      <c r="EN34" s="1412" t="n"/>
      <c r="EO34" s="1412" t="n"/>
      <c r="EP34" s="1412" t="n"/>
      <c r="EQ34" s="1412" t="n"/>
      <c r="ER34" s="1412" t="n"/>
      <c r="ES34" s="1410" t="n"/>
      <c r="ET34" s="906" t="inlineStr">
        <is>
          <t>Х</t>
        </is>
      </c>
      <c r="EU34" s="1412" t="n"/>
      <c r="EV34" s="1412" t="n"/>
      <c r="EW34" s="1412" t="n"/>
      <c r="EX34" s="1412" t="n"/>
      <c r="EY34" s="1412" t="n"/>
      <c r="EZ34" s="1412" t="n"/>
      <c r="FA34" s="1412" t="n"/>
      <c r="FB34" s="1412" t="n"/>
      <c r="FC34" s="1412" t="n"/>
      <c r="FD34" s="1412" t="n"/>
      <c r="FE34" s="1410" t="n"/>
      <c r="FF34" s="906" t="inlineStr">
        <is>
          <t>Х</t>
        </is>
      </c>
      <c r="FG34" s="1412" t="n"/>
      <c r="FH34" s="1412" t="n"/>
      <c r="FI34" s="1412" t="n"/>
      <c r="FJ34" s="1412" t="n"/>
      <c r="FK34" s="1412" t="n"/>
      <c r="FL34" s="1412" t="n"/>
      <c r="FM34" s="1412" t="n"/>
      <c r="FN34" s="1412" t="n"/>
      <c r="FO34" s="1412" t="n"/>
      <c r="FP34" s="1412" t="n"/>
      <c r="FQ34" s="1412" t="n"/>
      <c r="FR34" s="1410" t="n"/>
      <c r="FS34" s="906" t="inlineStr">
        <is>
          <t>Х</t>
        </is>
      </c>
      <c r="FT34" s="1412" t="n"/>
      <c r="FU34" s="1412" t="n"/>
      <c r="FV34" s="1412" t="n"/>
      <c r="FW34" s="1412" t="n"/>
      <c r="FX34" s="1412" t="n"/>
      <c r="FY34" s="1412" t="n"/>
      <c r="FZ34" s="1412" t="n"/>
      <c r="GA34" s="1412" t="n"/>
      <c r="GB34" s="1412" t="n"/>
      <c r="GC34" s="1412" t="n"/>
      <c r="GD34" s="1412" t="n"/>
      <c r="GE34" s="1412" t="n"/>
      <c r="GF34" s="1412" t="n"/>
      <c r="GG34" s="1410" t="n"/>
      <c r="GH34" s="906" t="inlineStr">
        <is>
          <t>Х</t>
        </is>
      </c>
      <c r="GI34" s="1412" t="n"/>
      <c r="GJ34" s="1412" t="n"/>
      <c r="GK34" s="1412" t="n"/>
      <c r="GL34" s="1412" t="n"/>
      <c r="GM34" s="1412" t="n"/>
      <c r="GN34" s="1412" t="n"/>
      <c r="GO34" s="1412" t="n"/>
      <c r="GP34" s="1412" t="n"/>
      <c r="GQ34" s="1412" t="n"/>
      <c r="GR34" s="1412" t="n"/>
      <c r="GS34" s="1412" t="n"/>
      <c r="GT34" s="1412" t="n"/>
      <c r="GU34" s="1412" t="n"/>
      <c r="GV34" s="1412" t="n"/>
      <c r="GW34" s="1410" t="n"/>
      <c r="GX34" s="1433" t="n"/>
      <c r="GY34" s="1412" t="n"/>
      <c r="GZ34" s="1412" t="n"/>
      <c r="HA34" s="1412" t="n"/>
      <c r="HB34" s="1412" t="n"/>
      <c r="HC34" s="1412" t="n"/>
      <c r="HD34" s="1412" t="n"/>
      <c r="HE34" s="1412" t="n"/>
      <c r="HF34" s="1412" t="n"/>
      <c r="HG34" s="1412" t="n"/>
      <c r="HH34" s="1412" t="n"/>
      <c r="HI34" s="1412" t="n"/>
      <c r="HJ34" s="1412" t="n"/>
      <c r="HK34" s="1412" t="n"/>
      <c r="HL34" s="1410" t="n"/>
      <c r="HM34" s="906" t="n"/>
      <c r="HN34" s="1412" t="n"/>
      <c r="HO34" s="1412" t="n"/>
      <c r="HP34" s="1412" t="n"/>
      <c r="HQ34" s="1412" t="n"/>
      <c r="HR34" s="1412" t="n"/>
      <c r="HS34" s="1412" t="n"/>
      <c r="HT34" s="1412" t="n"/>
      <c r="HU34" s="1412" t="n"/>
      <c r="HV34" s="1412" t="n"/>
      <c r="HW34" s="1412" t="n"/>
      <c r="HX34" s="1412" t="n"/>
      <c r="HY34" s="1412" t="n"/>
      <c r="HZ34" s="1412" t="n"/>
      <c r="IA34" s="1412" t="n"/>
      <c r="IB34" s="1410" t="n"/>
    </row>
    <row r="35" ht="12" customFormat="1" customHeight="1" s="1340">
      <c r="A35" s="938" t="inlineStr">
        <is>
          <t>0300</t>
        </is>
      </c>
      <c r="B35" s="1412" t="n"/>
      <c r="C35" s="1412" t="n"/>
      <c r="D35" s="1412" t="n"/>
      <c r="E35" s="1412" t="n"/>
      <c r="F35" s="1410" t="n"/>
      <c r="G35" s="920" t="inlineStr">
        <is>
          <t>Страховые взносы на обязательное социальное страхование</t>
        </is>
      </c>
      <c r="H35" s="1412" t="n"/>
      <c r="I35" s="1412" t="n"/>
      <c r="J35" s="1412" t="n"/>
      <c r="K35" s="1412" t="n"/>
      <c r="L35" s="1412" t="n"/>
      <c r="M35" s="1412" t="n"/>
      <c r="N35" s="1412" t="n"/>
      <c r="O35" s="1412" t="n"/>
      <c r="P35" s="1412" t="n"/>
      <c r="Q35" s="1412" t="n"/>
      <c r="R35" s="1412" t="n"/>
      <c r="S35" s="1412" t="n"/>
      <c r="T35" s="1412" t="n"/>
      <c r="U35" s="1412" t="n"/>
      <c r="V35" s="1412" t="n"/>
      <c r="W35" s="1412" t="n"/>
      <c r="X35" s="1412" t="n"/>
      <c r="Y35" s="1412" t="n"/>
      <c r="Z35" s="1412" t="n"/>
      <c r="AA35" s="1412" t="n"/>
      <c r="AB35" s="1412" t="n"/>
      <c r="AC35" s="1412" t="n"/>
      <c r="AD35" s="1412" t="n"/>
      <c r="AE35" s="1412" t="n"/>
      <c r="AF35" s="1412" t="n"/>
      <c r="AG35" s="1412" t="n"/>
      <c r="AH35" s="1412" t="n"/>
      <c r="AI35" s="1412" t="n"/>
      <c r="AJ35" s="1412" t="n"/>
      <c r="AK35" s="1412" t="n"/>
      <c r="AL35" s="1412" t="n"/>
      <c r="AM35" s="1412" t="n"/>
      <c r="AN35" s="1412" t="n"/>
      <c r="AO35" s="1412" t="n"/>
      <c r="AP35" s="1412" t="n"/>
      <c r="AQ35" s="1412" t="n"/>
      <c r="AR35" s="1412" t="n"/>
      <c r="AS35" s="1412" t="n"/>
      <c r="AT35" s="1412" t="n"/>
      <c r="AU35" s="1412" t="n"/>
      <c r="AV35" s="1412" t="n"/>
      <c r="AW35" s="1412" t="n"/>
      <c r="AX35" s="1412" t="n"/>
      <c r="AY35" s="1412" t="n"/>
      <c r="AZ35" s="1412" t="n"/>
      <c r="BA35" s="1412" t="n"/>
      <c r="BB35" s="1412" t="n"/>
      <c r="BC35" s="1412" t="n"/>
      <c r="BD35" s="1412" t="n"/>
      <c r="BE35" s="1412" t="n"/>
      <c r="BF35" s="1412" t="n"/>
      <c r="BG35" s="1412" t="n"/>
      <c r="BH35" s="1412" t="n"/>
      <c r="BI35" s="1412" t="n"/>
      <c r="BJ35" s="1410" t="n"/>
      <c r="BK35" s="871" t="inlineStr">
        <is>
          <t>Х</t>
        </is>
      </c>
      <c r="BL35" s="1412" t="n"/>
      <c r="BM35" s="1412" t="n"/>
      <c r="BN35" s="1412" t="n"/>
      <c r="BO35" s="1412" t="n"/>
      <c r="BP35" s="1412" t="n"/>
      <c r="BQ35" s="1412" t="n"/>
      <c r="BR35" s="1412" t="n"/>
      <c r="BS35" s="1412" t="n"/>
      <c r="BT35" s="1412" t="n"/>
      <c r="BU35" s="1412" t="n"/>
      <c r="BV35" s="1412" t="n"/>
      <c r="BW35" s="1412" t="n"/>
      <c r="BX35" s="1412" t="n"/>
      <c r="BY35" s="1412" t="n"/>
      <c r="BZ35" s="1412" t="n"/>
      <c r="CA35" s="1412" t="n"/>
      <c r="CB35" s="1410" t="n"/>
      <c r="CC35" s="871" t="inlineStr">
        <is>
          <t>Х</t>
        </is>
      </c>
      <c r="CD35" s="1412" t="n"/>
      <c r="CE35" s="1412" t="n"/>
      <c r="CF35" s="1412" t="n"/>
      <c r="CG35" s="1412" t="n"/>
      <c r="CH35" s="1412" t="n"/>
      <c r="CI35" s="1412" t="n"/>
      <c r="CJ35" s="1412" t="n"/>
      <c r="CK35" s="1412" t="n"/>
      <c r="CL35" s="1412" t="n"/>
      <c r="CM35" s="1412" t="n"/>
      <c r="CN35" s="1412" t="n"/>
      <c r="CO35" s="1412" t="n"/>
      <c r="CP35" s="1412" t="n"/>
      <c r="CQ35" s="1412" t="n"/>
      <c r="CR35" s="1412" t="n"/>
      <c r="CS35" s="1412" t="n"/>
      <c r="CT35" s="1410" t="n"/>
      <c r="CU35" s="938" t="inlineStr">
        <is>
          <t>Х</t>
        </is>
      </c>
      <c r="CV35" s="1412" t="n"/>
      <c r="CW35" s="1412" t="n"/>
      <c r="CX35" s="1412" t="n"/>
      <c r="CY35" s="1412" t="n"/>
      <c r="CZ35" s="1412" t="n"/>
      <c r="DA35" s="1412" t="n"/>
      <c r="DB35" s="1412" t="n"/>
      <c r="DC35" s="1412" t="n"/>
      <c r="DD35" s="1412" t="n"/>
      <c r="DE35" s="1412" t="n"/>
      <c r="DF35" s="1412" t="n"/>
      <c r="DG35" s="1412" t="n"/>
      <c r="DH35" s="1412" t="n"/>
      <c r="DI35" s="1412" t="n"/>
      <c r="DJ35" s="1410" t="n"/>
      <c r="DK35" s="871" t="inlineStr">
        <is>
          <t>Х</t>
        </is>
      </c>
      <c r="DL35" s="1412" t="n"/>
      <c r="DM35" s="1412" t="n"/>
      <c r="DN35" s="1412" t="n"/>
      <c r="DO35" s="1412" t="n"/>
      <c r="DP35" s="1412" t="n"/>
      <c r="DQ35" s="1412" t="n"/>
      <c r="DR35" s="1412" t="n"/>
      <c r="DS35" s="1412" t="n"/>
      <c r="DT35" s="1412" t="n"/>
      <c r="DU35" s="1412" t="n"/>
      <c r="DV35" s="1412" t="n"/>
      <c r="DW35" s="1412" t="n"/>
      <c r="DX35" s="1412" t="n"/>
      <c r="DY35" s="1412" t="n"/>
      <c r="DZ35" s="1412" t="n"/>
      <c r="EA35" s="1412" t="n"/>
      <c r="EB35" s="1410" t="n"/>
      <c r="EC35" s="938" t="inlineStr">
        <is>
          <t>Х</t>
        </is>
      </c>
      <c r="ED35" s="1412" t="n"/>
      <c r="EE35" s="1412" t="n"/>
      <c r="EF35" s="1412" t="n"/>
      <c r="EG35" s="1412" t="n"/>
      <c r="EH35" s="1412" t="n"/>
      <c r="EI35" s="1412" t="n"/>
      <c r="EJ35" s="1412" t="n"/>
      <c r="EK35" s="1412" t="n"/>
      <c r="EL35" s="1412" t="n"/>
      <c r="EM35" s="1412" t="n"/>
      <c r="EN35" s="1412" t="n"/>
      <c r="EO35" s="1412" t="n"/>
      <c r="EP35" s="1412" t="n"/>
      <c r="EQ35" s="1412" t="n"/>
      <c r="ER35" s="1412" t="n"/>
      <c r="ES35" s="1410" t="n"/>
      <c r="ET35" s="906" t="inlineStr">
        <is>
          <t>Х</t>
        </is>
      </c>
      <c r="EU35" s="1412" t="n"/>
      <c r="EV35" s="1412" t="n"/>
      <c r="EW35" s="1412" t="n"/>
      <c r="EX35" s="1412" t="n"/>
      <c r="EY35" s="1412" t="n"/>
      <c r="EZ35" s="1412" t="n"/>
      <c r="FA35" s="1412" t="n"/>
      <c r="FB35" s="1412" t="n"/>
      <c r="FC35" s="1412" t="n"/>
      <c r="FD35" s="1412" t="n"/>
      <c r="FE35" s="1410" t="n"/>
      <c r="FF35" s="906" t="inlineStr">
        <is>
          <t>Х</t>
        </is>
      </c>
      <c r="FG35" s="1412" t="n"/>
      <c r="FH35" s="1412" t="n"/>
      <c r="FI35" s="1412" t="n"/>
      <c r="FJ35" s="1412" t="n"/>
      <c r="FK35" s="1412" t="n"/>
      <c r="FL35" s="1412" t="n"/>
      <c r="FM35" s="1412" t="n"/>
      <c r="FN35" s="1412" t="n"/>
      <c r="FO35" s="1412" t="n"/>
      <c r="FP35" s="1412" t="n"/>
      <c r="FQ35" s="1412" t="n"/>
      <c r="FR35" s="1410" t="n"/>
      <c r="FS35" s="906" t="inlineStr">
        <is>
          <t>Х</t>
        </is>
      </c>
      <c r="FT35" s="1412" t="n"/>
      <c r="FU35" s="1412" t="n"/>
      <c r="FV35" s="1412" t="n"/>
      <c r="FW35" s="1412" t="n"/>
      <c r="FX35" s="1412" t="n"/>
      <c r="FY35" s="1412" t="n"/>
      <c r="FZ35" s="1412" t="n"/>
      <c r="GA35" s="1412" t="n"/>
      <c r="GB35" s="1412" t="n"/>
      <c r="GC35" s="1412" t="n"/>
      <c r="GD35" s="1412" t="n"/>
      <c r="GE35" s="1412" t="n"/>
      <c r="GF35" s="1412" t="n"/>
      <c r="GG35" s="1410" t="n"/>
      <c r="GH35" s="906" t="inlineStr">
        <is>
          <t>Х</t>
        </is>
      </c>
      <c r="GI35" s="1412" t="n"/>
      <c r="GJ35" s="1412" t="n"/>
      <c r="GK35" s="1412" t="n"/>
      <c r="GL35" s="1412" t="n"/>
      <c r="GM35" s="1412" t="n"/>
      <c r="GN35" s="1412" t="n"/>
      <c r="GO35" s="1412" t="n"/>
      <c r="GP35" s="1412" t="n"/>
      <c r="GQ35" s="1412" t="n"/>
      <c r="GR35" s="1412" t="n"/>
      <c r="GS35" s="1412" t="n"/>
      <c r="GT35" s="1412" t="n"/>
      <c r="GU35" s="1412" t="n"/>
      <c r="GV35" s="1412" t="n"/>
      <c r="GW35" s="1410" t="n"/>
      <c r="GX35" s="1437" t="n"/>
      <c r="GY35" s="1412" t="n"/>
      <c r="GZ35" s="1412" t="n"/>
      <c r="HA35" s="1412" t="n"/>
      <c r="HB35" s="1412" t="n"/>
      <c r="HC35" s="1412" t="n"/>
      <c r="HD35" s="1412" t="n"/>
      <c r="HE35" s="1412" t="n"/>
      <c r="HF35" s="1412" t="n"/>
      <c r="HG35" s="1412" t="n"/>
      <c r="HH35" s="1412" t="n"/>
      <c r="HI35" s="1412" t="n"/>
      <c r="HJ35" s="1412" t="n"/>
      <c r="HK35" s="1412" t="n"/>
      <c r="HL35" s="1410" t="n"/>
      <c r="HM35" s="906" t="n"/>
      <c r="HN35" s="1412" t="n"/>
      <c r="HO35" s="1412" t="n"/>
      <c r="HP35" s="1412" t="n"/>
      <c r="HQ35" s="1412" t="n"/>
      <c r="HR35" s="1412" t="n"/>
      <c r="HS35" s="1412" t="n"/>
      <c r="HT35" s="1412" t="n"/>
      <c r="HU35" s="1412" t="n"/>
      <c r="HV35" s="1412" t="n"/>
      <c r="HW35" s="1412" t="n"/>
      <c r="HX35" s="1412" t="n"/>
      <c r="HY35" s="1412" t="n"/>
      <c r="HZ35" s="1412" t="n"/>
      <c r="IA35" s="1412" t="n"/>
      <c r="IB35" s="1410" t="n"/>
    </row>
    <row r="36" ht="12" customFormat="1" customHeight="1" s="1340">
      <c r="A36" s="938" t="inlineStr">
        <is>
          <t>0400</t>
        </is>
      </c>
      <c r="B36" s="1412" t="n"/>
      <c r="C36" s="1412" t="n"/>
      <c r="D36" s="1412" t="n"/>
      <c r="E36" s="1412" t="n"/>
      <c r="F36" s="1410" t="n"/>
      <c r="G36" s="920" t="inlineStr">
        <is>
          <t>Затраты на подготовку и освоение производства - всего:</t>
        </is>
      </c>
      <c r="H36" s="1412" t="n"/>
      <c r="I36" s="1412" t="n"/>
      <c r="J36" s="1412" t="n"/>
      <c r="K36" s="1412" t="n"/>
      <c r="L36" s="1412" t="n"/>
      <c r="M36" s="1412" t="n"/>
      <c r="N36" s="1412" t="n"/>
      <c r="O36" s="1412" t="n"/>
      <c r="P36" s="1412" t="n"/>
      <c r="Q36" s="1412" t="n"/>
      <c r="R36" s="1412" t="n"/>
      <c r="S36" s="1412" t="n"/>
      <c r="T36" s="1412" t="n"/>
      <c r="U36" s="1412" t="n"/>
      <c r="V36" s="1412" t="n"/>
      <c r="W36" s="1412" t="n"/>
      <c r="X36" s="1412" t="n"/>
      <c r="Y36" s="1412" t="n"/>
      <c r="Z36" s="1412" t="n"/>
      <c r="AA36" s="1412" t="n"/>
      <c r="AB36" s="1412" t="n"/>
      <c r="AC36" s="1412" t="n"/>
      <c r="AD36" s="1412" t="n"/>
      <c r="AE36" s="1412" t="n"/>
      <c r="AF36" s="1412" t="n"/>
      <c r="AG36" s="1412" t="n"/>
      <c r="AH36" s="1412" t="n"/>
      <c r="AI36" s="1412" t="n"/>
      <c r="AJ36" s="1412" t="n"/>
      <c r="AK36" s="1412" t="n"/>
      <c r="AL36" s="1412" t="n"/>
      <c r="AM36" s="1412" t="n"/>
      <c r="AN36" s="1412" t="n"/>
      <c r="AO36" s="1412" t="n"/>
      <c r="AP36" s="1412" t="n"/>
      <c r="AQ36" s="1412" t="n"/>
      <c r="AR36" s="1412" t="n"/>
      <c r="AS36" s="1412" t="n"/>
      <c r="AT36" s="1412" t="n"/>
      <c r="AU36" s="1412" t="n"/>
      <c r="AV36" s="1412" t="n"/>
      <c r="AW36" s="1412" t="n"/>
      <c r="AX36" s="1412" t="n"/>
      <c r="AY36" s="1412" t="n"/>
      <c r="AZ36" s="1412" t="n"/>
      <c r="BA36" s="1412" t="n"/>
      <c r="BB36" s="1412" t="n"/>
      <c r="BC36" s="1412" t="n"/>
      <c r="BD36" s="1412" t="n"/>
      <c r="BE36" s="1412" t="n"/>
      <c r="BF36" s="1412" t="n"/>
      <c r="BG36" s="1412" t="n"/>
      <c r="BH36" s="1412" t="n"/>
      <c r="BI36" s="1412" t="n"/>
      <c r="BJ36" s="1410" t="n"/>
      <c r="BK36" s="871" t="n"/>
      <c r="BL36" s="1412" t="n"/>
      <c r="BM36" s="1412" t="n"/>
      <c r="BN36" s="1412" t="n"/>
      <c r="BO36" s="1412" t="n"/>
      <c r="BP36" s="1412" t="n"/>
      <c r="BQ36" s="1412" t="n"/>
      <c r="BR36" s="1412" t="n"/>
      <c r="BS36" s="1412" t="n"/>
      <c r="BT36" s="1412" t="n"/>
      <c r="BU36" s="1412" t="n"/>
      <c r="BV36" s="1412" t="n"/>
      <c r="BW36" s="1412" t="n"/>
      <c r="BX36" s="1412" t="n"/>
      <c r="BY36" s="1412" t="n"/>
      <c r="BZ36" s="1412" t="n"/>
      <c r="CA36" s="1412" t="n"/>
      <c r="CB36" s="1410" t="n"/>
      <c r="CC36" s="871" t="n"/>
      <c r="CD36" s="1412" t="n"/>
      <c r="CE36" s="1412" t="n"/>
      <c r="CF36" s="1412" t="n"/>
      <c r="CG36" s="1412" t="n"/>
      <c r="CH36" s="1412" t="n"/>
      <c r="CI36" s="1412" t="n"/>
      <c r="CJ36" s="1412" t="n"/>
      <c r="CK36" s="1412" t="n"/>
      <c r="CL36" s="1412" t="n"/>
      <c r="CM36" s="1412" t="n"/>
      <c r="CN36" s="1412" t="n"/>
      <c r="CO36" s="1412" t="n"/>
      <c r="CP36" s="1412" t="n"/>
      <c r="CQ36" s="1412" t="n"/>
      <c r="CR36" s="1412" t="n"/>
      <c r="CS36" s="1412" t="n"/>
      <c r="CT36" s="1410" t="n"/>
      <c r="CU36" s="938" t="n"/>
      <c r="CV36" s="1412" t="n"/>
      <c r="CW36" s="1412" t="n"/>
      <c r="CX36" s="1412" t="n"/>
      <c r="CY36" s="1412" t="n"/>
      <c r="CZ36" s="1412" t="n"/>
      <c r="DA36" s="1412" t="n"/>
      <c r="DB36" s="1412" t="n"/>
      <c r="DC36" s="1412" t="n"/>
      <c r="DD36" s="1412" t="n"/>
      <c r="DE36" s="1412" t="n"/>
      <c r="DF36" s="1412" t="n"/>
      <c r="DG36" s="1412" t="n"/>
      <c r="DH36" s="1412" t="n"/>
      <c r="DI36" s="1412" t="n"/>
      <c r="DJ36" s="1410" t="n"/>
      <c r="DK36" s="871" t="n"/>
      <c r="DL36" s="1412" t="n"/>
      <c r="DM36" s="1412" t="n"/>
      <c r="DN36" s="1412" t="n"/>
      <c r="DO36" s="1412" t="n"/>
      <c r="DP36" s="1412" t="n"/>
      <c r="DQ36" s="1412" t="n"/>
      <c r="DR36" s="1412" t="n"/>
      <c r="DS36" s="1412" t="n"/>
      <c r="DT36" s="1412" t="n"/>
      <c r="DU36" s="1412" t="n"/>
      <c r="DV36" s="1412" t="n"/>
      <c r="DW36" s="1412" t="n"/>
      <c r="DX36" s="1412" t="n"/>
      <c r="DY36" s="1412" t="n"/>
      <c r="DZ36" s="1412" t="n"/>
      <c r="EA36" s="1412" t="n"/>
      <c r="EB36" s="1410" t="n"/>
      <c r="EC36" s="938" t="n"/>
      <c r="ED36" s="1412" t="n"/>
      <c r="EE36" s="1412" t="n"/>
      <c r="EF36" s="1412" t="n"/>
      <c r="EG36" s="1412" t="n"/>
      <c r="EH36" s="1412" t="n"/>
      <c r="EI36" s="1412" t="n"/>
      <c r="EJ36" s="1412" t="n"/>
      <c r="EK36" s="1412" t="n"/>
      <c r="EL36" s="1412" t="n"/>
      <c r="EM36" s="1412" t="n"/>
      <c r="EN36" s="1412" t="n"/>
      <c r="EO36" s="1412" t="n"/>
      <c r="EP36" s="1412" t="n"/>
      <c r="EQ36" s="1412" t="n"/>
      <c r="ER36" s="1412" t="n"/>
      <c r="ES36" s="1410" t="n"/>
      <c r="ET36" s="906" t="n"/>
      <c r="EU36" s="1412" t="n"/>
      <c r="EV36" s="1412" t="n"/>
      <c r="EW36" s="1412" t="n"/>
      <c r="EX36" s="1412" t="n"/>
      <c r="EY36" s="1412" t="n"/>
      <c r="EZ36" s="1412" t="n"/>
      <c r="FA36" s="1412" t="n"/>
      <c r="FB36" s="1412" t="n"/>
      <c r="FC36" s="1412" t="n"/>
      <c r="FD36" s="1412" t="n"/>
      <c r="FE36" s="1410" t="n"/>
      <c r="FF36" s="906" t="n"/>
      <c r="FG36" s="1412" t="n"/>
      <c r="FH36" s="1412" t="n"/>
      <c r="FI36" s="1412" t="n"/>
      <c r="FJ36" s="1412" t="n"/>
      <c r="FK36" s="1412" t="n"/>
      <c r="FL36" s="1412" t="n"/>
      <c r="FM36" s="1412" t="n"/>
      <c r="FN36" s="1412" t="n"/>
      <c r="FO36" s="1412" t="n"/>
      <c r="FP36" s="1412" t="n"/>
      <c r="FQ36" s="1412" t="n"/>
      <c r="FR36" s="1410" t="n"/>
      <c r="FS36" s="906" t="n"/>
      <c r="FT36" s="1412" t="n"/>
      <c r="FU36" s="1412" t="n"/>
      <c r="FV36" s="1412" t="n"/>
      <c r="FW36" s="1412" t="n"/>
      <c r="FX36" s="1412" t="n"/>
      <c r="FY36" s="1412" t="n"/>
      <c r="FZ36" s="1412" t="n"/>
      <c r="GA36" s="1412" t="n"/>
      <c r="GB36" s="1412" t="n"/>
      <c r="GC36" s="1412" t="n"/>
      <c r="GD36" s="1412" t="n"/>
      <c r="GE36" s="1412" t="n"/>
      <c r="GF36" s="1412" t="n"/>
      <c r="GG36" s="1410" t="n"/>
      <c r="GH36" s="906" t="n"/>
      <c r="GI36" s="1412" t="n"/>
      <c r="GJ36" s="1412" t="n"/>
      <c r="GK36" s="1412" t="n"/>
      <c r="GL36" s="1412" t="n"/>
      <c r="GM36" s="1412" t="n"/>
      <c r="GN36" s="1412" t="n"/>
      <c r="GO36" s="1412" t="n"/>
      <c r="GP36" s="1412" t="n"/>
      <c r="GQ36" s="1412" t="n"/>
      <c r="GR36" s="1412" t="n"/>
      <c r="GS36" s="1412" t="n"/>
      <c r="GT36" s="1412" t="n"/>
      <c r="GU36" s="1412" t="n"/>
      <c r="GV36" s="1412" t="n"/>
      <c r="GW36" s="1410" t="n"/>
      <c r="GX36" s="1433" t="n"/>
      <c r="GY36" s="1412" t="n"/>
      <c r="GZ36" s="1412" t="n"/>
      <c r="HA36" s="1412" t="n"/>
      <c r="HB36" s="1412" t="n"/>
      <c r="HC36" s="1412" t="n"/>
      <c r="HD36" s="1412" t="n"/>
      <c r="HE36" s="1412" t="n"/>
      <c r="HF36" s="1412" t="n"/>
      <c r="HG36" s="1412" t="n"/>
      <c r="HH36" s="1412" t="n"/>
      <c r="HI36" s="1412" t="n"/>
      <c r="HJ36" s="1412" t="n"/>
      <c r="HK36" s="1412" t="n"/>
      <c r="HL36" s="1410" t="n"/>
      <c r="HM36" s="906" t="n"/>
      <c r="HN36" s="1412" t="n"/>
      <c r="HO36" s="1412" t="n"/>
      <c r="HP36" s="1412" t="n"/>
      <c r="HQ36" s="1412" t="n"/>
      <c r="HR36" s="1412" t="n"/>
      <c r="HS36" s="1412" t="n"/>
      <c r="HT36" s="1412" t="n"/>
      <c r="HU36" s="1412" t="n"/>
      <c r="HV36" s="1412" t="n"/>
      <c r="HW36" s="1412" t="n"/>
      <c r="HX36" s="1412" t="n"/>
      <c r="HY36" s="1412" t="n"/>
      <c r="HZ36" s="1412" t="n"/>
      <c r="IA36" s="1412" t="n"/>
      <c r="IB36" s="1410" t="n"/>
    </row>
    <row r="37" ht="12" customFormat="1" customHeight="1" s="1340">
      <c r="A37" s="938" t="n"/>
      <c r="B37" s="1412" t="n"/>
      <c r="C37" s="1412" t="n"/>
      <c r="D37" s="1412" t="n"/>
      <c r="E37" s="1412" t="n"/>
      <c r="F37" s="1410" t="n"/>
      <c r="G37" s="910" t="inlineStr">
        <is>
          <t>в том числе:</t>
        </is>
      </c>
      <c r="H37" s="1412" t="n"/>
      <c r="I37" s="1412" t="n"/>
      <c r="J37" s="1412" t="n"/>
      <c r="K37" s="1412" t="n"/>
      <c r="L37" s="1412" t="n"/>
      <c r="M37" s="1412" t="n"/>
      <c r="N37" s="1412" t="n"/>
      <c r="O37" s="1412" t="n"/>
      <c r="P37" s="1412" t="n"/>
      <c r="Q37" s="1412" t="n"/>
      <c r="R37" s="1412" t="n"/>
      <c r="S37" s="1412" t="n"/>
      <c r="T37" s="1412" t="n"/>
      <c r="U37" s="1412" t="n"/>
      <c r="V37" s="1412" t="n"/>
      <c r="W37" s="1412" t="n"/>
      <c r="X37" s="1412" t="n"/>
      <c r="Y37" s="1412" t="n"/>
      <c r="Z37" s="1412" t="n"/>
      <c r="AA37" s="1412" t="n"/>
      <c r="AB37" s="1412" t="n"/>
      <c r="AC37" s="1412" t="n"/>
      <c r="AD37" s="1412" t="n"/>
      <c r="AE37" s="1412" t="n"/>
      <c r="AF37" s="1412" t="n"/>
      <c r="AG37" s="1412" t="n"/>
      <c r="AH37" s="1412" t="n"/>
      <c r="AI37" s="1412" t="n"/>
      <c r="AJ37" s="1412" t="n"/>
      <c r="AK37" s="1412" t="n"/>
      <c r="AL37" s="1412" t="n"/>
      <c r="AM37" s="1412" t="n"/>
      <c r="AN37" s="1412" t="n"/>
      <c r="AO37" s="1412" t="n"/>
      <c r="AP37" s="1412" t="n"/>
      <c r="AQ37" s="1412" t="n"/>
      <c r="AR37" s="1412" t="n"/>
      <c r="AS37" s="1412" t="n"/>
      <c r="AT37" s="1412" t="n"/>
      <c r="AU37" s="1412" t="n"/>
      <c r="AV37" s="1412" t="n"/>
      <c r="AW37" s="1412" t="n"/>
      <c r="AX37" s="1412" t="n"/>
      <c r="AY37" s="1412" t="n"/>
      <c r="AZ37" s="1412" t="n"/>
      <c r="BA37" s="1412" t="n"/>
      <c r="BB37" s="1412" t="n"/>
      <c r="BC37" s="1412" t="n"/>
      <c r="BD37" s="1412" t="n"/>
      <c r="BE37" s="1412" t="n"/>
      <c r="BF37" s="1412" t="n"/>
      <c r="BG37" s="1412" t="n"/>
      <c r="BH37" s="1412" t="n"/>
      <c r="BI37" s="1412" t="n"/>
      <c r="BJ37" s="1410" t="n"/>
      <c r="BK37" s="871" t="n"/>
      <c r="BL37" s="1412" t="n"/>
      <c r="BM37" s="1412" t="n"/>
      <c r="BN37" s="1412" t="n"/>
      <c r="BO37" s="1412" t="n"/>
      <c r="BP37" s="1412" t="n"/>
      <c r="BQ37" s="1412" t="n"/>
      <c r="BR37" s="1412" t="n"/>
      <c r="BS37" s="1412" t="n"/>
      <c r="BT37" s="1412" t="n"/>
      <c r="BU37" s="1412" t="n"/>
      <c r="BV37" s="1412" t="n"/>
      <c r="BW37" s="1412" t="n"/>
      <c r="BX37" s="1412" t="n"/>
      <c r="BY37" s="1412" t="n"/>
      <c r="BZ37" s="1412" t="n"/>
      <c r="CA37" s="1412" t="n"/>
      <c r="CB37" s="1410" t="n"/>
      <c r="CC37" s="871" t="n"/>
      <c r="CD37" s="1412" t="n"/>
      <c r="CE37" s="1412" t="n"/>
      <c r="CF37" s="1412" t="n"/>
      <c r="CG37" s="1412" t="n"/>
      <c r="CH37" s="1412" t="n"/>
      <c r="CI37" s="1412" t="n"/>
      <c r="CJ37" s="1412" t="n"/>
      <c r="CK37" s="1412" t="n"/>
      <c r="CL37" s="1412" t="n"/>
      <c r="CM37" s="1412" t="n"/>
      <c r="CN37" s="1412" t="n"/>
      <c r="CO37" s="1412" t="n"/>
      <c r="CP37" s="1412" t="n"/>
      <c r="CQ37" s="1412" t="n"/>
      <c r="CR37" s="1412" t="n"/>
      <c r="CS37" s="1412" t="n"/>
      <c r="CT37" s="1410" t="n"/>
      <c r="CU37" s="938" t="n"/>
      <c r="CV37" s="1412" t="n"/>
      <c r="CW37" s="1412" t="n"/>
      <c r="CX37" s="1412" t="n"/>
      <c r="CY37" s="1412" t="n"/>
      <c r="CZ37" s="1412" t="n"/>
      <c r="DA37" s="1412" t="n"/>
      <c r="DB37" s="1412" t="n"/>
      <c r="DC37" s="1412" t="n"/>
      <c r="DD37" s="1412" t="n"/>
      <c r="DE37" s="1412" t="n"/>
      <c r="DF37" s="1412" t="n"/>
      <c r="DG37" s="1412" t="n"/>
      <c r="DH37" s="1412" t="n"/>
      <c r="DI37" s="1412" t="n"/>
      <c r="DJ37" s="1410" t="n"/>
      <c r="DK37" s="871" t="n"/>
      <c r="DL37" s="1412" t="n"/>
      <c r="DM37" s="1412" t="n"/>
      <c r="DN37" s="1412" t="n"/>
      <c r="DO37" s="1412" t="n"/>
      <c r="DP37" s="1412" t="n"/>
      <c r="DQ37" s="1412" t="n"/>
      <c r="DR37" s="1412" t="n"/>
      <c r="DS37" s="1412" t="n"/>
      <c r="DT37" s="1412" t="n"/>
      <c r="DU37" s="1412" t="n"/>
      <c r="DV37" s="1412" t="n"/>
      <c r="DW37" s="1412" t="n"/>
      <c r="DX37" s="1412" t="n"/>
      <c r="DY37" s="1412" t="n"/>
      <c r="DZ37" s="1412" t="n"/>
      <c r="EA37" s="1412" t="n"/>
      <c r="EB37" s="1410" t="n"/>
      <c r="EC37" s="938" t="n"/>
      <c r="ED37" s="1412" t="n"/>
      <c r="EE37" s="1412" t="n"/>
      <c r="EF37" s="1412" t="n"/>
      <c r="EG37" s="1412" t="n"/>
      <c r="EH37" s="1412" t="n"/>
      <c r="EI37" s="1412" t="n"/>
      <c r="EJ37" s="1412" t="n"/>
      <c r="EK37" s="1412" t="n"/>
      <c r="EL37" s="1412" t="n"/>
      <c r="EM37" s="1412" t="n"/>
      <c r="EN37" s="1412" t="n"/>
      <c r="EO37" s="1412" t="n"/>
      <c r="EP37" s="1412" t="n"/>
      <c r="EQ37" s="1412" t="n"/>
      <c r="ER37" s="1412" t="n"/>
      <c r="ES37" s="1410" t="n"/>
      <c r="ET37" s="906" t="n"/>
      <c r="EU37" s="1412" t="n"/>
      <c r="EV37" s="1412" t="n"/>
      <c r="EW37" s="1412" t="n"/>
      <c r="EX37" s="1412" t="n"/>
      <c r="EY37" s="1412" t="n"/>
      <c r="EZ37" s="1412" t="n"/>
      <c r="FA37" s="1412" t="n"/>
      <c r="FB37" s="1412" t="n"/>
      <c r="FC37" s="1412" t="n"/>
      <c r="FD37" s="1412" t="n"/>
      <c r="FE37" s="1410" t="n"/>
      <c r="FF37" s="906" t="n"/>
      <c r="FG37" s="1412" t="n"/>
      <c r="FH37" s="1412" t="n"/>
      <c r="FI37" s="1412" t="n"/>
      <c r="FJ37" s="1412" t="n"/>
      <c r="FK37" s="1412" t="n"/>
      <c r="FL37" s="1412" t="n"/>
      <c r="FM37" s="1412" t="n"/>
      <c r="FN37" s="1412" t="n"/>
      <c r="FO37" s="1412" t="n"/>
      <c r="FP37" s="1412" t="n"/>
      <c r="FQ37" s="1412" t="n"/>
      <c r="FR37" s="1410" t="n"/>
      <c r="FS37" s="906" t="n"/>
      <c r="FT37" s="1412" t="n"/>
      <c r="FU37" s="1412" t="n"/>
      <c r="FV37" s="1412" t="n"/>
      <c r="FW37" s="1412" t="n"/>
      <c r="FX37" s="1412" t="n"/>
      <c r="FY37" s="1412" t="n"/>
      <c r="FZ37" s="1412" t="n"/>
      <c r="GA37" s="1412" t="n"/>
      <c r="GB37" s="1412" t="n"/>
      <c r="GC37" s="1412" t="n"/>
      <c r="GD37" s="1412" t="n"/>
      <c r="GE37" s="1412" t="n"/>
      <c r="GF37" s="1412" t="n"/>
      <c r="GG37" s="1410" t="n"/>
      <c r="GH37" s="906" t="n"/>
      <c r="GI37" s="1412" t="n"/>
      <c r="GJ37" s="1412" t="n"/>
      <c r="GK37" s="1412" t="n"/>
      <c r="GL37" s="1412" t="n"/>
      <c r="GM37" s="1412" t="n"/>
      <c r="GN37" s="1412" t="n"/>
      <c r="GO37" s="1412" t="n"/>
      <c r="GP37" s="1412" t="n"/>
      <c r="GQ37" s="1412" t="n"/>
      <c r="GR37" s="1412" t="n"/>
      <c r="GS37" s="1412" t="n"/>
      <c r="GT37" s="1412" t="n"/>
      <c r="GU37" s="1412" t="n"/>
      <c r="GV37" s="1412" t="n"/>
      <c r="GW37" s="1410" t="n"/>
      <c r="GX37" s="1433" t="n"/>
      <c r="GY37" s="1412" t="n"/>
      <c r="GZ37" s="1412" t="n"/>
      <c r="HA37" s="1412" t="n"/>
      <c r="HB37" s="1412" t="n"/>
      <c r="HC37" s="1412" t="n"/>
      <c r="HD37" s="1412" t="n"/>
      <c r="HE37" s="1412" t="n"/>
      <c r="HF37" s="1412" t="n"/>
      <c r="HG37" s="1412" t="n"/>
      <c r="HH37" s="1412" t="n"/>
      <c r="HI37" s="1412" t="n"/>
      <c r="HJ37" s="1412" t="n"/>
      <c r="HK37" s="1412" t="n"/>
      <c r="HL37" s="1410" t="n"/>
      <c r="HM37" s="906" t="n"/>
      <c r="HN37" s="1412" t="n"/>
      <c r="HO37" s="1412" t="n"/>
      <c r="HP37" s="1412" t="n"/>
      <c r="HQ37" s="1412" t="n"/>
      <c r="HR37" s="1412" t="n"/>
      <c r="HS37" s="1412" t="n"/>
      <c r="HT37" s="1412" t="n"/>
      <c r="HU37" s="1412" t="n"/>
      <c r="HV37" s="1412" t="n"/>
      <c r="HW37" s="1412" t="n"/>
      <c r="HX37" s="1412" t="n"/>
      <c r="HY37" s="1412" t="n"/>
      <c r="HZ37" s="1412" t="n"/>
      <c r="IA37" s="1412" t="n"/>
      <c r="IB37" s="1410" t="n"/>
    </row>
    <row r="38" ht="12" customFormat="1" customHeight="1" s="1340">
      <c r="A38" s="938" t="inlineStr">
        <is>
          <t>0401</t>
        </is>
      </c>
      <c r="B38" s="1412" t="n"/>
      <c r="C38" s="1412" t="n"/>
      <c r="D38" s="1412" t="n"/>
      <c r="E38" s="1412" t="n"/>
      <c r="F38" s="1410" t="n"/>
      <c r="G38" s="910" t="inlineStr">
        <is>
          <t>пусковые затраты</t>
        </is>
      </c>
      <c r="H38" s="1412" t="n"/>
      <c r="I38" s="1412" t="n"/>
      <c r="J38" s="1412" t="n"/>
      <c r="K38" s="1412" t="n"/>
      <c r="L38" s="1412" t="n"/>
      <c r="M38" s="1412" t="n"/>
      <c r="N38" s="1412" t="n"/>
      <c r="O38" s="1412" t="n"/>
      <c r="P38" s="1412" t="n"/>
      <c r="Q38" s="1412" t="n"/>
      <c r="R38" s="1412" t="n"/>
      <c r="S38" s="1412" t="n"/>
      <c r="T38" s="1412" t="n"/>
      <c r="U38" s="1412" t="n"/>
      <c r="V38" s="1412" t="n"/>
      <c r="W38" s="1412" t="n"/>
      <c r="X38" s="1412" t="n"/>
      <c r="Y38" s="1412" t="n"/>
      <c r="Z38" s="1412" t="n"/>
      <c r="AA38" s="1412" t="n"/>
      <c r="AB38" s="1412" t="n"/>
      <c r="AC38" s="1412" t="n"/>
      <c r="AD38" s="1412" t="n"/>
      <c r="AE38" s="1412" t="n"/>
      <c r="AF38" s="1412" t="n"/>
      <c r="AG38" s="1412" t="n"/>
      <c r="AH38" s="1412" t="n"/>
      <c r="AI38" s="1412" t="n"/>
      <c r="AJ38" s="1412" t="n"/>
      <c r="AK38" s="1412" t="n"/>
      <c r="AL38" s="1412" t="n"/>
      <c r="AM38" s="1412" t="n"/>
      <c r="AN38" s="1412" t="n"/>
      <c r="AO38" s="1412" t="n"/>
      <c r="AP38" s="1412" t="n"/>
      <c r="AQ38" s="1412" t="n"/>
      <c r="AR38" s="1412" t="n"/>
      <c r="AS38" s="1412" t="n"/>
      <c r="AT38" s="1412" t="n"/>
      <c r="AU38" s="1412" t="n"/>
      <c r="AV38" s="1412" t="n"/>
      <c r="AW38" s="1412" t="n"/>
      <c r="AX38" s="1412" t="n"/>
      <c r="AY38" s="1412" t="n"/>
      <c r="AZ38" s="1412" t="n"/>
      <c r="BA38" s="1412" t="n"/>
      <c r="BB38" s="1412" t="n"/>
      <c r="BC38" s="1412" t="n"/>
      <c r="BD38" s="1412" t="n"/>
      <c r="BE38" s="1412" t="n"/>
      <c r="BF38" s="1412" t="n"/>
      <c r="BG38" s="1412" t="n"/>
      <c r="BH38" s="1412" t="n"/>
      <c r="BI38" s="1412" t="n"/>
      <c r="BJ38" s="1410" t="n"/>
      <c r="BK38" s="871" t="n"/>
      <c r="BL38" s="1412" t="n"/>
      <c r="BM38" s="1412" t="n"/>
      <c r="BN38" s="1412" t="n"/>
      <c r="BO38" s="1412" t="n"/>
      <c r="BP38" s="1412" t="n"/>
      <c r="BQ38" s="1412" t="n"/>
      <c r="BR38" s="1412" t="n"/>
      <c r="BS38" s="1412" t="n"/>
      <c r="BT38" s="1412" t="n"/>
      <c r="BU38" s="1412" t="n"/>
      <c r="BV38" s="1412" t="n"/>
      <c r="BW38" s="1412" t="n"/>
      <c r="BX38" s="1412" t="n"/>
      <c r="BY38" s="1412" t="n"/>
      <c r="BZ38" s="1412" t="n"/>
      <c r="CA38" s="1412" t="n"/>
      <c r="CB38" s="1410" t="n"/>
      <c r="CC38" s="871" t="n"/>
      <c r="CD38" s="1412" t="n"/>
      <c r="CE38" s="1412" t="n"/>
      <c r="CF38" s="1412" t="n"/>
      <c r="CG38" s="1412" t="n"/>
      <c r="CH38" s="1412" t="n"/>
      <c r="CI38" s="1412" t="n"/>
      <c r="CJ38" s="1412" t="n"/>
      <c r="CK38" s="1412" t="n"/>
      <c r="CL38" s="1412" t="n"/>
      <c r="CM38" s="1412" t="n"/>
      <c r="CN38" s="1412" t="n"/>
      <c r="CO38" s="1412" t="n"/>
      <c r="CP38" s="1412" t="n"/>
      <c r="CQ38" s="1412" t="n"/>
      <c r="CR38" s="1412" t="n"/>
      <c r="CS38" s="1412" t="n"/>
      <c r="CT38" s="1410" t="n"/>
      <c r="CU38" s="938" t="n"/>
      <c r="CV38" s="1412" t="n"/>
      <c r="CW38" s="1412" t="n"/>
      <c r="CX38" s="1412" t="n"/>
      <c r="CY38" s="1412" t="n"/>
      <c r="CZ38" s="1412" t="n"/>
      <c r="DA38" s="1412" t="n"/>
      <c r="DB38" s="1412" t="n"/>
      <c r="DC38" s="1412" t="n"/>
      <c r="DD38" s="1412" t="n"/>
      <c r="DE38" s="1412" t="n"/>
      <c r="DF38" s="1412" t="n"/>
      <c r="DG38" s="1412" t="n"/>
      <c r="DH38" s="1412" t="n"/>
      <c r="DI38" s="1412" t="n"/>
      <c r="DJ38" s="1410" t="n"/>
      <c r="DK38" s="871" t="n"/>
      <c r="DL38" s="1412" t="n"/>
      <c r="DM38" s="1412" t="n"/>
      <c r="DN38" s="1412" t="n"/>
      <c r="DO38" s="1412" t="n"/>
      <c r="DP38" s="1412" t="n"/>
      <c r="DQ38" s="1412" t="n"/>
      <c r="DR38" s="1412" t="n"/>
      <c r="DS38" s="1412" t="n"/>
      <c r="DT38" s="1412" t="n"/>
      <c r="DU38" s="1412" t="n"/>
      <c r="DV38" s="1412" t="n"/>
      <c r="DW38" s="1412" t="n"/>
      <c r="DX38" s="1412" t="n"/>
      <c r="DY38" s="1412" t="n"/>
      <c r="DZ38" s="1412" t="n"/>
      <c r="EA38" s="1412" t="n"/>
      <c r="EB38" s="1410" t="n"/>
      <c r="EC38" s="938" t="n"/>
      <c r="ED38" s="1412" t="n"/>
      <c r="EE38" s="1412" t="n"/>
      <c r="EF38" s="1412" t="n"/>
      <c r="EG38" s="1412" t="n"/>
      <c r="EH38" s="1412" t="n"/>
      <c r="EI38" s="1412" t="n"/>
      <c r="EJ38" s="1412" t="n"/>
      <c r="EK38" s="1412" t="n"/>
      <c r="EL38" s="1412" t="n"/>
      <c r="EM38" s="1412" t="n"/>
      <c r="EN38" s="1412" t="n"/>
      <c r="EO38" s="1412" t="n"/>
      <c r="EP38" s="1412" t="n"/>
      <c r="EQ38" s="1412" t="n"/>
      <c r="ER38" s="1412" t="n"/>
      <c r="ES38" s="1410" t="n"/>
      <c r="ET38" s="906" t="n"/>
      <c r="EU38" s="1412" t="n"/>
      <c r="EV38" s="1412" t="n"/>
      <c r="EW38" s="1412" t="n"/>
      <c r="EX38" s="1412" t="n"/>
      <c r="EY38" s="1412" t="n"/>
      <c r="EZ38" s="1412" t="n"/>
      <c r="FA38" s="1412" t="n"/>
      <c r="FB38" s="1412" t="n"/>
      <c r="FC38" s="1412" t="n"/>
      <c r="FD38" s="1412" t="n"/>
      <c r="FE38" s="1410" t="n"/>
      <c r="FF38" s="906" t="n"/>
      <c r="FG38" s="1412" t="n"/>
      <c r="FH38" s="1412" t="n"/>
      <c r="FI38" s="1412" t="n"/>
      <c r="FJ38" s="1412" t="n"/>
      <c r="FK38" s="1412" t="n"/>
      <c r="FL38" s="1412" t="n"/>
      <c r="FM38" s="1412" t="n"/>
      <c r="FN38" s="1412" t="n"/>
      <c r="FO38" s="1412" t="n"/>
      <c r="FP38" s="1412" t="n"/>
      <c r="FQ38" s="1412" t="n"/>
      <c r="FR38" s="1410" t="n"/>
      <c r="FS38" s="906" t="n"/>
      <c r="FT38" s="1412" t="n"/>
      <c r="FU38" s="1412" t="n"/>
      <c r="FV38" s="1412" t="n"/>
      <c r="FW38" s="1412" t="n"/>
      <c r="FX38" s="1412" t="n"/>
      <c r="FY38" s="1412" t="n"/>
      <c r="FZ38" s="1412" t="n"/>
      <c r="GA38" s="1412" t="n"/>
      <c r="GB38" s="1412" t="n"/>
      <c r="GC38" s="1412" t="n"/>
      <c r="GD38" s="1412" t="n"/>
      <c r="GE38" s="1412" t="n"/>
      <c r="GF38" s="1412" t="n"/>
      <c r="GG38" s="1410" t="n"/>
      <c r="GH38" s="906" t="n"/>
      <c r="GI38" s="1412" t="n"/>
      <c r="GJ38" s="1412" t="n"/>
      <c r="GK38" s="1412" t="n"/>
      <c r="GL38" s="1412" t="n"/>
      <c r="GM38" s="1412" t="n"/>
      <c r="GN38" s="1412" t="n"/>
      <c r="GO38" s="1412" t="n"/>
      <c r="GP38" s="1412" t="n"/>
      <c r="GQ38" s="1412" t="n"/>
      <c r="GR38" s="1412" t="n"/>
      <c r="GS38" s="1412" t="n"/>
      <c r="GT38" s="1412" t="n"/>
      <c r="GU38" s="1412" t="n"/>
      <c r="GV38" s="1412" t="n"/>
      <c r="GW38" s="1410" t="n"/>
      <c r="GX38" s="1433" t="n"/>
      <c r="GY38" s="1412" t="n"/>
      <c r="GZ38" s="1412" t="n"/>
      <c r="HA38" s="1412" t="n"/>
      <c r="HB38" s="1412" t="n"/>
      <c r="HC38" s="1412" t="n"/>
      <c r="HD38" s="1412" t="n"/>
      <c r="HE38" s="1412" t="n"/>
      <c r="HF38" s="1412" t="n"/>
      <c r="HG38" s="1412" t="n"/>
      <c r="HH38" s="1412" t="n"/>
      <c r="HI38" s="1412" t="n"/>
      <c r="HJ38" s="1412" t="n"/>
      <c r="HK38" s="1412" t="n"/>
      <c r="HL38" s="1410" t="n"/>
      <c r="HM38" s="906" t="n"/>
      <c r="HN38" s="1412" t="n"/>
      <c r="HO38" s="1412" t="n"/>
      <c r="HP38" s="1412" t="n"/>
      <c r="HQ38" s="1412" t="n"/>
      <c r="HR38" s="1412" t="n"/>
      <c r="HS38" s="1412" t="n"/>
      <c r="HT38" s="1412" t="n"/>
      <c r="HU38" s="1412" t="n"/>
      <c r="HV38" s="1412" t="n"/>
      <c r="HW38" s="1412" t="n"/>
      <c r="HX38" s="1412" t="n"/>
      <c r="HY38" s="1412" t="n"/>
      <c r="HZ38" s="1412" t="n"/>
      <c r="IA38" s="1412" t="n"/>
      <c r="IB38" s="1410" t="n"/>
    </row>
    <row r="39" ht="12" customFormat="1" customHeight="1" s="1340">
      <c r="A39" s="938" t="inlineStr">
        <is>
          <t>0402</t>
        </is>
      </c>
      <c r="B39" s="1412" t="n"/>
      <c r="C39" s="1412" t="n"/>
      <c r="D39" s="1412" t="n"/>
      <c r="E39" s="1412" t="n"/>
      <c r="F39" s="1410" t="n"/>
      <c r="G39" s="910" t="inlineStr">
        <is>
          <t>затраты на подготовку и освоение новых видов продукции</t>
        </is>
      </c>
      <c r="H39" s="1412" t="n"/>
      <c r="I39" s="1412" t="n"/>
      <c r="J39" s="1412" t="n"/>
      <c r="K39" s="1412" t="n"/>
      <c r="L39" s="1412" t="n"/>
      <c r="M39" s="1412" t="n"/>
      <c r="N39" s="1412" t="n"/>
      <c r="O39" s="1412" t="n"/>
      <c r="P39" s="1412" t="n"/>
      <c r="Q39" s="1412" t="n"/>
      <c r="R39" s="1412" t="n"/>
      <c r="S39" s="1412" t="n"/>
      <c r="T39" s="1412" t="n"/>
      <c r="U39" s="1412" t="n"/>
      <c r="V39" s="1412" t="n"/>
      <c r="W39" s="1412" t="n"/>
      <c r="X39" s="1412" t="n"/>
      <c r="Y39" s="1412" t="n"/>
      <c r="Z39" s="1412" t="n"/>
      <c r="AA39" s="1412" t="n"/>
      <c r="AB39" s="1412" t="n"/>
      <c r="AC39" s="1412" t="n"/>
      <c r="AD39" s="1412" t="n"/>
      <c r="AE39" s="1412" t="n"/>
      <c r="AF39" s="1412" t="n"/>
      <c r="AG39" s="1412" t="n"/>
      <c r="AH39" s="1412" t="n"/>
      <c r="AI39" s="1412" t="n"/>
      <c r="AJ39" s="1412" t="n"/>
      <c r="AK39" s="1412" t="n"/>
      <c r="AL39" s="1412" t="n"/>
      <c r="AM39" s="1412" t="n"/>
      <c r="AN39" s="1412" t="n"/>
      <c r="AO39" s="1412" t="n"/>
      <c r="AP39" s="1412" t="n"/>
      <c r="AQ39" s="1412" t="n"/>
      <c r="AR39" s="1412" t="n"/>
      <c r="AS39" s="1412" t="n"/>
      <c r="AT39" s="1412" t="n"/>
      <c r="AU39" s="1412" t="n"/>
      <c r="AV39" s="1412" t="n"/>
      <c r="AW39" s="1412" t="n"/>
      <c r="AX39" s="1412" t="n"/>
      <c r="AY39" s="1412" t="n"/>
      <c r="AZ39" s="1412" t="n"/>
      <c r="BA39" s="1412" t="n"/>
      <c r="BB39" s="1412" t="n"/>
      <c r="BC39" s="1412" t="n"/>
      <c r="BD39" s="1412" t="n"/>
      <c r="BE39" s="1412" t="n"/>
      <c r="BF39" s="1412" t="n"/>
      <c r="BG39" s="1412" t="n"/>
      <c r="BH39" s="1412" t="n"/>
      <c r="BI39" s="1412" t="n"/>
      <c r="BJ39" s="1410" t="n"/>
      <c r="BK39" s="871" t="n"/>
      <c r="BL39" s="1412" t="n"/>
      <c r="BM39" s="1412" t="n"/>
      <c r="BN39" s="1412" t="n"/>
      <c r="BO39" s="1412" t="n"/>
      <c r="BP39" s="1412" t="n"/>
      <c r="BQ39" s="1412" t="n"/>
      <c r="BR39" s="1412" t="n"/>
      <c r="BS39" s="1412" t="n"/>
      <c r="BT39" s="1412" t="n"/>
      <c r="BU39" s="1412" t="n"/>
      <c r="BV39" s="1412" t="n"/>
      <c r="BW39" s="1412" t="n"/>
      <c r="BX39" s="1412" t="n"/>
      <c r="BY39" s="1412" t="n"/>
      <c r="BZ39" s="1412" t="n"/>
      <c r="CA39" s="1412" t="n"/>
      <c r="CB39" s="1410" t="n"/>
      <c r="CC39" s="871" t="n"/>
      <c r="CD39" s="1412" t="n"/>
      <c r="CE39" s="1412" t="n"/>
      <c r="CF39" s="1412" t="n"/>
      <c r="CG39" s="1412" t="n"/>
      <c r="CH39" s="1412" t="n"/>
      <c r="CI39" s="1412" t="n"/>
      <c r="CJ39" s="1412" t="n"/>
      <c r="CK39" s="1412" t="n"/>
      <c r="CL39" s="1412" t="n"/>
      <c r="CM39" s="1412" t="n"/>
      <c r="CN39" s="1412" t="n"/>
      <c r="CO39" s="1412" t="n"/>
      <c r="CP39" s="1412" t="n"/>
      <c r="CQ39" s="1412" t="n"/>
      <c r="CR39" s="1412" t="n"/>
      <c r="CS39" s="1412" t="n"/>
      <c r="CT39" s="1410" t="n"/>
      <c r="CU39" s="938" t="n"/>
      <c r="CV39" s="1412" t="n"/>
      <c r="CW39" s="1412" t="n"/>
      <c r="CX39" s="1412" t="n"/>
      <c r="CY39" s="1412" t="n"/>
      <c r="CZ39" s="1412" t="n"/>
      <c r="DA39" s="1412" t="n"/>
      <c r="DB39" s="1412" t="n"/>
      <c r="DC39" s="1412" t="n"/>
      <c r="DD39" s="1412" t="n"/>
      <c r="DE39" s="1412" t="n"/>
      <c r="DF39" s="1412" t="n"/>
      <c r="DG39" s="1412" t="n"/>
      <c r="DH39" s="1412" t="n"/>
      <c r="DI39" s="1412" t="n"/>
      <c r="DJ39" s="1410" t="n"/>
      <c r="DK39" s="871" t="n"/>
      <c r="DL39" s="1412" t="n"/>
      <c r="DM39" s="1412" t="n"/>
      <c r="DN39" s="1412" t="n"/>
      <c r="DO39" s="1412" t="n"/>
      <c r="DP39" s="1412" t="n"/>
      <c r="DQ39" s="1412" t="n"/>
      <c r="DR39" s="1412" t="n"/>
      <c r="DS39" s="1412" t="n"/>
      <c r="DT39" s="1412" t="n"/>
      <c r="DU39" s="1412" t="n"/>
      <c r="DV39" s="1412" t="n"/>
      <c r="DW39" s="1412" t="n"/>
      <c r="DX39" s="1412" t="n"/>
      <c r="DY39" s="1412" t="n"/>
      <c r="DZ39" s="1412" t="n"/>
      <c r="EA39" s="1412" t="n"/>
      <c r="EB39" s="1410" t="n"/>
      <c r="EC39" s="938" t="n"/>
      <c r="ED39" s="1412" t="n"/>
      <c r="EE39" s="1412" t="n"/>
      <c r="EF39" s="1412" t="n"/>
      <c r="EG39" s="1412" t="n"/>
      <c r="EH39" s="1412" t="n"/>
      <c r="EI39" s="1412" t="n"/>
      <c r="EJ39" s="1412" t="n"/>
      <c r="EK39" s="1412" t="n"/>
      <c r="EL39" s="1412" t="n"/>
      <c r="EM39" s="1412" t="n"/>
      <c r="EN39" s="1412" t="n"/>
      <c r="EO39" s="1412" t="n"/>
      <c r="EP39" s="1412" t="n"/>
      <c r="EQ39" s="1412" t="n"/>
      <c r="ER39" s="1412" t="n"/>
      <c r="ES39" s="1410" t="n"/>
      <c r="ET39" s="906" t="n"/>
      <c r="EU39" s="1412" t="n"/>
      <c r="EV39" s="1412" t="n"/>
      <c r="EW39" s="1412" t="n"/>
      <c r="EX39" s="1412" t="n"/>
      <c r="EY39" s="1412" t="n"/>
      <c r="EZ39" s="1412" t="n"/>
      <c r="FA39" s="1412" t="n"/>
      <c r="FB39" s="1412" t="n"/>
      <c r="FC39" s="1412" t="n"/>
      <c r="FD39" s="1412" t="n"/>
      <c r="FE39" s="1410" t="n"/>
      <c r="FF39" s="906" t="n"/>
      <c r="FG39" s="1412" t="n"/>
      <c r="FH39" s="1412" t="n"/>
      <c r="FI39" s="1412" t="n"/>
      <c r="FJ39" s="1412" t="n"/>
      <c r="FK39" s="1412" t="n"/>
      <c r="FL39" s="1412" t="n"/>
      <c r="FM39" s="1412" t="n"/>
      <c r="FN39" s="1412" t="n"/>
      <c r="FO39" s="1412" t="n"/>
      <c r="FP39" s="1412" t="n"/>
      <c r="FQ39" s="1412" t="n"/>
      <c r="FR39" s="1410" t="n"/>
      <c r="FS39" s="906" t="n"/>
      <c r="FT39" s="1412" t="n"/>
      <c r="FU39" s="1412" t="n"/>
      <c r="FV39" s="1412" t="n"/>
      <c r="FW39" s="1412" t="n"/>
      <c r="FX39" s="1412" t="n"/>
      <c r="FY39" s="1412" t="n"/>
      <c r="FZ39" s="1412" t="n"/>
      <c r="GA39" s="1412" t="n"/>
      <c r="GB39" s="1412" t="n"/>
      <c r="GC39" s="1412" t="n"/>
      <c r="GD39" s="1412" t="n"/>
      <c r="GE39" s="1412" t="n"/>
      <c r="GF39" s="1412" t="n"/>
      <c r="GG39" s="1410" t="n"/>
      <c r="GH39" s="906" t="n"/>
      <c r="GI39" s="1412" t="n"/>
      <c r="GJ39" s="1412" t="n"/>
      <c r="GK39" s="1412" t="n"/>
      <c r="GL39" s="1412" t="n"/>
      <c r="GM39" s="1412" t="n"/>
      <c r="GN39" s="1412" t="n"/>
      <c r="GO39" s="1412" t="n"/>
      <c r="GP39" s="1412" t="n"/>
      <c r="GQ39" s="1412" t="n"/>
      <c r="GR39" s="1412" t="n"/>
      <c r="GS39" s="1412" t="n"/>
      <c r="GT39" s="1412" t="n"/>
      <c r="GU39" s="1412" t="n"/>
      <c r="GV39" s="1412" t="n"/>
      <c r="GW39" s="1410" t="n"/>
      <c r="GX39" s="1433" t="n"/>
      <c r="GY39" s="1412" t="n"/>
      <c r="GZ39" s="1412" t="n"/>
      <c r="HA39" s="1412" t="n"/>
      <c r="HB39" s="1412" t="n"/>
      <c r="HC39" s="1412" t="n"/>
      <c r="HD39" s="1412" t="n"/>
      <c r="HE39" s="1412" t="n"/>
      <c r="HF39" s="1412" t="n"/>
      <c r="HG39" s="1412" t="n"/>
      <c r="HH39" s="1412" t="n"/>
      <c r="HI39" s="1412" t="n"/>
      <c r="HJ39" s="1412" t="n"/>
      <c r="HK39" s="1412" t="n"/>
      <c r="HL39" s="1410" t="n"/>
      <c r="HM39" s="906" t="n"/>
      <c r="HN39" s="1412" t="n"/>
      <c r="HO39" s="1412" t="n"/>
      <c r="HP39" s="1412" t="n"/>
      <c r="HQ39" s="1412" t="n"/>
      <c r="HR39" s="1412" t="n"/>
      <c r="HS39" s="1412" t="n"/>
      <c r="HT39" s="1412" t="n"/>
      <c r="HU39" s="1412" t="n"/>
      <c r="HV39" s="1412" t="n"/>
      <c r="HW39" s="1412" t="n"/>
      <c r="HX39" s="1412" t="n"/>
      <c r="HY39" s="1412" t="n"/>
      <c r="HZ39" s="1412" t="n"/>
      <c r="IA39" s="1412" t="n"/>
      <c r="IB39" s="1410" t="n"/>
    </row>
    <row r="40" ht="12" customFormat="1" customHeight="1" s="1340">
      <c r="A40" s="938" t="inlineStr">
        <is>
          <t>0500</t>
        </is>
      </c>
      <c r="B40" s="1412" t="n"/>
      <c r="C40" s="1412" t="n"/>
      <c r="D40" s="1412" t="n"/>
      <c r="E40" s="1412" t="n"/>
      <c r="F40" s="1410" t="n"/>
      <c r="G40" s="920" t="inlineStr">
        <is>
          <t>Затраты на специальную технологическую оснастку</t>
        </is>
      </c>
      <c r="H40" s="1412" t="n"/>
      <c r="I40" s="1412" t="n"/>
      <c r="J40" s="1412" t="n"/>
      <c r="K40" s="1412" t="n"/>
      <c r="L40" s="1412" t="n"/>
      <c r="M40" s="1412" t="n"/>
      <c r="N40" s="1412" t="n"/>
      <c r="O40" s="1412" t="n"/>
      <c r="P40" s="1412" t="n"/>
      <c r="Q40" s="1412" t="n"/>
      <c r="R40" s="1412" t="n"/>
      <c r="S40" s="1412" t="n"/>
      <c r="T40" s="1412" t="n"/>
      <c r="U40" s="1412" t="n"/>
      <c r="V40" s="1412" t="n"/>
      <c r="W40" s="1412" t="n"/>
      <c r="X40" s="1412" t="n"/>
      <c r="Y40" s="1412" t="n"/>
      <c r="Z40" s="1412" t="n"/>
      <c r="AA40" s="1412" t="n"/>
      <c r="AB40" s="1412" t="n"/>
      <c r="AC40" s="1412" t="n"/>
      <c r="AD40" s="1412" t="n"/>
      <c r="AE40" s="1412" t="n"/>
      <c r="AF40" s="1412" t="n"/>
      <c r="AG40" s="1412" t="n"/>
      <c r="AH40" s="1412" t="n"/>
      <c r="AI40" s="1412" t="n"/>
      <c r="AJ40" s="1412" t="n"/>
      <c r="AK40" s="1412" t="n"/>
      <c r="AL40" s="1412" t="n"/>
      <c r="AM40" s="1412" t="n"/>
      <c r="AN40" s="1412" t="n"/>
      <c r="AO40" s="1412" t="n"/>
      <c r="AP40" s="1412" t="n"/>
      <c r="AQ40" s="1412" t="n"/>
      <c r="AR40" s="1412" t="n"/>
      <c r="AS40" s="1412" t="n"/>
      <c r="AT40" s="1412" t="n"/>
      <c r="AU40" s="1412" t="n"/>
      <c r="AV40" s="1412" t="n"/>
      <c r="AW40" s="1412" t="n"/>
      <c r="AX40" s="1412" t="n"/>
      <c r="AY40" s="1412" t="n"/>
      <c r="AZ40" s="1412" t="n"/>
      <c r="BA40" s="1412" t="n"/>
      <c r="BB40" s="1412" t="n"/>
      <c r="BC40" s="1412" t="n"/>
      <c r="BD40" s="1412" t="n"/>
      <c r="BE40" s="1412" t="n"/>
      <c r="BF40" s="1412" t="n"/>
      <c r="BG40" s="1412" t="n"/>
      <c r="BH40" s="1412" t="n"/>
      <c r="BI40" s="1412" t="n"/>
      <c r="BJ40" s="1410" t="n"/>
      <c r="BK40" s="871" t="n"/>
      <c r="BL40" s="1412" t="n"/>
      <c r="BM40" s="1412" t="n"/>
      <c r="BN40" s="1412" t="n"/>
      <c r="BO40" s="1412" t="n"/>
      <c r="BP40" s="1412" t="n"/>
      <c r="BQ40" s="1412" t="n"/>
      <c r="BR40" s="1412" t="n"/>
      <c r="BS40" s="1412" t="n"/>
      <c r="BT40" s="1412" t="n"/>
      <c r="BU40" s="1412" t="n"/>
      <c r="BV40" s="1412" t="n"/>
      <c r="BW40" s="1412" t="n"/>
      <c r="BX40" s="1412" t="n"/>
      <c r="BY40" s="1412" t="n"/>
      <c r="BZ40" s="1412" t="n"/>
      <c r="CA40" s="1412" t="n"/>
      <c r="CB40" s="1410" t="n"/>
      <c r="CC40" s="871" t="n"/>
      <c r="CD40" s="1412" t="n"/>
      <c r="CE40" s="1412" t="n"/>
      <c r="CF40" s="1412" t="n"/>
      <c r="CG40" s="1412" t="n"/>
      <c r="CH40" s="1412" t="n"/>
      <c r="CI40" s="1412" t="n"/>
      <c r="CJ40" s="1412" t="n"/>
      <c r="CK40" s="1412" t="n"/>
      <c r="CL40" s="1412" t="n"/>
      <c r="CM40" s="1412" t="n"/>
      <c r="CN40" s="1412" t="n"/>
      <c r="CO40" s="1412" t="n"/>
      <c r="CP40" s="1412" t="n"/>
      <c r="CQ40" s="1412" t="n"/>
      <c r="CR40" s="1412" t="n"/>
      <c r="CS40" s="1412" t="n"/>
      <c r="CT40" s="1410" t="n"/>
      <c r="CU40" s="938" t="n"/>
      <c r="CV40" s="1412" t="n"/>
      <c r="CW40" s="1412" t="n"/>
      <c r="CX40" s="1412" t="n"/>
      <c r="CY40" s="1412" t="n"/>
      <c r="CZ40" s="1412" t="n"/>
      <c r="DA40" s="1412" t="n"/>
      <c r="DB40" s="1412" t="n"/>
      <c r="DC40" s="1412" t="n"/>
      <c r="DD40" s="1412" t="n"/>
      <c r="DE40" s="1412" t="n"/>
      <c r="DF40" s="1412" t="n"/>
      <c r="DG40" s="1412" t="n"/>
      <c r="DH40" s="1412" t="n"/>
      <c r="DI40" s="1412" t="n"/>
      <c r="DJ40" s="1410" t="n"/>
      <c r="DK40" s="871" t="n"/>
      <c r="DL40" s="1412" t="n"/>
      <c r="DM40" s="1412" t="n"/>
      <c r="DN40" s="1412" t="n"/>
      <c r="DO40" s="1412" t="n"/>
      <c r="DP40" s="1412" t="n"/>
      <c r="DQ40" s="1412" t="n"/>
      <c r="DR40" s="1412" t="n"/>
      <c r="DS40" s="1412" t="n"/>
      <c r="DT40" s="1412" t="n"/>
      <c r="DU40" s="1412" t="n"/>
      <c r="DV40" s="1412" t="n"/>
      <c r="DW40" s="1412" t="n"/>
      <c r="DX40" s="1412" t="n"/>
      <c r="DY40" s="1412" t="n"/>
      <c r="DZ40" s="1412" t="n"/>
      <c r="EA40" s="1412" t="n"/>
      <c r="EB40" s="1410" t="n"/>
      <c r="EC40" s="938" t="n"/>
      <c r="ED40" s="1412" t="n"/>
      <c r="EE40" s="1412" t="n"/>
      <c r="EF40" s="1412" t="n"/>
      <c r="EG40" s="1412" t="n"/>
      <c r="EH40" s="1412" t="n"/>
      <c r="EI40" s="1412" t="n"/>
      <c r="EJ40" s="1412" t="n"/>
      <c r="EK40" s="1412" t="n"/>
      <c r="EL40" s="1412" t="n"/>
      <c r="EM40" s="1412" t="n"/>
      <c r="EN40" s="1412" t="n"/>
      <c r="EO40" s="1412" t="n"/>
      <c r="EP40" s="1412" t="n"/>
      <c r="EQ40" s="1412" t="n"/>
      <c r="ER40" s="1412" t="n"/>
      <c r="ES40" s="1410" t="n"/>
      <c r="ET40" s="906" t="n"/>
      <c r="EU40" s="1412" t="n"/>
      <c r="EV40" s="1412" t="n"/>
      <c r="EW40" s="1412" t="n"/>
      <c r="EX40" s="1412" t="n"/>
      <c r="EY40" s="1412" t="n"/>
      <c r="EZ40" s="1412" t="n"/>
      <c r="FA40" s="1412" t="n"/>
      <c r="FB40" s="1412" t="n"/>
      <c r="FC40" s="1412" t="n"/>
      <c r="FD40" s="1412" t="n"/>
      <c r="FE40" s="1410" t="n"/>
      <c r="FF40" s="906" t="n"/>
      <c r="FG40" s="1412" t="n"/>
      <c r="FH40" s="1412" t="n"/>
      <c r="FI40" s="1412" t="n"/>
      <c r="FJ40" s="1412" t="n"/>
      <c r="FK40" s="1412" t="n"/>
      <c r="FL40" s="1412" t="n"/>
      <c r="FM40" s="1412" t="n"/>
      <c r="FN40" s="1412" t="n"/>
      <c r="FO40" s="1412" t="n"/>
      <c r="FP40" s="1412" t="n"/>
      <c r="FQ40" s="1412" t="n"/>
      <c r="FR40" s="1410" t="n"/>
      <c r="FS40" s="906" t="n"/>
      <c r="FT40" s="1412" t="n"/>
      <c r="FU40" s="1412" t="n"/>
      <c r="FV40" s="1412" t="n"/>
      <c r="FW40" s="1412" t="n"/>
      <c r="FX40" s="1412" t="n"/>
      <c r="FY40" s="1412" t="n"/>
      <c r="FZ40" s="1412" t="n"/>
      <c r="GA40" s="1412" t="n"/>
      <c r="GB40" s="1412" t="n"/>
      <c r="GC40" s="1412" t="n"/>
      <c r="GD40" s="1412" t="n"/>
      <c r="GE40" s="1412" t="n"/>
      <c r="GF40" s="1412" t="n"/>
      <c r="GG40" s="1410" t="n"/>
      <c r="GH40" s="906" t="n"/>
      <c r="GI40" s="1412" t="n"/>
      <c r="GJ40" s="1412" t="n"/>
      <c r="GK40" s="1412" t="n"/>
      <c r="GL40" s="1412" t="n"/>
      <c r="GM40" s="1412" t="n"/>
      <c r="GN40" s="1412" t="n"/>
      <c r="GO40" s="1412" t="n"/>
      <c r="GP40" s="1412" t="n"/>
      <c r="GQ40" s="1412" t="n"/>
      <c r="GR40" s="1412" t="n"/>
      <c r="GS40" s="1412" t="n"/>
      <c r="GT40" s="1412" t="n"/>
      <c r="GU40" s="1412" t="n"/>
      <c r="GV40" s="1412" t="n"/>
      <c r="GW40" s="1410" t="n"/>
      <c r="GX40" s="1433" t="n"/>
      <c r="GY40" s="1412" t="n"/>
      <c r="GZ40" s="1412" t="n"/>
      <c r="HA40" s="1412" t="n"/>
      <c r="HB40" s="1412" t="n"/>
      <c r="HC40" s="1412" t="n"/>
      <c r="HD40" s="1412" t="n"/>
      <c r="HE40" s="1412" t="n"/>
      <c r="HF40" s="1412" t="n"/>
      <c r="HG40" s="1412" t="n"/>
      <c r="HH40" s="1412" t="n"/>
      <c r="HI40" s="1412" t="n"/>
      <c r="HJ40" s="1412" t="n"/>
      <c r="HK40" s="1412" t="n"/>
      <c r="HL40" s="1410" t="n"/>
      <c r="HM40" s="906" t="n"/>
      <c r="HN40" s="1412" t="n"/>
      <c r="HO40" s="1412" t="n"/>
      <c r="HP40" s="1412" t="n"/>
      <c r="HQ40" s="1412" t="n"/>
      <c r="HR40" s="1412" t="n"/>
      <c r="HS40" s="1412" t="n"/>
      <c r="HT40" s="1412" t="n"/>
      <c r="HU40" s="1412" t="n"/>
      <c r="HV40" s="1412" t="n"/>
      <c r="HW40" s="1412" t="n"/>
      <c r="HX40" s="1412" t="n"/>
      <c r="HY40" s="1412" t="n"/>
      <c r="HZ40" s="1412" t="n"/>
      <c r="IA40" s="1412" t="n"/>
      <c r="IB40" s="1410" t="n"/>
    </row>
    <row r="41" ht="26.25" customFormat="1" customHeight="1" s="1340">
      <c r="A41" s="938" t="inlineStr">
        <is>
          <t>0600</t>
        </is>
      </c>
      <c r="B41" s="1412" t="n"/>
      <c r="C41" s="1412" t="n"/>
      <c r="D41" s="1412" t="n"/>
      <c r="E41" s="1412" t="n"/>
      <c r="F41" s="1410" t="n"/>
      <c r="G41" s="927" t="inlineStr">
        <is>
          <t>Затраты на специальное оборудование для научных (экспериментальных) работ</t>
        </is>
      </c>
      <c r="H41" s="1412" t="n"/>
      <c r="I41" s="1412" t="n"/>
      <c r="J41" s="1412" t="n"/>
      <c r="K41" s="1412" t="n"/>
      <c r="L41" s="1412" t="n"/>
      <c r="M41" s="1412" t="n"/>
      <c r="N41" s="1412" t="n"/>
      <c r="O41" s="1412" t="n"/>
      <c r="P41" s="1412" t="n"/>
      <c r="Q41" s="1412" t="n"/>
      <c r="R41" s="1412" t="n"/>
      <c r="S41" s="1412" t="n"/>
      <c r="T41" s="1412" t="n"/>
      <c r="U41" s="1412" t="n"/>
      <c r="V41" s="1412" t="n"/>
      <c r="W41" s="1412" t="n"/>
      <c r="X41" s="1412" t="n"/>
      <c r="Y41" s="1412" t="n"/>
      <c r="Z41" s="1412" t="n"/>
      <c r="AA41" s="1412" t="n"/>
      <c r="AB41" s="1412" t="n"/>
      <c r="AC41" s="1412" t="n"/>
      <c r="AD41" s="1412" t="n"/>
      <c r="AE41" s="1412" t="n"/>
      <c r="AF41" s="1412" t="n"/>
      <c r="AG41" s="1412" t="n"/>
      <c r="AH41" s="1412" t="n"/>
      <c r="AI41" s="1412" t="n"/>
      <c r="AJ41" s="1412" t="n"/>
      <c r="AK41" s="1412" t="n"/>
      <c r="AL41" s="1412" t="n"/>
      <c r="AM41" s="1412" t="n"/>
      <c r="AN41" s="1412" t="n"/>
      <c r="AO41" s="1412" t="n"/>
      <c r="AP41" s="1412" t="n"/>
      <c r="AQ41" s="1412" t="n"/>
      <c r="AR41" s="1412" t="n"/>
      <c r="AS41" s="1412" t="n"/>
      <c r="AT41" s="1412" t="n"/>
      <c r="AU41" s="1412" t="n"/>
      <c r="AV41" s="1412" t="n"/>
      <c r="AW41" s="1412" t="n"/>
      <c r="AX41" s="1412" t="n"/>
      <c r="AY41" s="1412" t="n"/>
      <c r="AZ41" s="1412" t="n"/>
      <c r="BA41" s="1412" t="n"/>
      <c r="BB41" s="1412" t="n"/>
      <c r="BC41" s="1412" t="n"/>
      <c r="BD41" s="1412" t="n"/>
      <c r="BE41" s="1412" t="n"/>
      <c r="BF41" s="1412" t="n"/>
      <c r="BG41" s="1412" t="n"/>
      <c r="BH41" s="1412" t="n"/>
      <c r="BI41" s="1412" t="n"/>
      <c r="BJ41" s="1410" t="n"/>
      <c r="BK41" s="871" t="n"/>
      <c r="BL41" s="1412" t="n"/>
      <c r="BM41" s="1412" t="n"/>
      <c r="BN41" s="1412" t="n"/>
      <c r="BO41" s="1412" t="n"/>
      <c r="BP41" s="1412" t="n"/>
      <c r="BQ41" s="1412" t="n"/>
      <c r="BR41" s="1412" t="n"/>
      <c r="BS41" s="1412" t="n"/>
      <c r="BT41" s="1412" t="n"/>
      <c r="BU41" s="1412" t="n"/>
      <c r="BV41" s="1412" t="n"/>
      <c r="BW41" s="1412" t="n"/>
      <c r="BX41" s="1412" t="n"/>
      <c r="BY41" s="1412" t="n"/>
      <c r="BZ41" s="1412" t="n"/>
      <c r="CA41" s="1412" t="n"/>
      <c r="CB41" s="1410" t="n"/>
      <c r="CC41" s="871" t="n"/>
      <c r="CD41" s="1412" t="n"/>
      <c r="CE41" s="1412" t="n"/>
      <c r="CF41" s="1412" t="n"/>
      <c r="CG41" s="1412" t="n"/>
      <c r="CH41" s="1412" t="n"/>
      <c r="CI41" s="1412" t="n"/>
      <c r="CJ41" s="1412" t="n"/>
      <c r="CK41" s="1412" t="n"/>
      <c r="CL41" s="1412" t="n"/>
      <c r="CM41" s="1412" t="n"/>
      <c r="CN41" s="1412" t="n"/>
      <c r="CO41" s="1412" t="n"/>
      <c r="CP41" s="1412" t="n"/>
      <c r="CQ41" s="1412" t="n"/>
      <c r="CR41" s="1412" t="n"/>
      <c r="CS41" s="1412" t="n"/>
      <c r="CT41" s="1410" t="n"/>
      <c r="CU41" s="938" t="n"/>
      <c r="CV41" s="1412" t="n"/>
      <c r="CW41" s="1412" t="n"/>
      <c r="CX41" s="1412" t="n"/>
      <c r="CY41" s="1412" t="n"/>
      <c r="CZ41" s="1412" t="n"/>
      <c r="DA41" s="1412" t="n"/>
      <c r="DB41" s="1412" t="n"/>
      <c r="DC41" s="1412" t="n"/>
      <c r="DD41" s="1412" t="n"/>
      <c r="DE41" s="1412" t="n"/>
      <c r="DF41" s="1412" t="n"/>
      <c r="DG41" s="1412" t="n"/>
      <c r="DH41" s="1412" t="n"/>
      <c r="DI41" s="1412" t="n"/>
      <c r="DJ41" s="1410" t="n"/>
      <c r="DK41" s="871" t="n"/>
      <c r="DL41" s="1412" t="n"/>
      <c r="DM41" s="1412" t="n"/>
      <c r="DN41" s="1412" t="n"/>
      <c r="DO41" s="1412" t="n"/>
      <c r="DP41" s="1412" t="n"/>
      <c r="DQ41" s="1412" t="n"/>
      <c r="DR41" s="1412" t="n"/>
      <c r="DS41" s="1412" t="n"/>
      <c r="DT41" s="1412" t="n"/>
      <c r="DU41" s="1412" t="n"/>
      <c r="DV41" s="1412" t="n"/>
      <c r="DW41" s="1412" t="n"/>
      <c r="DX41" s="1412" t="n"/>
      <c r="DY41" s="1412" t="n"/>
      <c r="DZ41" s="1412" t="n"/>
      <c r="EA41" s="1412" t="n"/>
      <c r="EB41" s="1410" t="n"/>
      <c r="EC41" s="938" t="n"/>
      <c r="ED41" s="1412" t="n"/>
      <c r="EE41" s="1412" t="n"/>
      <c r="EF41" s="1412" t="n"/>
      <c r="EG41" s="1412" t="n"/>
      <c r="EH41" s="1412" t="n"/>
      <c r="EI41" s="1412" t="n"/>
      <c r="EJ41" s="1412" t="n"/>
      <c r="EK41" s="1412" t="n"/>
      <c r="EL41" s="1412" t="n"/>
      <c r="EM41" s="1412" t="n"/>
      <c r="EN41" s="1412" t="n"/>
      <c r="EO41" s="1412" t="n"/>
      <c r="EP41" s="1412" t="n"/>
      <c r="EQ41" s="1412" t="n"/>
      <c r="ER41" s="1412" t="n"/>
      <c r="ES41" s="1410" t="n"/>
      <c r="ET41" s="906" t="n"/>
      <c r="EU41" s="1412" t="n"/>
      <c r="EV41" s="1412" t="n"/>
      <c r="EW41" s="1412" t="n"/>
      <c r="EX41" s="1412" t="n"/>
      <c r="EY41" s="1412" t="n"/>
      <c r="EZ41" s="1412" t="n"/>
      <c r="FA41" s="1412" t="n"/>
      <c r="FB41" s="1412" t="n"/>
      <c r="FC41" s="1412" t="n"/>
      <c r="FD41" s="1412" t="n"/>
      <c r="FE41" s="1410" t="n"/>
      <c r="FF41" s="906" t="n"/>
      <c r="FG41" s="1412" t="n"/>
      <c r="FH41" s="1412" t="n"/>
      <c r="FI41" s="1412" t="n"/>
      <c r="FJ41" s="1412" t="n"/>
      <c r="FK41" s="1412" t="n"/>
      <c r="FL41" s="1412" t="n"/>
      <c r="FM41" s="1412" t="n"/>
      <c r="FN41" s="1412" t="n"/>
      <c r="FO41" s="1412" t="n"/>
      <c r="FP41" s="1412" t="n"/>
      <c r="FQ41" s="1412" t="n"/>
      <c r="FR41" s="1410" t="n"/>
      <c r="FS41" s="906" t="n"/>
      <c r="FT41" s="1412" t="n"/>
      <c r="FU41" s="1412" t="n"/>
      <c r="FV41" s="1412" t="n"/>
      <c r="FW41" s="1412" t="n"/>
      <c r="FX41" s="1412" t="n"/>
      <c r="FY41" s="1412" t="n"/>
      <c r="FZ41" s="1412" t="n"/>
      <c r="GA41" s="1412" t="n"/>
      <c r="GB41" s="1412" t="n"/>
      <c r="GC41" s="1412" t="n"/>
      <c r="GD41" s="1412" t="n"/>
      <c r="GE41" s="1412" t="n"/>
      <c r="GF41" s="1412" t="n"/>
      <c r="GG41" s="1410" t="n"/>
      <c r="GH41" s="906" t="n"/>
      <c r="GI41" s="1412" t="n"/>
      <c r="GJ41" s="1412" t="n"/>
      <c r="GK41" s="1412" t="n"/>
      <c r="GL41" s="1412" t="n"/>
      <c r="GM41" s="1412" t="n"/>
      <c r="GN41" s="1412" t="n"/>
      <c r="GO41" s="1412" t="n"/>
      <c r="GP41" s="1412" t="n"/>
      <c r="GQ41" s="1412" t="n"/>
      <c r="GR41" s="1412" t="n"/>
      <c r="GS41" s="1412" t="n"/>
      <c r="GT41" s="1412" t="n"/>
      <c r="GU41" s="1412" t="n"/>
      <c r="GV41" s="1412" t="n"/>
      <c r="GW41" s="1410" t="n"/>
      <c r="GX41" s="1433" t="n"/>
      <c r="GY41" s="1412" t="n"/>
      <c r="GZ41" s="1412" t="n"/>
      <c r="HA41" s="1412" t="n"/>
      <c r="HB41" s="1412" t="n"/>
      <c r="HC41" s="1412" t="n"/>
      <c r="HD41" s="1412" t="n"/>
      <c r="HE41" s="1412" t="n"/>
      <c r="HF41" s="1412" t="n"/>
      <c r="HG41" s="1412" t="n"/>
      <c r="HH41" s="1412" t="n"/>
      <c r="HI41" s="1412" t="n"/>
      <c r="HJ41" s="1412" t="n"/>
      <c r="HK41" s="1412" t="n"/>
      <c r="HL41" s="1410" t="n"/>
      <c r="HM41" s="906" t="n"/>
      <c r="HN41" s="1412" t="n"/>
      <c r="HO41" s="1412" t="n"/>
      <c r="HP41" s="1412" t="n"/>
      <c r="HQ41" s="1412" t="n"/>
      <c r="HR41" s="1412" t="n"/>
      <c r="HS41" s="1412" t="n"/>
      <c r="HT41" s="1412" t="n"/>
      <c r="HU41" s="1412" t="n"/>
      <c r="HV41" s="1412" t="n"/>
      <c r="HW41" s="1412" t="n"/>
      <c r="HX41" s="1412" t="n"/>
      <c r="HY41" s="1412" t="n"/>
      <c r="HZ41" s="1412" t="n"/>
      <c r="IA41" s="1412" t="n"/>
      <c r="IB41" s="1410" t="n"/>
    </row>
    <row r="42" ht="12" customFormat="1" customHeight="1" s="1340">
      <c r="A42" s="938" t="inlineStr">
        <is>
          <t>0700</t>
        </is>
      </c>
      <c r="B42" s="1412" t="n"/>
      <c r="C42" s="1412" t="n"/>
      <c r="D42" s="1412" t="n"/>
      <c r="E42" s="1412" t="n"/>
      <c r="F42" s="1410" t="n"/>
      <c r="G42" s="920" t="inlineStr">
        <is>
          <t>Специальные затраты</t>
        </is>
      </c>
      <c r="H42" s="1412" t="n"/>
      <c r="I42" s="1412" t="n"/>
      <c r="J42" s="1412" t="n"/>
      <c r="K42" s="1412" t="n"/>
      <c r="L42" s="1412" t="n"/>
      <c r="M42" s="1412" t="n"/>
      <c r="N42" s="1412" t="n"/>
      <c r="O42" s="1412" t="n"/>
      <c r="P42" s="1412" t="n"/>
      <c r="Q42" s="1412" t="n"/>
      <c r="R42" s="1412" t="n"/>
      <c r="S42" s="1412" t="n"/>
      <c r="T42" s="1412" t="n"/>
      <c r="U42" s="1412" t="n"/>
      <c r="V42" s="1412" t="n"/>
      <c r="W42" s="1412" t="n"/>
      <c r="X42" s="1412" t="n"/>
      <c r="Y42" s="1412" t="n"/>
      <c r="Z42" s="1412" t="n"/>
      <c r="AA42" s="1412" t="n"/>
      <c r="AB42" s="1412" t="n"/>
      <c r="AC42" s="1412" t="n"/>
      <c r="AD42" s="1412" t="n"/>
      <c r="AE42" s="1412" t="n"/>
      <c r="AF42" s="1412" t="n"/>
      <c r="AG42" s="1412" t="n"/>
      <c r="AH42" s="1412" t="n"/>
      <c r="AI42" s="1412" t="n"/>
      <c r="AJ42" s="1412" t="n"/>
      <c r="AK42" s="1412" t="n"/>
      <c r="AL42" s="1412" t="n"/>
      <c r="AM42" s="1412" t="n"/>
      <c r="AN42" s="1412" t="n"/>
      <c r="AO42" s="1412" t="n"/>
      <c r="AP42" s="1412" t="n"/>
      <c r="AQ42" s="1412" t="n"/>
      <c r="AR42" s="1412" t="n"/>
      <c r="AS42" s="1412" t="n"/>
      <c r="AT42" s="1412" t="n"/>
      <c r="AU42" s="1412" t="n"/>
      <c r="AV42" s="1412" t="n"/>
      <c r="AW42" s="1412" t="n"/>
      <c r="AX42" s="1412" t="n"/>
      <c r="AY42" s="1412" t="n"/>
      <c r="AZ42" s="1412" t="n"/>
      <c r="BA42" s="1412" t="n"/>
      <c r="BB42" s="1412" t="n"/>
      <c r="BC42" s="1412" t="n"/>
      <c r="BD42" s="1412" t="n"/>
      <c r="BE42" s="1412" t="n"/>
      <c r="BF42" s="1412" t="n"/>
      <c r="BG42" s="1412" t="n"/>
      <c r="BH42" s="1412" t="n"/>
      <c r="BI42" s="1412" t="n"/>
      <c r="BJ42" s="1410" t="n"/>
      <c r="BK42" s="871" t="n"/>
      <c r="BL42" s="1412" t="n"/>
      <c r="BM42" s="1412" t="n"/>
      <c r="BN42" s="1412" t="n"/>
      <c r="BO42" s="1412" t="n"/>
      <c r="BP42" s="1412" t="n"/>
      <c r="BQ42" s="1412" t="n"/>
      <c r="BR42" s="1412" t="n"/>
      <c r="BS42" s="1412" t="n"/>
      <c r="BT42" s="1412" t="n"/>
      <c r="BU42" s="1412" t="n"/>
      <c r="BV42" s="1412" t="n"/>
      <c r="BW42" s="1412" t="n"/>
      <c r="BX42" s="1412" t="n"/>
      <c r="BY42" s="1412" t="n"/>
      <c r="BZ42" s="1412" t="n"/>
      <c r="CA42" s="1412" t="n"/>
      <c r="CB42" s="1410" t="n"/>
      <c r="CC42" s="871" t="n"/>
      <c r="CD42" s="1412" t="n"/>
      <c r="CE42" s="1412" t="n"/>
      <c r="CF42" s="1412" t="n"/>
      <c r="CG42" s="1412" t="n"/>
      <c r="CH42" s="1412" t="n"/>
      <c r="CI42" s="1412" t="n"/>
      <c r="CJ42" s="1412" t="n"/>
      <c r="CK42" s="1412" t="n"/>
      <c r="CL42" s="1412" t="n"/>
      <c r="CM42" s="1412" t="n"/>
      <c r="CN42" s="1412" t="n"/>
      <c r="CO42" s="1412" t="n"/>
      <c r="CP42" s="1412" t="n"/>
      <c r="CQ42" s="1412" t="n"/>
      <c r="CR42" s="1412" t="n"/>
      <c r="CS42" s="1412" t="n"/>
      <c r="CT42" s="1410" t="n"/>
      <c r="CU42" s="938" t="n"/>
      <c r="CV42" s="1412" t="n"/>
      <c r="CW42" s="1412" t="n"/>
      <c r="CX42" s="1412" t="n"/>
      <c r="CY42" s="1412" t="n"/>
      <c r="CZ42" s="1412" t="n"/>
      <c r="DA42" s="1412" t="n"/>
      <c r="DB42" s="1412" t="n"/>
      <c r="DC42" s="1412" t="n"/>
      <c r="DD42" s="1412" t="n"/>
      <c r="DE42" s="1412" t="n"/>
      <c r="DF42" s="1412" t="n"/>
      <c r="DG42" s="1412" t="n"/>
      <c r="DH42" s="1412" t="n"/>
      <c r="DI42" s="1412" t="n"/>
      <c r="DJ42" s="1410" t="n"/>
      <c r="DK42" s="871" t="n"/>
      <c r="DL42" s="1412" t="n"/>
      <c r="DM42" s="1412" t="n"/>
      <c r="DN42" s="1412" t="n"/>
      <c r="DO42" s="1412" t="n"/>
      <c r="DP42" s="1412" t="n"/>
      <c r="DQ42" s="1412" t="n"/>
      <c r="DR42" s="1412" t="n"/>
      <c r="DS42" s="1412" t="n"/>
      <c r="DT42" s="1412" t="n"/>
      <c r="DU42" s="1412" t="n"/>
      <c r="DV42" s="1412" t="n"/>
      <c r="DW42" s="1412" t="n"/>
      <c r="DX42" s="1412" t="n"/>
      <c r="DY42" s="1412" t="n"/>
      <c r="DZ42" s="1412" t="n"/>
      <c r="EA42" s="1412" t="n"/>
      <c r="EB42" s="1410" t="n"/>
      <c r="EC42" s="938" t="n"/>
      <c r="ED42" s="1412" t="n"/>
      <c r="EE42" s="1412" t="n"/>
      <c r="EF42" s="1412" t="n"/>
      <c r="EG42" s="1412" t="n"/>
      <c r="EH42" s="1412" t="n"/>
      <c r="EI42" s="1412" t="n"/>
      <c r="EJ42" s="1412" t="n"/>
      <c r="EK42" s="1412" t="n"/>
      <c r="EL42" s="1412" t="n"/>
      <c r="EM42" s="1412" t="n"/>
      <c r="EN42" s="1412" t="n"/>
      <c r="EO42" s="1412" t="n"/>
      <c r="EP42" s="1412" t="n"/>
      <c r="EQ42" s="1412" t="n"/>
      <c r="ER42" s="1412" t="n"/>
      <c r="ES42" s="1410" t="n"/>
      <c r="ET42" s="906" t="n"/>
      <c r="EU42" s="1412" t="n"/>
      <c r="EV42" s="1412" t="n"/>
      <c r="EW42" s="1412" t="n"/>
      <c r="EX42" s="1412" t="n"/>
      <c r="EY42" s="1412" t="n"/>
      <c r="EZ42" s="1412" t="n"/>
      <c r="FA42" s="1412" t="n"/>
      <c r="FB42" s="1412" t="n"/>
      <c r="FC42" s="1412" t="n"/>
      <c r="FD42" s="1412" t="n"/>
      <c r="FE42" s="1410" t="n"/>
      <c r="FF42" s="906" t="n"/>
      <c r="FG42" s="1412" t="n"/>
      <c r="FH42" s="1412" t="n"/>
      <c r="FI42" s="1412" t="n"/>
      <c r="FJ42" s="1412" t="n"/>
      <c r="FK42" s="1412" t="n"/>
      <c r="FL42" s="1412" t="n"/>
      <c r="FM42" s="1412" t="n"/>
      <c r="FN42" s="1412" t="n"/>
      <c r="FO42" s="1412" t="n"/>
      <c r="FP42" s="1412" t="n"/>
      <c r="FQ42" s="1412" t="n"/>
      <c r="FR42" s="1410" t="n"/>
      <c r="FS42" s="906" t="n"/>
      <c r="FT42" s="1412" t="n"/>
      <c r="FU42" s="1412" t="n"/>
      <c r="FV42" s="1412" t="n"/>
      <c r="FW42" s="1412" t="n"/>
      <c r="FX42" s="1412" t="n"/>
      <c r="FY42" s="1412" t="n"/>
      <c r="FZ42" s="1412" t="n"/>
      <c r="GA42" s="1412" t="n"/>
      <c r="GB42" s="1412" t="n"/>
      <c r="GC42" s="1412" t="n"/>
      <c r="GD42" s="1412" t="n"/>
      <c r="GE42" s="1412" t="n"/>
      <c r="GF42" s="1412" t="n"/>
      <c r="GG42" s="1410" t="n"/>
      <c r="GH42" s="906" t="n"/>
      <c r="GI42" s="1412" t="n"/>
      <c r="GJ42" s="1412" t="n"/>
      <c r="GK42" s="1412" t="n"/>
      <c r="GL42" s="1412" t="n"/>
      <c r="GM42" s="1412" t="n"/>
      <c r="GN42" s="1412" t="n"/>
      <c r="GO42" s="1412" t="n"/>
      <c r="GP42" s="1412" t="n"/>
      <c r="GQ42" s="1412" t="n"/>
      <c r="GR42" s="1412" t="n"/>
      <c r="GS42" s="1412" t="n"/>
      <c r="GT42" s="1412" t="n"/>
      <c r="GU42" s="1412" t="n"/>
      <c r="GV42" s="1412" t="n"/>
      <c r="GW42" s="1410" t="n"/>
      <c r="GX42" s="1433" t="n"/>
      <c r="GY42" s="1412" t="n"/>
      <c r="GZ42" s="1412" t="n"/>
      <c r="HA42" s="1412" t="n"/>
      <c r="HB42" s="1412" t="n"/>
      <c r="HC42" s="1412" t="n"/>
      <c r="HD42" s="1412" t="n"/>
      <c r="HE42" s="1412" t="n"/>
      <c r="HF42" s="1412" t="n"/>
      <c r="HG42" s="1412" t="n"/>
      <c r="HH42" s="1412" t="n"/>
      <c r="HI42" s="1412" t="n"/>
      <c r="HJ42" s="1412" t="n"/>
      <c r="HK42" s="1412" t="n"/>
      <c r="HL42" s="1410" t="n"/>
      <c r="HM42" s="906" t="n"/>
      <c r="HN42" s="1412" t="n"/>
      <c r="HO42" s="1412" t="n"/>
      <c r="HP42" s="1412" t="n"/>
      <c r="HQ42" s="1412" t="n"/>
      <c r="HR42" s="1412" t="n"/>
      <c r="HS42" s="1412" t="n"/>
      <c r="HT42" s="1412" t="n"/>
      <c r="HU42" s="1412" t="n"/>
      <c r="HV42" s="1412" t="n"/>
      <c r="HW42" s="1412" t="n"/>
      <c r="HX42" s="1412" t="n"/>
      <c r="HY42" s="1412" t="n"/>
      <c r="HZ42" s="1412" t="n"/>
      <c r="IA42" s="1412" t="n"/>
      <c r="IB42" s="1410" t="n"/>
    </row>
    <row r="43" ht="12" customFormat="1" customHeight="1" s="1340">
      <c r="A43" s="938" t="inlineStr">
        <is>
          <t>0800</t>
        </is>
      </c>
      <c r="B43" s="1412" t="n"/>
      <c r="C43" s="1412" t="n"/>
      <c r="D43" s="1412" t="n"/>
      <c r="E43" s="1412" t="n"/>
      <c r="F43" s="1410" t="n"/>
      <c r="G43" s="920" t="inlineStr">
        <is>
          <t>Общепроизводственные затраты</t>
        </is>
      </c>
      <c r="H43" s="1412" t="n"/>
      <c r="I43" s="1412" t="n"/>
      <c r="J43" s="1412" t="n"/>
      <c r="K43" s="1412" t="n"/>
      <c r="L43" s="1412" t="n"/>
      <c r="M43" s="1412" t="n"/>
      <c r="N43" s="1412" t="n"/>
      <c r="O43" s="1412" t="n"/>
      <c r="P43" s="1412" t="n"/>
      <c r="Q43" s="1412" t="n"/>
      <c r="R43" s="1412" t="n"/>
      <c r="S43" s="1412" t="n"/>
      <c r="T43" s="1412" t="n"/>
      <c r="U43" s="1412" t="n"/>
      <c r="V43" s="1412" t="n"/>
      <c r="W43" s="1412" t="n"/>
      <c r="X43" s="1412" t="n"/>
      <c r="Y43" s="1412" t="n"/>
      <c r="Z43" s="1412" t="n"/>
      <c r="AA43" s="1412" t="n"/>
      <c r="AB43" s="1412" t="n"/>
      <c r="AC43" s="1412" t="n"/>
      <c r="AD43" s="1412" t="n"/>
      <c r="AE43" s="1412" t="n"/>
      <c r="AF43" s="1412" t="n"/>
      <c r="AG43" s="1412" t="n"/>
      <c r="AH43" s="1412" t="n"/>
      <c r="AI43" s="1412" t="n"/>
      <c r="AJ43" s="1412" t="n"/>
      <c r="AK43" s="1412" t="n"/>
      <c r="AL43" s="1412" t="n"/>
      <c r="AM43" s="1412" t="n"/>
      <c r="AN43" s="1412" t="n"/>
      <c r="AO43" s="1412" t="n"/>
      <c r="AP43" s="1412" t="n"/>
      <c r="AQ43" s="1412" t="n"/>
      <c r="AR43" s="1412" t="n"/>
      <c r="AS43" s="1412" t="n"/>
      <c r="AT43" s="1412" t="n"/>
      <c r="AU43" s="1412" t="n"/>
      <c r="AV43" s="1412" t="n"/>
      <c r="AW43" s="1412" t="n"/>
      <c r="AX43" s="1412" t="n"/>
      <c r="AY43" s="1412" t="n"/>
      <c r="AZ43" s="1412" t="n"/>
      <c r="BA43" s="1412" t="n"/>
      <c r="BB43" s="1412" t="n"/>
      <c r="BC43" s="1412" t="n"/>
      <c r="BD43" s="1412" t="n"/>
      <c r="BE43" s="1412" t="n"/>
      <c r="BF43" s="1412" t="n"/>
      <c r="BG43" s="1412" t="n"/>
      <c r="BH43" s="1412" t="n"/>
      <c r="BI43" s="1412" t="n"/>
      <c r="BJ43" s="1410" t="n"/>
      <c r="BK43" s="871" t="inlineStr">
        <is>
          <t>Х</t>
        </is>
      </c>
      <c r="BL43" s="1412" t="n"/>
      <c r="BM43" s="1412" t="n"/>
      <c r="BN43" s="1412" t="n"/>
      <c r="BO43" s="1412" t="n"/>
      <c r="BP43" s="1412" t="n"/>
      <c r="BQ43" s="1412" t="n"/>
      <c r="BR43" s="1412" t="n"/>
      <c r="BS43" s="1412" t="n"/>
      <c r="BT43" s="1412" t="n"/>
      <c r="BU43" s="1412" t="n"/>
      <c r="BV43" s="1412" t="n"/>
      <c r="BW43" s="1412" t="n"/>
      <c r="BX43" s="1412" t="n"/>
      <c r="BY43" s="1412" t="n"/>
      <c r="BZ43" s="1412" t="n"/>
      <c r="CA43" s="1412" t="n"/>
      <c r="CB43" s="1410" t="n"/>
      <c r="CC43" s="871" t="inlineStr">
        <is>
          <t>Х</t>
        </is>
      </c>
      <c r="CD43" s="1412" t="n"/>
      <c r="CE43" s="1412" t="n"/>
      <c r="CF43" s="1412" t="n"/>
      <c r="CG43" s="1412" t="n"/>
      <c r="CH43" s="1412" t="n"/>
      <c r="CI43" s="1412" t="n"/>
      <c r="CJ43" s="1412" t="n"/>
      <c r="CK43" s="1412" t="n"/>
      <c r="CL43" s="1412" t="n"/>
      <c r="CM43" s="1412" t="n"/>
      <c r="CN43" s="1412" t="n"/>
      <c r="CO43" s="1412" t="n"/>
      <c r="CP43" s="1412" t="n"/>
      <c r="CQ43" s="1412" t="n"/>
      <c r="CR43" s="1412" t="n"/>
      <c r="CS43" s="1412" t="n"/>
      <c r="CT43" s="1410" t="n"/>
      <c r="CU43" s="938" t="inlineStr">
        <is>
          <t>Х</t>
        </is>
      </c>
      <c r="CV43" s="1412" t="n"/>
      <c r="CW43" s="1412" t="n"/>
      <c r="CX43" s="1412" t="n"/>
      <c r="CY43" s="1412" t="n"/>
      <c r="CZ43" s="1412" t="n"/>
      <c r="DA43" s="1412" t="n"/>
      <c r="DB43" s="1412" t="n"/>
      <c r="DC43" s="1412" t="n"/>
      <c r="DD43" s="1412" t="n"/>
      <c r="DE43" s="1412" t="n"/>
      <c r="DF43" s="1412" t="n"/>
      <c r="DG43" s="1412" t="n"/>
      <c r="DH43" s="1412" t="n"/>
      <c r="DI43" s="1412" t="n"/>
      <c r="DJ43" s="1410" t="n"/>
      <c r="DK43" s="871" t="inlineStr">
        <is>
          <t>Х</t>
        </is>
      </c>
      <c r="DL43" s="1412" t="n"/>
      <c r="DM43" s="1412" t="n"/>
      <c r="DN43" s="1412" t="n"/>
      <c r="DO43" s="1412" t="n"/>
      <c r="DP43" s="1412" t="n"/>
      <c r="DQ43" s="1412" t="n"/>
      <c r="DR43" s="1412" t="n"/>
      <c r="DS43" s="1412" t="n"/>
      <c r="DT43" s="1412" t="n"/>
      <c r="DU43" s="1412" t="n"/>
      <c r="DV43" s="1412" t="n"/>
      <c r="DW43" s="1412" t="n"/>
      <c r="DX43" s="1412" t="n"/>
      <c r="DY43" s="1412" t="n"/>
      <c r="DZ43" s="1412" t="n"/>
      <c r="EA43" s="1412" t="n"/>
      <c r="EB43" s="1410" t="n"/>
      <c r="EC43" s="938" t="inlineStr">
        <is>
          <t>Х</t>
        </is>
      </c>
      <c r="ED43" s="1412" t="n"/>
      <c r="EE43" s="1412" t="n"/>
      <c r="EF43" s="1412" t="n"/>
      <c r="EG43" s="1412" t="n"/>
      <c r="EH43" s="1412" t="n"/>
      <c r="EI43" s="1412" t="n"/>
      <c r="EJ43" s="1412" t="n"/>
      <c r="EK43" s="1412" t="n"/>
      <c r="EL43" s="1412" t="n"/>
      <c r="EM43" s="1412" t="n"/>
      <c r="EN43" s="1412" t="n"/>
      <c r="EO43" s="1412" t="n"/>
      <c r="EP43" s="1412" t="n"/>
      <c r="EQ43" s="1412" t="n"/>
      <c r="ER43" s="1412" t="n"/>
      <c r="ES43" s="1410" t="n"/>
      <c r="ET43" s="906" t="inlineStr">
        <is>
          <t>Х</t>
        </is>
      </c>
      <c r="EU43" s="1412" t="n"/>
      <c r="EV43" s="1412" t="n"/>
      <c r="EW43" s="1412" t="n"/>
      <c r="EX43" s="1412" t="n"/>
      <c r="EY43" s="1412" t="n"/>
      <c r="EZ43" s="1412" t="n"/>
      <c r="FA43" s="1412" t="n"/>
      <c r="FB43" s="1412" t="n"/>
      <c r="FC43" s="1412" t="n"/>
      <c r="FD43" s="1412" t="n"/>
      <c r="FE43" s="1410" t="n"/>
      <c r="FF43" s="906" t="inlineStr">
        <is>
          <t>Х</t>
        </is>
      </c>
      <c r="FG43" s="1412" t="n"/>
      <c r="FH43" s="1412" t="n"/>
      <c r="FI43" s="1412" t="n"/>
      <c r="FJ43" s="1412" t="n"/>
      <c r="FK43" s="1412" t="n"/>
      <c r="FL43" s="1412" t="n"/>
      <c r="FM43" s="1412" t="n"/>
      <c r="FN43" s="1412" t="n"/>
      <c r="FO43" s="1412" t="n"/>
      <c r="FP43" s="1412" t="n"/>
      <c r="FQ43" s="1412" t="n"/>
      <c r="FR43" s="1410" t="n"/>
      <c r="FS43" s="906" t="inlineStr">
        <is>
          <t>Х</t>
        </is>
      </c>
      <c r="FT43" s="1412" t="n"/>
      <c r="FU43" s="1412" t="n"/>
      <c r="FV43" s="1412" t="n"/>
      <c r="FW43" s="1412" t="n"/>
      <c r="FX43" s="1412" t="n"/>
      <c r="FY43" s="1412" t="n"/>
      <c r="FZ43" s="1412" t="n"/>
      <c r="GA43" s="1412" t="n"/>
      <c r="GB43" s="1412" t="n"/>
      <c r="GC43" s="1412" t="n"/>
      <c r="GD43" s="1412" t="n"/>
      <c r="GE43" s="1412" t="n"/>
      <c r="GF43" s="1412" t="n"/>
      <c r="GG43" s="1410" t="n"/>
      <c r="GH43" s="906" t="inlineStr">
        <is>
          <t>Х</t>
        </is>
      </c>
      <c r="GI43" s="1412" t="n"/>
      <c r="GJ43" s="1412" t="n"/>
      <c r="GK43" s="1412" t="n"/>
      <c r="GL43" s="1412" t="n"/>
      <c r="GM43" s="1412" t="n"/>
      <c r="GN43" s="1412" t="n"/>
      <c r="GO43" s="1412" t="n"/>
      <c r="GP43" s="1412" t="n"/>
      <c r="GQ43" s="1412" t="n"/>
      <c r="GR43" s="1412" t="n"/>
      <c r="GS43" s="1412" t="n"/>
      <c r="GT43" s="1412" t="n"/>
      <c r="GU43" s="1412" t="n"/>
      <c r="GV43" s="1412" t="n"/>
      <c r="GW43" s="1410" t="n"/>
      <c r="GX43" s="1433" t="n"/>
      <c r="GY43" s="1412" t="n"/>
      <c r="GZ43" s="1412" t="n"/>
      <c r="HA43" s="1412" t="n"/>
      <c r="HB43" s="1412" t="n"/>
      <c r="HC43" s="1412" t="n"/>
      <c r="HD43" s="1412" t="n"/>
      <c r="HE43" s="1412" t="n"/>
      <c r="HF43" s="1412" t="n"/>
      <c r="HG43" s="1412" t="n"/>
      <c r="HH43" s="1412" t="n"/>
      <c r="HI43" s="1412" t="n"/>
      <c r="HJ43" s="1412" t="n"/>
      <c r="HK43" s="1412" t="n"/>
      <c r="HL43" s="1410" t="n"/>
      <c r="HM43" s="906" t="n"/>
      <c r="HN43" s="1412" t="n"/>
      <c r="HO43" s="1412" t="n"/>
      <c r="HP43" s="1412" t="n"/>
      <c r="HQ43" s="1412" t="n"/>
      <c r="HR43" s="1412" t="n"/>
      <c r="HS43" s="1412" t="n"/>
      <c r="HT43" s="1412" t="n"/>
      <c r="HU43" s="1412" t="n"/>
      <c r="HV43" s="1412" t="n"/>
      <c r="HW43" s="1412" t="n"/>
      <c r="HX43" s="1412" t="n"/>
      <c r="HY43" s="1412" t="n"/>
      <c r="HZ43" s="1412" t="n"/>
      <c r="IA43" s="1412" t="n"/>
      <c r="IB43" s="1410" t="n"/>
    </row>
    <row r="44" ht="12" customFormat="1" customHeight="1" s="1340">
      <c r="A44" s="938" t="inlineStr">
        <is>
          <t>0900</t>
        </is>
      </c>
      <c r="B44" s="1412" t="n"/>
      <c r="C44" s="1412" t="n"/>
      <c r="D44" s="1412" t="n"/>
      <c r="E44" s="1412" t="n"/>
      <c r="F44" s="1410" t="n"/>
      <c r="G44" s="920" t="inlineStr">
        <is>
          <t>Общехозяйственные затраты</t>
        </is>
      </c>
      <c r="H44" s="1412" t="n"/>
      <c r="I44" s="1412" t="n"/>
      <c r="J44" s="1412" t="n"/>
      <c r="K44" s="1412" t="n"/>
      <c r="L44" s="1412" t="n"/>
      <c r="M44" s="1412" t="n"/>
      <c r="N44" s="1412" t="n"/>
      <c r="O44" s="1412" t="n"/>
      <c r="P44" s="1412" t="n"/>
      <c r="Q44" s="1412" t="n"/>
      <c r="R44" s="1412" t="n"/>
      <c r="S44" s="1412" t="n"/>
      <c r="T44" s="1412" t="n"/>
      <c r="U44" s="1412" t="n"/>
      <c r="V44" s="1412" t="n"/>
      <c r="W44" s="1412" t="n"/>
      <c r="X44" s="1412" t="n"/>
      <c r="Y44" s="1412" t="n"/>
      <c r="Z44" s="1412" t="n"/>
      <c r="AA44" s="1412" t="n"/>
      <c r="AB44" s="1412" t="n"/>
      <c r="AC44" s="1412" t="n"/>
      <c r="AD44" s="1412" t="n"/>
      <c r="AE44" s="1412" t="n"/>
      <c r="AF44" s="1412" t="n"/>
      <c r="AG44" s="1412" t="n"/>
      <c r="AH44" s="1412" t="n"/>
      <c r="AI44" s="1412" t="n"/>
      <c r="AJ44" s="1412" t="n"/>
      <c r="AK44" s="1412" t="n"/>
      <c r="AL44" s="1412" t="n"/>
      <c r="AM44" s="1412" t="n"/>
      <c r="AN44" s="1412" t="n"/>
      <c r="AO44" s="1412" t="n"/>
      <c r="AP44" s="1412" t="n"/>
      <c r="AQ44" s="1412" t="n"/>
      <c r="AR44" s="1412" t="n"/>
      <c r="AS44" s="1412" t="n"/>
      <c r="AT44" s="1412" t="n"/>
      <c r="AU44" s="1412" t="n"/>
      <c r="AV44" s="1412" t="n"/>
      <c r="AW44" s="1412" t="n"/>
      <c r="AX44" s="1412" t="n"/>
      <c r="AY44" s="1412" t="n"/>
      <c r="AZ44" s="1412" t="n"/>
      <c r="BA44" s="1412" t="n"/>
      <c r="BB44" s="1412" t="n"/>
      <c r="BC44" s="1412" t="n"/>
      <c r="BD44" s="1412" t="n"/>
      <c r="BE44" s="1412" t="n"/>
      <c r="BF44" s="1412" t="n"/>
      <c r="BG44" s="1412" t="n"/>
      <c r="BH44" s="1412" t="n"/>
      <c r="BI44" s="1412" t="n"/>
      <c r="BJ44" s="1410" t="n"/>
      <c r="BK44" s="871" t="inlineStr">
        <is>
          <t>Х</t>
        </is>
      </c>
      <c r="BL44" s="1412" t="n"/>
      <c r="BM44" s="1412" t="n"/>
      <c r="BN44" s="1412" t="n"/>
      <c r="BO44" s="1412" t="n"/>
      <c r="BP44" s="1412" t="n"/>
      <c r="BQ44" s="1412" t="n"/>
      <c r="BR44" s="1412" t="n"/>
      <c r="BS44" s="1412" t="n"/>
      <c r="BT44" s="1412" t="n"/>
      <c r="BU44" s="1412" t="n"/>
      <c r="BV44" s="1412" t="n"/>
      <c r="BW44" s="1412" t="n"/>
      <c r="BX44" s="1412" t="n"/>
      <c r="BY44" s="1412" t="n"/>
      <c r="BZ44" s="1412" t="n"/>
      <c r="CA44" s="1412" t="n"/>
      <c r="CB44" s="1410" t="n"/>
      <c r="CC44" s="871" t="inlineStr">
        <is>
          <t>Х</t>
        </is>
      </c>
      <c r="CD44" s="1412" t="n"/>
      <c r="CE44" s="1412" t="n"/>
      <c r="CF44" s="1412" t="n"/>
      <c r="CG44" s="1412" t="n"/>
      <c r="CH44" s="1412" t="n"/>
      <c r="CI44" s="1412" t="n"/>
      <c r="CJ44" s="1412" t="n"/>
      <c r="CK44" s="1412" t="n"/>
      <c r="CL44" s="1412" t="n"/>
      <c r="CM44" s="1412" t="n"/>
      <c r="CN44" s="1412" t="n"/>
      <c r="CO44" s="1412" t="n"/>
      <c r="CP44" s="1412" t="n"/>
      <c r="CQ44" s="1412" t="n"/>
      <c r="CR44" s="1412" t="n"/>
      <c r="CS44" s="1412" t="n"/>
      <c r="CT44" s="1410" t="n"/>
      <c r="CU44" s="938" t="inlineStr">
        <is>
          <t>Х</t>
        </is>
      </c>
      <c r="CV44" s="1412" t="n"/>
      <c r="CW44" s="1412" t="n"/>
      <c r="CX44" s="1412" t="n"/>
      <c r="CY44" s="1412" t="n"/>
      <c r="CZ44" s="1412" t="n"/>
      <c r="DA44" s="1412" t="n"/>
      <c r="DB44" s="1412" t="n"/>
      <c r="DC44" s="1412" t="n"/>
      <c r="DD44" s="1412" t="n"/>
      <c r="DE44" s="1412" t="n"/>
      <c r="DF44" s="1412" t="n"/>
      <c r="DG44" s="1412" t="n"/>
      <c r="DH44" s="1412" t="n"/>
      <c r="DI44" s="1412" t="n"/>
      <c r="DJ44" s="1410" t="n"/>
      <c r="DK44" s="871" t="inlineStr">
        <is>
          <t>Х</t>
        </is>
      </c>
      <c r="DL44" s="1412" t="n"/>
      <c r="DM44" s="1412" t="n"/>
      <c r="DN44" s="1412" t="n"/>
      <c r="DO44" s="1412" t="n"/>
      <c r="DP44" s="1412" t="n"/>
      <c r="DQ44" s="1412" t="n"/>
      <c r="DR44" s="1412" t="n"/>
      <c r="DS44" s="1412" t="n"/>
      <c r="DT44" s="1412" t="n"/>
      <c r="DU44" s="1412" t="n"/>
      <c r="DV44" s="1412" t="n"/>
      <c r="DW44" s="1412" t="n"/>
      <c r="DX44" s="1412" t="n"/>
      <c r="DY44" s="1412" t="n"/>
      <c r="DZ44" s="1412" t="n"/>
      <c r="EA44" s="1412" t="n"/>
      <c r="EB44" s="1410" t="n"/>
      <c r="EC44" s="938" t="inlineStr">
        <is>
          <t>Х</t>
        </is>
      </c>
      <c r="ED44" s="1412" t="n"/>
      <c r="EE44" s="1412" t="n"/>
      <c r="EF44" s="1412" t="n"/>
      <c r="EG44" s="1412" t="n"/>
      <c r="EH44" s="1412" t="n"/>
      <c r="EI44" s="1412" t="n"/>
      <c r="EJ44" s="1412" t="n"/>
      <c r="EK44" s="1412" t="n"/>
      <c r="EL44" s="1412" t="n"/>
      <c r="EM44" s="1412" t="n"/>
      <c r="EN44" s="1412" t="n"/>
      <c r="EO44" s="1412" t="n"/>
      <c r="EP44" s="1412" t="n"/>
      <c r="EQ44" s="1412" t="n"/>
      <c r="ER44" s="1412" t="n"/>
      <c r="ES44" s="1410" t="n"/>
      <c r="ET44" s="906" t="inlineStr">
        <is>
          <t>Х</t>
        </is>
      </c>
      <c r="EU44" s="1412" t="n"/>
      <c r="EV44" s="1412" t="n"/>
      <c r="EW44" s="1412" t="n"/>
      <c r="EX44" s="1412" t="n"/>
      <c r="EY44" s="1412" t="n"/>
      <c r="EZ44" s="1412" t="n"/>
      <c r="FA44" s="1412" t="n"/>
      <c r="FB44" s="1412" t="n"/>
      <c r="FC44" s="1412" t="n"/>
      <c r="FD44" s="1412" t="n"/>
      <c r="FE44" s="1410" t="n"/>
      <c r="FF44" s="906" t="inlineStr">
        <is>
          <t>Х</t>
        </is>
      </c>
      <c r="FG44" s="1412" t="n"/>
      <c r="FH44" s="1412" t="n"/>
      <c r="FI44" s="1412" t="n"/>
      <c r="FJ44" s="1412" t="n"/>
      <c r="FK44" s="1412" t="n"/>
      <c r="FL44" s="1412" t="n"/>
      <c r="FM44" s="1412" t="n"/>
      <c r="FN44" s="1412" t="n"/>
      <c r="FO44" s="1412" t="n"/>
      <c r="FP44" s="1412" t="n"/>
      <c r="FQ44" s="1412" t="n"/>
      <c r="FR44" s="1410" t="n"/>
      <c r="FS44" s="906" t="inlineStr">
        <is>
          <t>Х</t>
        </is>
      </c>
      <c r="FT44" s="1412" t="n"/>
      <c r="FU44" s="1412" t="n"/>
      <c r="FV44" s="1412" t="n"/>
      <c r="FW44" s="1412" t="n"/>
      <c r="FX44" s="1412" t="n"/>
      <c r="FY44" s="1412" t="n"/>
      <c r="FZ44" s="1412" t="n"/>
      <c r="GA44" s="1412" t="n"/>
      <c r="GB44" s="1412" t="n"/>
      <c r="GC44" s="1412" t="n"/>
      <c r="GD44" s="1412" t="n"/>
      <c r="GE44" s="1412" t="n"/>
      <c r="GF44" s="1412" t="n"/>
      <c r="GG44" s="1410" t="n"/>
      <c r="GH44" s="906" t="inlineStr">
        <is>
          <t>Х</t>
        </is>
      </c>
      <c r="GI44" s="1412" t="n"/>
      <c r="GJ44" s="1412" t="n"/>
      <c r="GK44" s="1412" t="n"/>
      <c r="GL44" s="1412" t="n"/>
      <c r="GM44" s="1412" t="n"/>
      <c r="GN44" s="1412" t="n"/>
      <c r="GO44" s="1412" t="n"/>
      <c r="GP44" s="1412" t="n"/>
      <c r="GQ44" s="1412" t="n"/>
      <c r="GR44" s="1412" t="n"/>
      <c r="GS44" s="1412" t="n"/>
      <c r="GT44" s="1412" t="n"/>
      <c r="GU44" s="1412" t="n"/>
      <c r="GV44" s="1412" t="n"/>
      <c r="GW44" s="1410" t="n"/>
      <c r="GX44" s="1437" t="n"/>
      <c r="GY44" s="1412" t="n"/>
      <c r="GZ44" s="1412" t="n"/>
      <c r="HA44" s="1412" t="n"/>
      <c r="HB44" s="1412" t="n"/>
      <c r="HC44" s="1412" t="n"/>
      <c r="HD44" s="1412" t="n"/>
      <c r="HE44" s="1412" t="n"/>
      <c r="HF44" s="1412" t="n"/>
      <c r="HG44" s="1412" t="n"/>
      <c r="HH44" s="1412" t="n"/>
      <c r="HI44" s="1412" t="n"/>
      <c r="HJ44" s="1412" t="n"/>
      <c r="HK44" s="1412" t="n"/>
      <c r="HL44" s="1410" t="n"/>
      <c r="HM44" s="906" t="n"/>
      <c r="HN44" s="1412" t="n"/>
      <c r="HO44" s="1412" t="n"/>
      <c r="HP44" s="1412" t="n"/>
      <c r="HQ44" s="1412" t="n"/>
      <c r="HR44" s="1412" t="n"/>
      <c r="HS44" s="1412" t="n"/>
      <c r="HT44" s="1412" t="n"/>
      <c r="HU44" s="1412" t="n"/>
      <c r="HV44" s="1412" t="n"/>
      <c r="HW44" s="1412" t="n"/>
      <c r="HX44" s="1412" t="n"/>
      <c r="HY44" s="1412" t="n"/>
      <c r="HZ44" s="1412" t="n"/>
      <c r="IA44" s="1412" t="n"/>
      <c r="IB44" s="1410" t="n"/>
    </row>
    <row r="45" ht="12" customFormat="1" customHeight="1" s="1340">
      <c r="A45" s="938" t="inlineStr">
        <is>
          <t>1000</t>
        </is>
      </c>
      <c r="B45" s="1412" t="n"/>
      <c r="C45" s="1412" t="n"/>
      <c r="D45" s="1412" t="n"/>
      <c r="E45" s="1412" t="n"/>
      <c r="F45" s="1410" t="n"/>
      <c r="G45" s="920" t="inlineStr">
        <is>
          <t>Затраты на командировки</t>
        </is>
      </c>
      <c r="H45" s="1412" t="n"/>
      <c r="I45" s="1412" t="n"/>
      <c r="J45" s="1412" t="n"/>
      <c r="K45" s="1412" t="n"/>
      <c r="L45" s="1412" t="n"/>
      <c r="M45" s="1412" t="n"/>
      <c r="N45" s="1412" t="n"/>
      <c r="O45" s="1412" t="n"/>
      <c r="P45" s="1412" t="n"/>
      <c r="Q45" s="1412" t="n"/>
      <c r="R45" s="1412" t="n"/>
      <c r="S45" s="1412" t="n"/>
      <c r="T45" s="1412" t="n"/>
      <c r="U45" s="1412" t="n"/>
      <c r="V45" s="1412" t="n"/>
      <c r="W45" s="1412" t="n"/>
      <c r="X45" s="1412" t="n"/>
      <c r="Y45" s="1412" t="n"/>
      <c r="Z45" s="1412" t="n"/>
      <c r="AA45" s="1412" t="n"/>
      <c r="AB45" s="1412" t="n"/>
      <c r="AC45" s="1412" t="n"/>
      <c r="AD45" s="1412" t="n"/>
      <c r="AE45" s="1412" t="n"/>
      <c r="AF45" s="1412" t="n"/>
      <c r="AG45" s="1412" t="n"/>
      <c r="AH45" s="1412" t="n"/>
      <c r="AI45" s="1412" t="n"/>
      <c r="AJ45" s="1412" t="n"/>
      <c r="AK45" s="1412" t="n"/>
      <c r="AL45" s="1412" t="n"/>
      <c r="AM45" s="1412" t="n"/>
      <c r="AN45" s="1412" t="n"/>
      <c r="AO45" s="1412" t="n"/>
      <c r="AP45" s="1412" t="n"/>
      <c r="AQ45" s="1412" t="n"/>
      <c r="AR45" s="1412" t="n"/>
      <c r="AS45" s="1412" t="n"/>
      <c r="AT45" s="1412" t="n"/>
      <c r="AU45" s="1412" t="n"/>
      <c r="AV45" s="1412" t="n"/>
      <c r="AW45" s="1412" t="n"/>
      <c r="AX45" s="1412" t="n"/>
      <c r="AY45" s="1412" t="n"/>
      <c r="AZ45" s="1412" t="n"/>
      <c r="BA45" s="1412" t="n"/>
      <c r="BB45" s="1412" t="n"/>
      <c r="BC45" s="1412" t="n"/>
      <c r="BD45" s="1412" t="n"/>
      <c r="BE45" s="1412" t="n"/>
      <c r="BF45" s="1412" t="n"/>
      <c r="BG45" s="1412" t="n"/>
      <c r="BH45" s="1412" t="n"/>
      <c r="BI45" s="1412" t="n"/>
      <c r="BJ45" s="1410" t="n"/>
      <c r="BK45" s="871" t="n"/>
      <c r="BL45" s="1412" t="n"/>
      <c r="BM45" s="1412" t="n"/>
      <c r="BN45" s="1412" t="n"/>
      <c r="BO45" s="1412" t="n"/>
      <c r="BP45" s="1412" t="n"/>
      <c r="BQ45" s="1412" t="n"/>
      <c r="BR45" s="1412" t="n"/>
      <c r="BS45" s="1412" t="n"/>
      <c r="BT45" s="1412" t="n"/>
      <c r="BU45" s="1412" t="n"/>
      <c r="BV45" s="1412" t="n"/>
      <c r="BW45" s="1412" t="n"/>
      <c r="BX45" s="1412" t="n"/>
      <c r="BY45" s="1412" t="n"/>
      <c r="BZ45" s="1412" t="n"/>
      <c r="CA45" s="1412" t="n"/>
      <c r="CB45" s="1410" t="n"/>
      <c r="CC45" s="871" t="n"/>
      <c r="CD45" s="1412" t="n"/>
      <c r="CE45" s="1412" t="n"/>
      <c r="CF45" s="1412" t="n"/>
      <c r="CG45" s="1412" t="n"/>
      <c r="CH45" s="1412" t="n"/>
      <c r="CI45" s="1412" t="n"/>
      <c r="CJ45" s="1412" t="n"/>
      <c r="CK45" s="1412" t="n"/>
      <c r="CL45" s="1412" t="n"/>
      <c r="CM45" s="1412" t="n"/>
      <c r="CN45" s="1412" t="n"/>
      <c r="CO45" s="1412" t="n"/>
      <c r="CP45" s="1412" t="n"/>
      <c r="CQ45" s="1412" t="n"/>
      <c r="CR45" s="1412" t="n"/>
      <c r="CS45" s="1412" t="n"/>
      <c r="CT45" s="1410" t="n"/>
      <c r="CU45" s="938" t="n"/>
      <c r="CV45" s="1412" t="n"/>
      <c r="CW45" s="1412" t="n"/>
      <c r="CX45" s="1412" t="n"/>
      <c r="CY45" s="1412" t="n"/>
      <c r="CZ45" s="1412" t="n"/>
      <c r="DA45" s="1412" t="n"/>
      <c r="DB45" s="1412" t="n"/>
      <c r="DC45" s="1412" t="n"/>
      <c r="DD45" s="1412" t="n"/>
      <c r="DE45" s="1412" t="n"/>
      <c r="DF45" s="1412" t="n"/>
      <c r="DG45" s="1412" t="n"/>
      <c r="DH45" s="1412" t="n"/>
      <c r="DI45" s="1412" t="n"/>
      <c r="DJ45" s="1410" t="n"/>
      <c r="DK45" s="871" t="n"/>
      <c r="DL45" s="1412" t="n"/>
      <c r="DM45" s="1412" t="n"/>
      <c r="DN45" s="1412" t="n"/>
      <c r="DO45" s="1412" t="n"/>
      <c r="DP45" s="1412" t="n"/>
      <c r="DQ45" s="1412" t="n"/>
      <c r="DR45" s="1412" t="n"/>
      <c r="DS45" s="1412" t="n"/>
      <c r="DT45" s="1412" t="n"/>
      <c r="DU45" s="1412" t="n"/>
      <c r="DV45" s="1412" t="n"/>
      <c r="DW45" s="1412" t="n"/>
      <c r="DX45" s="1412" t="n"/>
      <c r="DY45" s="1412" t="n"/>
      <c r="DZ45" s="1412" t="n"/>
      <c r="EA45" s="1412" t="n"/>
      <c r="EB45" s="1410" t="n"/>
      <c r="EC45" s="938" t="n"/>
      <c r="ED45" s="1412" t="n"/>
      <c r="EE45" s="1412" t="n"/>
      <c r="EF45" s="1412" t="n"/>
      <c r="EG45" s="1412" t="n"/>
      <c r="EH45" s="1412" t="n"/>
      <c r="EI45" s="1412" t="n"/>
      <c r="EJ45" s="1412" t="n"/>
      <c r="EK45" s="1412" t="n"/>
      <c r="EL45" s="1412" t="n"/>
      <c r="EM45" s="1412" t="n"/>
      <c r="EN45" s="1412" t="n"/>
      <c r="EO45" s="1412" t="n"/>
      <c r="EP45" s="1412" t="n"/>
      <c r="EQ45" s="1412" t="n"/>
      <c r="ER45" s="1412" t="n"/>
      <c r="ES45" s="1410" t="n"/>
      <c r="ET45" s="906" t="n"/>
      <c r="EU45" s="1412" t="n"/>
      <c r="EV45" s="1412" t="n"/>
      <c r="EW45" s="1412" t="n"/>
      <c r="EX45" s="1412" t="n"/>
      <c r="EY45" s="1412" t="n"/>
      <c r="EZ45" s="1412" t="n"/>
      <c r="FA45" s="1412" t="n"/>
      <c r="FB45" s="1412" t="n"/>
      <c r="FC45" s="1412" t="n"/>
      <c r="FD45" s="1412" t="n"/>
      <c r="FE45" s="1410" t="n"/>
      <c r="FF45" s="906" t="n"/>
      <c r="FG45" s="1412" t="n"/>
      <c r="FH45" s="1412" t="n"/>
      <c r="FI45" s="1412" t="n"/>
      <c r="FJ45" s="1412" t="n"/>
      <c r="FK45" s="1412" t="n"/>
      <c r="FL45" s="1412" t="n"/>
      <c r="FM45" s="1412" t="n"/>
      <c r="FN45" s="1412" t="n"/>
      <c r="FO45" s="1412" t="n"/>
      <c r="FP45" s="1412" t="n"/>
      <c r="FQ45" s="1412" t="n"/>
      <c r="FR45" s="1410" t="n"/>
      <c r="FS45" s="906" t="n"/>
      <c r="FT45" s="1412" t="n"/>
      <c r="FU45" s="1412" t="n"/>
      <c r="FV45" s="1412" t="n"/>
      <c r="FW45" s="1412" t="n"/>
      <c r="FX45" s="1412" t="n"/>
      <c r="FY45" s="1412" t="n"/>
      <c r="FZ45" s="1412" t="n"/>
      <c r="GA45" s="1412" t="n"/>
      <c r="GB45" s="1412" t="n"/>
      <c r="GC45" s="1412" t="n"/>
      <c r="GD45" s="1412" t="n"/>
      <c r="GE45" s="1412" t="n"/>
      <c r="GF45" s="1412" t="n"/>
      <c r="GG45" s="1410" t="n"/>
      <c r="GH45" s="906" t="n"/>
      <c r="GI45" s="1412" t="n"/>
      <c r="GJ45" s="1412" t="n"/>
      <c r="GK45" s="1412" t="n"/>
      <c r="GL45" s="1412" t="n"/>
      <c r="GM45" s="1412" t="n"/>
      <c r="GN45" s="1412" t="n"/>
      <c r="GO45" s="1412" t="n"/>
      <c r="GP45" s="1412" t="n"/>
      <c r="GQ45" s="1412" t="n"/>
      <c r="GR45" s="1412" t="n"/>
      <c r="GS45" s="1412" t="n"/>
      <c r="GT45" s="1412" t="n"/>
      <c r="GU45" s="1412" t="n"/>
      <c r="GV45" s="1412" t="n"/>
      <c r="GW45" s="1410" t="n"/>
      <c r="GX45" s="1433" t="n"/>
      <c r="GY45" s="1412" t="n"/>
      <c r="GZ45" s="1412" t="n"/>
      <c r="HA45" s="1412" t="n"/>
      <c r="HB45" s="1412" t="n"/>
      <c r="HC45" s="1412" t="n"/>
      <c r="HD45" s="1412" t="n"/>
      <c r="HE45" s="1412" t="n"/>
      <c r="HF45" s="1412" t="n"/>
      <c r="HG45" s="1412" t="n"/>
      <c r="HH45" s="1412" t="n"/>
      <c r="HI45" s="1412" t="n"/>
      <c r="HJ45" s="1412" t="n"/>
      <c r="HK45" s="1412" t="n"/>
      <c r="HL45" s="1410" t="n"/>
      <c r="HM45" s="906" t="n"/>
      <c r="HN45" s="1412" t="n"/>
      <c r="HO45" s="1412" t="n"/>
      <c r="HP45" s="1412" t="n"/>
      <c r="HQ45" s="1412" t="n"/>
      <c r="HR45" s="1412" t="n"/>
      <c r="HS45" s="1412" t="n"/>
      <c r="HT45" s="1412" t="n"/>
      <c r="HU45" s="1412" t="n"/>
      <c r="HV45" s="1412" t="n"/>
      <c r="HW45" s="1412" t="n"/>
      <c r="HX45" s="1412" t="n"/>
      <c r="HY45" s="1412" t="n"/>
      <c r="HZ45" s="1412" t="n"/>
      <c r="IA45" s="1412" t="n"/>
      <c r="IB45" s="1410" t="n"/>
    </row>
    <row r="46" ht="12" customFormat="1" customHeight="1" s="1340">
      <c r="A46" s="938" t="inlineStr">
        <is>
          <t>1100</t>
        </is>
      </c>
      <c r="B46" s="1412" t="n"/>
      <c r="C46" s="1412" t="n"/>
      <c r="D46" s="1412" t="n"/>
      <c r="E46" s="1412" t="n"/>
      <c r="F46" s="1410" t="n"/>
      <c r="G46" s="920" t="inlineStr">
        <is>
          <t>Прочие прямые затраты</t>
        </is>
      </c>
      <c r="H46" s="1412" t="n"/>
      <c r="I46" s="1412" t="n"/>
      <c r="J46" s="1412" t="n"/>
      <c r="K46" s="1412" t="n"/>
      <c r="L46" s="1412" t="n"/>
      <c r="M46" s="1412" t="n"/>
      <c r="N46" s="1412" t="n"/>
      <c r="O46" s="1412" t="n"/>
      <c r="P46" s="1412" t="n"/>
      <c r="Q46" s="1412" t="n"/>
      <c r="R46" s="1412" t="n"/>
      <c r="S46" s="1412" t="n"/>
      <c r="T46" s="1412" t="n"/>
      <c r="U46" s="1412" t="n"/>
      <c r="V46" s="1412" t="n"/>
      <c r="W46" s="1412" t="n"/>
      <c r="X46" s="1412" t="n"/>
      <c r="Y46" s="1412" t="n"/>
      <c r="Z46" s="1412" t="n"/>
      <c r="AA46" s="1412" t="n"/>
      <c r="AB46" s="1412" t="n"/>
      <c r="AC46" s="1412" t="n"/>
      <c r="AD46" s="1412" t="n"/>
      <c r="AE46" s="1412" t="n"/>
      <c r="AF46" s="1412" t="n"/>
      <c r="AG46" s="1412" t="n"/>
      <c r="AH46" s="1412" t="n"/>
      <c r="AI46" s="1412" t="n"/>
      <c r="AJ46" s="1412" t="n"/>
      <c r="AK46" s="1412" t="n"/>
      <c r="AL46" s="1412" t="n"/>
      <c r="AM46" s="1412" t="n"/>
      <c r="AN46" s="1412" t="n"/>
      <c r="AO46" s="1412" t="n"/>
      <c r="AP46" s="1412" t="n"/>
      <c r="AQ46" s="1412" t="n"/>
      <c r="AR46" s="1412" t="n"/>
      <c r="AS46" s="1412" t="n"/>
      <c r="AT46" s="1412" t="n"/>
      <c r="AU46" s="1412" t="n"/>
      <c r="AV46" s="1412" t="n"/>
      <c r="AW46" s="1412" t="n"/>
      <c r="AX46" s="1412" t="n"/>
      <c r="AY46" s="1412" t="n"/>
      <c r="AZ46" s="1412" t="n"/>
      <c r="BA46" s="1412" t="n"/>
      <c r="BB46" s="1412" t="n"/>
      <c r="BC46" s="1412" t="n"/>
      <c r="BD46" s="1412" t="n"/>
      <c r="BE46" s="1412" t="n"/>
      <c r="BF46" s="1412" t="n"/>
      <c r="BG46" s="1412" t="n"/>
      <c r="BH46" s="1412" t="n"/>
      <c r="BI46" s="1412" t="n"/>
      <c r="BJ46" s="1410" t="n"/>
      <c r="BK46" s="871" t="n"/>
      <c r="BL46" s="1412" t="n"/>
      <c r="BM46" s="1412" t="n"/>
      <c r="BN46" s="1412" t="n"/>
      <c r="BO46" s="1412" t="n"/>
      <c r="BP46" s="1412" t="n"/>
      <c r="BQ46" s="1412" t="n"/>
      <c r="BR46" s="1412" t="n"/>
      <c r="BS46" s="1412" t="n"/>
      <c r="BT46" s="1412" t="n"/>
      <c r="BU46" s="1412" t="n"/>
      <c r="BV46" s="1412" t="n"/>
      <c r="BW46" s="1412" t="n"/>
      <c r="BX46" s="1412" t="n"/>
      <c r="BY46" s="1412" t="n"/>
      <c r="BZ46" s="1412" t="n"/>
      <c r="CA46" s="1412" t="n"/>
      <c r="CB46" s="1410" t="n"/>
      <c r="CC46" s="871" t="n"/>
      <c r="CD46" s="1412" t="n"/>
      <c r="CE46" s="1412" t="n"/>
      <c r="CF46" s="1412" t="n"/>
      <c r="CG46" s="1412" t="n"/>
      <c r="CH46" s="1412" t="n"/>
      <c r="CI46" s="1412" t="n"/>
      <c r="CJ46" s="1412" t="n"/>
      <c r="CK46" s="1412" t="n"/>
      <c r="CL46" s="1412" t="n"/>
      <c r="CM46" s="1412" t="n"/>
      <c r="CN46" s="1412" t="n"/>
      <c r="CO46" s="1412" t="n"/>
      <c r="CP46" s="1412" t="n"/>
      <c r="CQ46" s="1412" t="n"/>
      <c r="CR46" s="1412" t="n"/>
      <c r="CS46" s="1412" t="n"/>
      <c r="CT46" s="1410" t="n"/>
      <c r="CU46" s="938" t="n"/>
      <c r="CV46" s="1412" t="n"/>
      <c r="CW46" s="1412" t="n"/>
      <c r="CX46" s="1412" t="n"/>
      <c r="CY46" s="1412" t="n"/>
      <c r="CZ46" s="1412" t="n"/>
      <c r="DA46" s="1412" t="n"/>
      <c r="DB46" s="1412" t="n"/>
      <c r="DC46" s="1412" t="n"/>
      <c r="DD46" s="1412" t="n"/>
      <c r="DE46" s="1412" t="n"/>
      <c r="DF46" s="1412" t="n"/>
      <c r="DG46" s="1412" t="n"/>
      <c r="DH46" s="1412" t="n"/>
      <c r="DI46" s="1412" t="n"/>
      <c r="DJ46" s="1410" t="n"/>
      <c r="DK46" s="871" t="n"/>
      <c r="DL46" s="1412" t="n"/>
      <c r="DM46" s="1412" t="n"/>
      <c r="DN46" s="1412" t="n"/>
      <c r="DO46" s="1412" t="n"/>
      <c r="DP46" s="1412" t="n"/>
      <c r="DQ46" s="1412" t="n"/>
      <c r="DR46" s="1412" t="n"/>
      <c r="DS46" s="1412" t="n"/>
      <c r="DT46" s="1412" t="n"/>
      <c r="DU46" s="1412" t="n"/>
      <c r="DV46" s="1412" t="n"/>
      <c r="DW46" s="1412" t="n"/>
      <c r="DX46" s="1412" t="n"/>
      <c r="DY46" s="1412" t="n"/>
      <c r="DZ46" s="1412" t="n"/>
      <c r="EA46" s="1412" t="n"/>
      <c r="EB46" s="1410" t="n"/>
      <c r="EC46" s="938" t="n"/>
      <c r="ED46" s="1412" t="n"/>
      <c r="EE46" s="1412" t="n"/>
      <c r="EF46" s="1412" t="n"/>
      <c r="EG46" s="1412" t="n"/>
      <c r="EH46" s="1412" t="n"/>
      <c r="EI46" s="1412" t="n"/>
      <c r="EJ46" s="1412" t="n"/>
      <c r="EK46" s="1412" t="n"/>
      <c r="EL46" s="1412" t="n"/>
      <c r="EM46" s="1412" t="n"/>
      <c r="EN46" s="1412" t="n"/>
      <c r="EO46" s="1412" t="n"/>
      <c r="EP46" s="1412" t="n"/>
      <c r="EQ46" s="1412" t="n"/>
      <c r="ER46" s="1412" t="n"/>
      <c r="ES46" s="1410" t="n"/>
      <c r="ET46" s="906" t="n"/>
      <c r="EU46" s="1412" t="n"/>
      <c r="EV46" s="1412" t="n"/>
      <c r="EW46" s="1412" t="n"/>
      <c r="EX46" s="1412" t="n"/>
      <c r="EY46" s="1412" t="n"/>
      <c r="EZ46" s="1412" t="n"/>
      <c r="FA46" s="1412" t="n"/>
      <c r="FB46" s="1412" t="n"/>
      <c r="FC46" s="1412" t="n"/>
      <c r="FD46" s="1412" t="n"/>
      <c r="FE46" s="1410" t="n"/>
      <c r="FF46" s="906" t="n"/>
      <c r="FG46" s="1412" t="n"/>
      <c r="FH46" s="1412" t="n"/>
      <c r="FI46" s="1412" t="n"/>
      <c r="FJ46" s="1412" t="n"/>
      <c r="FK46" s="1412" t="n"/>
      <c r="FL46" s="1412" t="n"/>
      <c r="FM46" s="1412" t="n"/>
      <c r="FN46" s="1412" t="n"/>
      <c r="FO46" s="1412" t="n"/>
      <c r="FP46" s="1412" t="n"/>
      <c r="FQ46" s="1412" t="n"/>
      <c r="FR46" s="1410" t="n"/>
      <c r="FS46" s="906" t="n"/>
      <c r="FT46" s="1412" t="n"/>
      <c r="FU46" s="1412" t="n"/>
      <c r="FV46" s="1412" t="n"/>
      <c r="FW46" s="1412" t="n"/>
      <c r="FX46" s="1412" t="n"/>
      <c r="FY46" s="1412" t="n"/>
      <c r="FZ46" s="1412" t="n"/>
      <c r="GA46" s="1412" t="n"/>
      <c r="GB46" s="1412" t="n"/>
      <c r="GC46" s="1412" t="n"/>
      <c r="GD46" s="1412" t="n"/>
      <c r="GE46" s="1412" t="n"/>
      <c r="GF46" s="1412" t="n"/>
      <c r="GG46" s="1410" t="n"/>
      <c r="GH46" s="906" t="n"/>
      <c r="GI46" s="1412" t="n"/>
      <c r="GJ46" s="1412" t="n"/>
      <c r="GK46" s="1412" t="n"/>
      <c r="GL46" s="1412" t="n"/>
      <c r="GM46" s="1412" t="n"/>
      <c r="GN46" s="1412" t="n"/>
      <c r="GO46" s="1412" t="n"/>
      <c r="GP46" s="1412" t="n"/>
      <c r="GQ46" s="1412" t="n"/>
      <c r="GR46" s="1412" t="n"/>
      <c r="GS46" s="1412" t="n"/>
      <c r="GT46" s="1412" t="n"/>
      <c r="GU46" s="1412" t="n"/>
      <c r="GV46" s="1412" t="n"/>
      <c r="GW46" s="1410" t="n"/>
      <c r="GX46" s="1433" t="n"/>
      <c r="GY46" s="1412" t="n"/>
      <c r="GZ46" s="1412" t="n"/>
      <c r="HA46" s="1412" t="n"/>
      <c r="HB46" s="1412" t="n"/>
      <c r="HC46" s="1412" t="n"/>
      <c r="HD46" s="1412" t="n"/>
      <c r="HE46" s="1412" t="n"/>
      <c r="HF46" s="1412" t="n"/>
      <c r="HG46" s="1412" t="n"/>
      <c r="HH46" s="1412" t="n"/>
      <c r="HI46" s="1412" t="n"/>
      <c r="HJ46" s="1412" t="n"/>
      <c r="HK46" s="1412" t="n"/>
      <c r="HL46" s="1410" t="n"/>
      <c r="HM46" s="906" t="n"/>
      <c r="HN46" s="1412" t="n"/>
      <c r="HO46" s="1412" t="n"/>
      <c r="HP46" s="1412" t="n"/>
      <c r="HQ46" s="1412" t="n"/>
      <c r="HR46" s="1412" t="n"/>
      <c r="HS46" s="1412" t="n"/>
      <c r="HT46" s="1412" t="n"/>
      <c r="HU46" s="1412" t="n"/>
      <c r="HV46" s="1412" t="n"/>
      <c r="HW46" s="1412" t="n"/>
      <c r="HX46" s="1412" t="n"/>
      <c r="HY46" s="1412" t="n"/>
      <c r="HZ46" s="1412" t="n"/>
      <c r="IA46" s="1412" t="n"/>
      <c r="IB46" s="1410" t="n"/>
    </row>
    <row r="47" ht="25.5" customFormat="1" customHeight="1" s="1340">
      <c r="A47" s="938" t="inlineStr">
        <is>
          <t>1200</t>
        </is>
      </c>
      <c r="B47" s="1412" t="n"/>
      <c r="C47" s="1412" t="n"/>
      <c r="D47" s="1412" t="n"/>
      <c r="E47" s="1412" t="n"/>
      <c r="F47" s="1410" t="n"/>
      <c r="G47" s="927" t="inlineStr">
        <is>
          <t>Затраты по работам (услугам), выполняемым (оказываемым) сторонними организациями</t>
        </is>
      </c>
      <c r="H47" s="1412" t="n"/>
      <c r="I47" s="1412" t="n"/>
      <c r="J47" s="1412" t="n"/>
      <c r="K47" s="1412" t="n"/>
      <c r="L47" s="1412" t="n"/>
      <c r="M47" s="1412" t="n"/>
      <c r="N47" s="1412" t="n"/>
      <c r="O47" s="1412" t="n"/>
      <c r="P47" s="1412" t="n"/>
      <c r="Q47" s="1412" t="n"/>
      <c r="R47" s="1412" t="n"/>
      <c r="S47" s="1412" t="n"/>
      <c r="T47" s="1412" t="n"/>
      <c r="U47" s="1412" t="n"/>
      <c r="V47" s="1412" t="n"/>
      <c r="W47" s="1412" t="n"/>
      <c r="X47" s="1412" t="n"/>
      <c r="Y47" s="1412" t="n"/>
      <c r="Z47" s="1412" t="n"/>
      <c r="AA47" s="1412" t="n"/>
      <c r="AB47" s="1412" t="n"/>
      <c r="AC47" s="1412" t="n"/>
      <c r="AD47" s="1412" t="n"/>
      <c r="AE47" s="1412" t="n"/>
      <c r="AF47" s="1412" t="n"/>
      <c r="AG47" s="1412" t="n"/>
      <c r="AH47" s="1412" t="n"/>
      <c r="AI47" s="1412" t="n"/>
      <c r="AJ47" s="1412" t="n"/>
      <c r="AK47" s="1412" t="n"/>
      <c r="AL47" s="1412" t="n"/>
      <c r="AM47" s="1412" t="n"/>
      <c r="AN47" s="1412" t="n"/>
      <c r="AO47" s="1412" t="n"/>
      <c r="AP47" s="1412" t="n"/>
      <c r="AQ47" s="1412" t="n"/>
      <c r="AR47" s="1412" t="n"/>
      <c r="AS47" s="1412" t="n"/>
      <c r="AT47" s="1412" t="n"/>
      <c r="AU47" s="1412" t="n"/>
      <c r="AV47" s="1412" t="n"/>
      <c r="AW47" s="1412" t="n"/>
      <c r="AX47" s="1412" t="n"/>
      <c r="AY47" s="1412" t="n"/>
      <c r="AZ47" s="1412" t="n"/>
      <c r="BA47" s="1412" t="n"/>
      <c r="BB47" s="1412" t="n"/>
      <c r="BC47" s="1412" t="n"/>
      <c r="BD47" s="1412" t="n"/>
      <c r="BE47" s="1412" t="n"/>
      <c r="BF47" s="1412" t="n"/>
      <c r="BG47" s="1412" t="n"/>
      <c r="BH47" s="1412" t="n"/>
      <c r="BI47" s="1412" t="n"/>
      <c r="BJ47" s="1410" t="n"/>
      <c r="BK47" s="871" t="n"/>
      <c r="BL47" s="1412" t="n"/>
      <c r="BM47" s="1412" t="n"/>
      <c r="BN47" s="1412" t="n"/>
      <c r="BO47" s="1412" t="n"/>
      <c r="BP47" s="1412" t="n"/>
      <c r="BQ47" s="1412" t="n"/>
      <c r="BR47" s="1412" t="n"/>
      <c r="BS47" s="1412" t="n"/>
      <c r="BT47" s="1412" t="n"/>
      <c r="BU47" s="1412" t="n"/>
      <c r="BV47" s="1412" t="n"/>
      <c r="BW47" s="1412" t="n"/>
      <c r="BX47" s="1412" t="n"/>
      <c r="BY47" s="1412" t="n"/>
      <c r="BZ47" s="1412" t="n"/>
      <c r="CA47" s="1412" t="n"/>
      <c r="CB47" s="1410" t="n"/>
      <c r="CC47" s="871" t="n"/>
      <c r="CD47" s="1412" t="n"/>
      <c r="CE47" s="1412" t="n"/>
      <c r="CF47" s="1412" t="n"/>
      <c r="CG47" s="1412" t="n"/>
      <c r="CH47" s="1412" t="n"/>
      <c r="CI47" s="1412" t="n"/>
      <c r="CJ47" s="1412" t="n"/>
      <c r="CK47" s="1412" t="n"/>
      <c r="CL47" s="1412" t="n"/>
      <c r="CM47" s="1412" t="n"/>
      <c r="CN47" s="1412" t="n"/>
      <c r="CO47" s="1412" t="n"/>
      <c r="CP47" s="1412" t="n"/>
      <c r="CQ47" s="1412" t="n"/>
      <c r="CR47" s="1412" t="n"/>
      <c r="CS47" s="1412" t="n"/>
      <c r="CT47" s="1410" t="n"/>
      <c r="CU47" s="938" t="n"/>
      <c r="CV47" s="1412" t="n"/>
      <c r="CW47" s="1412" t="n"/>
      <c r="CX47" s="1412" t="n"/>
      <c r="CY47" s="1412" t="n"/>
      <c r="CZ47" s="1412" t="n"/>
      <c r="DA47" s="1412" t="n"/>
      <c r="DB47" s="1412" t="n"/>
      <c r="DC47" s="1412" t="n"/>
      <c r="DD47" s="1412" t="n"/>
      <c r="DE47" s="1412" t="n"/>
      <c r="DF47" s="1412" t="n"/>
      <c r="DG47" s="1412" t="n"/>
      <c r="DH47" s="1412" t="n"/>
      <c r="DI47" s="1412" t="n"/>
      <c r="DJ47" s="1410" t="n"/>
      <c r="DK47" s="871" t="n"/>
      <c r="DL47" s="1412" t="n"/>
      <c r="DM47" s="1412" t="n"/>
      <c r="DN47" s="1412" t="n"/>
      <c r="DO47" s="1412" t="n"/>
      <c r="DP47" s="1412" t="n"/>
      <c r="DQ47" s="1412" t="n"/>
      <c r="DR47" s="1412" t="n"/>
      <c r="DS47" s="1412" t="n"/>
      <c r="DT47" s="1412" t="n"/>
      <c r="DU47" s="1412" t="n"/>
      <c r="DV47" s="1412" t="n"/>
      <c r="DW47" s="1412" t="n"/>
      <c r="DX47" s="1412" t="n"/>
      <c r="DY47" s="1412" t="n"/>
      <c r="DZ47" s="1412" t="n"/>
      <c r="EA47" s="1412" t="n"/>
      <c r="EB47" s="1410" t="n"/>
      <c r="EC47" s="938" t="n"/>
      <c r="ED47" s="1412" t="n"/>
      <c r="EE47" s="1412" t="n"/>
      <c r="EF47" s="1412" t="n"/>
      <c r="EG47" s="1412" t="n"/>
      <c r="EH47" s="1412" t="n"/>
      <c r="EI47" s="1412" t="n"/>
      <c r="EJ47" s="1412" t="n"/>
      <c r="EK47" s="1412" t="n"/>
      <c r="EL47" s="1412" t="n"/>
      <c r="EM47" s="1412" t="n"/>
      <c r="EN47" s="1412" t="n"/>
      <c r="EO47" s="1412" t="n"/>
      <c r="EP47" s="1412" t="n"/>
      <c r="EQ47" s="1412" t="n"/>
      <c r="ER47" s="1412" t="n"/>
      <c r="ES47" s="1410" t="n"/>
      <c r="ET47" s="906" t="n"/>
      <c r="EU47" s="1412" t="n"/>
      <c r="EV47" s="1412" t="n"/>
      <c r="EW47" s="1412" t="n"/>
      <c r="EX47" s="1412" t="n"/>
      <c r="EY47" s="1412" t="n"/>
      <c r="EZ47" s="1412" t="n"/>
      <c r="FA47" s="1412" t="n"/>
      <c r="FB47" s="1412" t="n"/>
      <c r="FC47" s="1412" t="n"/>
      <c r="FD47" s="1412" t="n"/>
      <c r="FE47" s="1410" t="n"/>
      <c r="FF47" s="906" t="n"/>
      <c r="FG47" s="1412" t="n"/>
      <c r="FH47" s="1412" t="n"/>
      <c r="FI47" s="1412" t="n"/>
      <c r="FJ47" s="1412" t="n"/>
      <c r="FK47" s="1412" t="n"/>
      <c r="FL47" s="1412" t="n"/>
      <c r="FM47" s="1412" t="n"/>
      <c r="FN47" s="1412" t="n"/>
      <c r="FO47" s="1412" t="n"/>
      <c r="FP47" s="1412" t="n"/>
      <c r="FQ47" s="1412" t="n"/>
      <c r="FR47" s="1410" t="n"/>
      <c r="FS47" s="906" t="n"/>
      <c r="FT47" s="1412" t="n"/>
      <c r="FU47" s="1412" t="n"/>
      <c r="FV47" s="1412" t="n"/>
      <c r="FW47" s="1412" t="n"/>
      <c r="FX47" s="1412" t="n"/>
      <c r="FY47" s="1412" t="n"/>
      <c r="FZ47" s="1412" t="n"/>
      <c r="GA47" s="1412" t="n"/>
      <c r="GB47" s="1412" t="n"/>
      <c r="GC47" s="1412" t="n"/>
      <c r="GD47" s="1412" t="n"/>
      <c r="GE47" s="1412" t="n"/>
      <c r="GF47" s="1412" t="n"/>
      <c r="GG47" s="1410" t="n"/>
      <c r="GH47" s="906" t="n"/>
      <c r="GI47" s="1412" t="n"/>
      <c r="GJ47" s="1412" t="n"/>
      <c r="GK47" s="1412" t="n"/>
      <c r="GL47" s="1412" t="n"/>
      <c r="GM47" s="1412" t="n"/>
      <c r="GN47" s="1412" t="n"/>
      <c r="GO47" s="1412" t="n"/>
      <c r="GP47" s="1412" t="n"/>
      <c r="GQ47" s="1412" t="n"/>
      <c r="GR47" s="1412" t="n"/>
      <c r="GS47" s="1412" t="n"/>
      <c r="GT47" s="1412" t="n"/>
      <c r="GU47" s="1412" t="n"/>
      <c r="GV47" s="1412" t="n"/>
      <c r="GW47" s="1410" t="n"/>
      <c r="GX47" s="1433" t="n"/>
      <c r="GY47" s="1412" t="n"/>
      <c r="GZ47" s="1412" t="n"/>
      <c r="HA47" s="1412" t="n"/>
      <c r="HB47" s="1412" t="n"/>
      <c r="HC47" s="1412" t="n"/>
      <c r="HD47" s="1412" t="n"/>
      <c r="HE47" s="1412" t="n"/>
      <c r="HF47" s="1412" t="n"/>
      <c r="HG47" s="1412" t="n"/>
      <c r="HH47" s="1412" t="n"/>
      <c r="HI47" s="1412" t="n"/>
      <c r="HJ47" s="1412" t="n"/>
      <c r="HK47" s="1412" t="n"/>
      <c r="HL47" s="1410" t="n"/>
      <c r="HM47" s="906" t="n"/>
      <c r="HN47" s="1412" t="n"/>
      <c r="HO47" s="1412" t="n"/>
      <c r="HP47" s="1412" t="n"/>
      <c r="HQ47" s="1412" t="n"/>
      <c r="HR47" s="1412" t="n"/>
      <c r="HS47" s="1412" t="n"/>
      <c r="HT47" s="1412" t="n"/>
      <c r="HU47" s="1412" t="n"/>
      <c r="HV47" s="1412" t="n"/>
      <c r="HW47" s="1412" t="n"/>
      <c r="HX47" s="1412" t="n"/>
      <c r="HY47" s="1412" t="n"/>
      <c r="HZ47" s="1412" t="n"/>
      <c r="IA47" s="1412" t="n"/>
      <c r="IB47" s="1410" t="n"/>
    </row>
    <row r="48" ht="12" customFormat="1" customHeight="1" s="1340">
      <c r="A48" s="938" t="inlineStr">
        <is>
          <t>1300</t>
        </is>
      </c>
      <c r="B48" s="1412" t="n"/>
      <c r="C48" s="1412" t="n"/>
      <c r="D48" s="1412" t="n"/>
      <c r="E48" s="1412" t="n"/>
      <c r="F48" s="1410" t="n"/>
      <c r="G48" s="927" t="inlineStr">
        <is>
          <t>Производственная себестоимость</t>
        </is>
      </c>
      <c r="H48" s="1412" t="n"/>
      <c r="I48" s="1412" t="n"/>
      <c r="J48" s="1412" t="n"/>
      <c r="K48" s="1412" t="n"/>
      <c r="L48" s="1412" t="n"/>
      <c r="M48" s="1412" t="n"/>
      <c r="N48" s="1412" t="n"/>
      <c r="O48" s="1412" t="n"/>
      <c r="P48" s="1412" t="n"/>
      <c r="Q48" s="1412" t="n"/>
      <c r="R48" s="1412" t="n"/>
      <c r="S48" s="1412" t="n"/>
      <c r="T48" s="1412" t="n"/>
      <c r="U48" s="1412" t="n"/>
      <c r="V48" s="1412" t="n"/>
      <c r="W48" s="1412" t="n"/>
      <c r="X48" s="1412" t="n"/>
      <c r="Y48" s="1412" t="n"/>
      <c r="Z48" s="1412" t="n"/>
      <c r="AA48" s="1412" t="n"/>
      <c r="AB48" s="1412" t="n"/>
      <c r="AC48" s="1412" t="n"/>
      <c r="AD48" s="1412" t="n"/>
      <c r="AE48" s="1412" t="n"/>
      <c r="AF48" s="1412" t="n"/>
      <c r="AG48" s="1412" t="n"/>
      <c r="AH48" s="1412" t="n"/>
      <c r="AI48" s="1412" t="n"/>
      <c r="AJ48" s="1412" t="n"/>
      <c r="AK48" s="1412" t="n"/>
      <c r="AL48" s="1412" t="n"/>
      <c r="AM48" s="1412" t="n"/>
      <c r="AN48" s="1412" t="n"/>
      <c r="AO48" s="1412" t="n"/>
      <c r="AP48" s="1412" t="n"/>
      <c r="AQ48" s="1412" t="n"/>
      <c r="AR48" s="1412" t="n"/>
      <c r="AS48" s="1412" t="n"/>
      <c r="AT48" s="1412" t="n"/>
      <c r="AU48" s="1412" t="n"/>
      <c r="AV48" s="1412" t="n"/>
      <c r="AW48" s="1412" t="n"/>
      <c r="AX48" s="1412" t="n"/>
      <c r="AY48" s="1412" t="n"/>
      <c r="AZ48" s="1412" t="n"/>
      <c r="BA48" s="1412" t="n"/>
      <c r="BB48" s="1412" t="n"/>
      <c r="BC48" s="1412" t="n"/>
      <c r="BD48" s="1412" t="n"/>
      <c r="BE48" s="1412" t="n"/>
      <c r="BF48" s="1412" t="n"/>
      <c r="BG48" s="1412" t="n"/>
      <c r="BH48" s="1412" t="n"/>
      <c r="BI48" s="1412" t="n"/>
      <c r="BJ48" s="1410" t="n"/>
      <c r="BK48" s="871" t="n"/>
      <c r="BL48" s="1412" t="n"/>
      <c r="BM48" s="1412" t="n"/>
      <c r="BN48" s="1412" t="n"/>
      <c r="BO48" s="1412" t="n"/>
      <c r="BP48" s="1412" t="n"/>
      <c r="BQ48" s="1412" t="n"/>
      <c r="BR48" s="1412" t="n"/>
      <c r="BS48" s="1412" t="n"/>
      <c r="BT48" s="1412" t="n"/>
      <c r="BU48" s="1412" t="n"/>
      <c r="BV48" s="1412" t="n"/>
      <c r="BW48" s="1412" t="n"/>
      <c r="BX48" s="1412" t="n"/>
      <c r="BY48" s="1412" t="n"/>
      <c r="BZ48" s="1412" t="n"/>
      <c r="CA48" s="1412" t="n"/>
      <c r="CB48" s="1410" t="n"/>
      <c r="CC48" s="871" t="n"/>
      <c r="CD48" s="1412" t="n"/>
      <c r="CE48" s="1412" t="n"/>
      <c r="CF48" s="1412" t="n"/>
      <c r="CG48" s="1412" t="n"/>
      <c r="CH48" s="1412" t="n"/>
      <c r="CI48" s="1412" t="n"/>
      <c r="CJ48" s="1412" t="n"/>
      <c r="CK48" s="1412" t="n"/>
      <c r="CL48" s="1412" t="n"/>
      <c r="CM48" s="1412" t="n"/>
      <c r="CN48" s="1412" t="n"/>
      <c r="CO48" s="1412" t="n"/>
      <c r="CP48" s="1412" t="n"/>
      <c r="CQ48" s="1412" t="n"/>
      <c r="CR48" s="1412" t="n"/>
      <c r="CS48" s="1412" t="n"/>
      <c r="CT48" s="1410" t="n"/>
      <c r="CU48" s="938" t="n"/>
      <c r="CV48" s="1412" t="n"/>
      <c r="CW48" s="1412" t="n"/>
      <c r="CX48" s="1412" t="n"/>
      <c r="CY48" s="1412" t="n"/>
      <c r="CZ48" s="1412" t="n"/>
      <c r="DA48" s="1412" t="n"/>
      <c r="DB48" s="1412" t="n"/>
      <c r="DC48" s="1412" t="n"/>
      <c r="DD48" s="1412" t="n"/>
      <c r="DE48" s="1412" t="n"/>
      <c r="DF48" s="1412" t="n"/>
      <c r="DG48" s="1412" t="n"/>
      <c r="DH48" s="1412" t="n"/>
      <c r="DI48" s="1412" t="n"/>
      <c r="DJ48" s="1410" t="n"/>
      <c r="DK48" s="871" t="n"/>
      <c r="DL48" s="1412" t="n"/>
      <c r="DM48" s="1412" t="n"/>
      <c r="DN48" s="1412" t="n"/>
      <c r="DO48" s="1412" t="n"/>
      <c r="DP48" s="1412" t="n"/>
      <c r="DQ48" s="1412" t="n"/>
      <c r="DR48" s="1412" t="n"/>
      <c r="DS48" s="1412" t="n"/>
      <c r="DT48" s="1412" t="n"/>
      <c r="DU48" s="1412" t="n"/>
      <c r="DV48" s="1412" t="n"/>
      <c r="DW48" s="1412" t="n"/>
      <c r="DX48" s="1412" t="n"/>
      <c r="DY48" s="1412" t="n"/>
      <c r="DZ48" s="1412" t="n"/>
      <c r="EA48" s="1412" t="n"/>
      <c r="EB48" s="1410" t="n"/>
      <c r="EC48" s="938" t="n"/>
      <c r="ED48" s="1412" t="n"/>
      <c r="EE48" s="1412" t="n"/>
      <c r="EF48" s="1412" t="n"/>
      <c r="EG48" s="1412" t="n"/>
      <c r="EH48" s="1412" t="n"/>
      <c r="EI48" s="1412" t="n"/>
      <c r="EJ48" s="1412" t="n"/>
      <c r="EK48" s="1412" t="n"/>
      <c r="EL48" s="1412" t="n"/>
      <c r="EM48" s="1412" t="n"/>
      <c r="EN48" s="1412" t="n"/>
      <c r="EO48" s="1412" t="n"/>
      <c r="EP48" s="1412" t="n"/>
      <c r="EQ48" s="1412" t="n"/>
      <c r="ER48" s="1412" t="n"/>
      <c r="ES48" s="1410" t="n"/>
      <c r="ET48" s="906" t="n"/>
      <c r="EU48" s="1412" t="n"/>
      <c r="EV48" s="1412" t="n"/>
      <c r="EW48" s="1412" t="n"/>
      <c r="EX48" s="1412" t="n"/>
      <c r="EY48" s="1412" t="n"/>
      <c r="EZ48" s="1412" t="n"/>
      <c r="FA48" s="1412" t="n"/>
      <c r="FB48" s="1412" t="n"/>
      <c r="FC48" s="1412" t="n"/>
      <c r="FD48" s="1412" t="n"/>
      <c r="FE48" s="1410" t="n"/>
      <c r="FF48" s="906" t="n"/>
      <c r="FG48" s="1412" t="n"/>
      <c r="FH48" s="1412" t="n"/>
      <c r="FI48" s="1412" t="n"/>
      <c r="FJ48" s="1412" t="n"/>
      <c r="FK48" s="1412" t="n"/>
      <c r="FL48" s="1412" t="n"/>
      <c r="FM48" s="1412" t="n"/>
      <c r="FN48" s="1412" t="n"/>
      <c r="FO48" s="1412" t="n"/>
      <c r="FP48" s="1412" t="n"/>
      <c r="FQ48" s="1412" t="n"/>
      <c r="FR48" s="1410" t="n"/>
      <c r="FS48" s="906" t="n"/>
      <c r="FT48" s="1412" t="n"/>
      <c r="FU48" s="1412" t="n"/>
      <c r="FV48" s="1412" t="n"/>
      <c r="FW48" s="1412" t="n"/>
      <c r="FX48" s="1412" t="n"/>
      <c r="FY48" s="1412" t="n"/>
      <c r="FZ48" s="1412" t="n"/>
      <c r="GA48" s="1412" t="n"/>
      <c r="GB48" s="1412" t="n"/>
      <c r="GC48" s="1412" t="n"/>
      <c r="GD48" s="1412" t="n"/>
      <c r="GE48" s="1412" t="n"/>
      <c r="GF48" s="1412" t="n"/>
      <c r="GG48" s="1410" t="n"/>
      <c r="GH48" s="906" t="n"/>
      <c r="GI48" s="1412" t="n"/>
      <c r="GJ48" s="1412" t="n"/>
      <c r="GK48" s="1412" t="n"/>
      <c r="GL48" s="1412" t="n"/>
      <c r="GM48" s="1412" t="n"/>
      <c r="GN48" s="1412" t="n"/>
      <c r="GO48" s="1412" t="n"/>
      <c r="GP48" s="1412" t="n"/>
      <c r="GQ48" s="1412" t="n"/>
      <c r="GR48" s="1412" t="n"/>
      <c r="GS48" s="1412" t="n"/>
      <c r="GT48" s="1412" t="n"/>
      <c r="GU48" s="1412" t="n"/>
      <c r="GV48" s="1412" t="n"/>
      <c r="GW48" s="1410" t="n"/>
      <c r="GX48" s="1437" t="n"/>
      <c r="GY48" s="1412" t="n"/>
      <c r="GZ48" s="1412" t="n"/>
      <c r="HA48" s="1412" t="n"/>
      <c r="HB48" s="1412" t="n"/>
      <c r="HC48" s="1412" t="n"/>
      <c r="HD48" s="1412" t="n"/>
      <c r="HE48" s="1412" t="n"/>
      <c r="HF48" s="1412" t="n"/>
      <c r="HG48" s="1412" t="n"/>
      <c r="HH48" s="1412" t="n"/>
      <c r="HI48" s="1412" t="n"/>
      <c r="HJ48" s="1412" t="n"/>
      <c r="HK48" s="1412" t="n"/>
      <c r="HL48" s="1410" t="n"/>
      <c r="HM48" s="906" t="n"/>
      <c r="HN48" s="1412" t="n"/>
      <c r="HO48" s="1412" t="n"/>
      <c r="HP48" s="1412" t="n"/>
      <c r="HQ48" s="1412" t="n"/>
      <c r="HR48" s="1412" t="n"/>
      <c r="HS48" s="1412" t="n"/>
      <c r="HT48" s="1412" t="n"/>
      <c r="HU48" s="1412" t="n"/>
      <c r="HV48" s="1412" t="n"/>
      <c r="HW48" s="1412" t="n"/>
      <c r="HX48" s="1412" t="n"/>
      <c r="HY48" s="1412" t="n"/>
      <c r="HZ48" s="1412" t="n"/>
      <c r="IA48" s="1412" t="n"/>
      <c r="IB48" s="1410" t="n"/>
    </row>
    <row r="49" ht="12" customFormat="1" customHeight="1" s="1340">
      <c r="A49" s="938" t="inlineStr">
        <is>
          <t>1400</t>
        </is>
      </c>
      <c r="B49" s="1412" t="n"/>
      <c r="C49" s="1412" t="n"/>
      <c r="D49" s="1412" t="n"/>
      <c r="E49" s="1412" t="n"/>
      <c r="F49" s="1410" t="n"/>
      <c r="G49" s="920" t="inlineStr">
        <is>
          <t>Коммерческие (внепроизводственные) затраты</t>
        </is>
      </c>
      <c r="H49" s="1412" t="n"/>
      <c r="I49" s="1412" t="n"/>
      <c r="J49" s="1412" t="n"/>
      <c r="K49" s="1412" t="n"/>
      <c r="L49" s="1412" t="n"/>
      <c r="M49" s="1412" t="n"/>
      <c r="N49" s="1412" t="n"/>
      <c r="O49" s="1412" t="n"/>
      <c r="P49" s="1412" t="n"/>
      <c r="Q49" s="1412" t="n"/>
      <c r="R49" s="1412" t="n"/>
      <c r="S49" s="1412" t="n"/>
      <c r="T49" s="1412" t="n"/>
      <c r="U49" s="1412" t="n"/>
      <c r="V49" s="1412" t="n"/>
      <c r="W49" s="1412" t="n"/>
      <c r="X49" s="1412" t="n"/>
      <c r="Y49" s="1412" t="n"/>
      <c r="Z49" s="1412" t="n"/>
      <c r="AA49" s="1412" t="n"/>
      <c r="AB49" s="1412" t="n"/>
      <c r="AC49" s="1412" t="n"/>
      <c r="AD49" s="1412" t="n"/>
      <c r="AE49" s="1412" t="n"/>
      <c r="AF49" s="1412" t="n"/>
      <c r="AG49" s="1412" t="n"/>
      <c r="AH49" s="1412" t="n"/>
      <c r="AI49" s="1412" t="n"/>
      <c r="AJ49" s="1412" t="n"/>
      <c r="AK49" s="1412" t="n"/>
      <c r="AL49" s="1412" t="n"/>
      <c r="AM49" s="1412" t="n"/>
      <c r="AN49" s="1412" t="n"/>
      <c r="AO49" s="1412" t="n"/>
      <c r="AP49" s="1412" t="n"/>
      <c r="AQ49" s="1412" t="n"/>
      <c r="AR49" s="1412" t="n"/>
      <c r="AS49" s="1412" t="n"/>
      <c r="AT49" s="1412" t="n"/>
      <c r="AU49" s="1412" t="n"/>
      <c r="AV49" s="1412" t="n"/>
      <c r="AW49" s="1412" t="n"/>
      <c r="AX49" s="1412" t="n"/>
      <c r="AY49" s="1412" t="n"/>
      <c r="AZ49" s="1412" t="n"/>
      <c r="BA49" s="1412" t="n"/>
      <c r="BB49" s="1412" t="n"/>
      <c r="BC49" s="1412" t="n"/>
      <c r="BD49" s="1412" t="n"/>
      <c r="BE49" s="1412" t="n"/>
      <c r="BF49" s="1412" t="n"/>
      <c r="BG49" s="1412" t="n"/>
      <c r="BH49" s="1412" t="n"/>
      <c r="BI49" s="1412" t="n"/>
      <c r="BJ49" s="1410" t="n"/>
      <c r="BK49" s="871" t="inlineStr">
        <is>
          <t>Х</t>
        </is>
      </c>
      <c r="BL49" s="1412" t="n"/>
      <c r="BM49" s="1412" t="n"/>
      <c r="BN49" s="1412" t="n"/>
      <c r="BO49" s="1412" t="n"/>
      <c r="BP49" s="1412" t="n"/>
      <c r="BQ49" s="1412" t="n"/>
      <c r="BR49" s="1412" t="n"/>
      <c r="BS49" s="1412" t="n"/>
      <c r="BT49" s="1412" t="n"/>
      <c r="BU49" s="1412" t="n"/>
      <c r="BV49" s="1412" t="n"/>
      <c r="BW49" s="1412" t="n"/>
      <c r="BX49" s="1412" t="n"/>
      <c r="BY49" s="1412" t="n"/>
      <c r="BZ49" s="1412" t="n"/>
      <c r="CA49" s="1412" t="n"/>
      <c r="CB49" s="1410" t="n"/>
      <c r="CC49" s="871" t="inlineStr">
        <is>
          <t>Х</t>
        </is>
      </c>
      <c r="CD49" s="1412" t="n"/>
      <c r="CE49" s="1412" t="n"/>
      <c r="CF49" s="1412" t="n"/>
      <c r="CG49" s="1412" t="n"/>
      <c r="CH49" s="1412" t="n"/>
      <c r="CI49" s="1412" t="n"/>
      <c r="CJ49" s="1412" t="n"/>
      <c r="CK49" s="1412" t="n"/>
      <c r="CL49" s="1412" t="n"/>
      <c r="CM49" s="1412" t="n"/>
      <c r="CN49" s="1412" t="n"/>
      <c r="CO49" s="1412" t="n"/>
      <c r="CP49" s="1412" t="n"/>
      <c r="CQ49" s="1412" t="n"/>
      <c r="CR49" s="1412" t="n"/>
      <c r="CS49" s="1412" t="n"/>
      <c r="CT49" s="1410" t="n"/>
      <c r="CU49" s="938" t="inlineStr">
        <is>
          <t>Х</t>
        </is>
      </c>
      <c r="CV49" s="1412" t="n"/>
      <c r="CW49" s="1412" t="n"/>
      <c r="CX49" s="1412" t="n"/>
      <c r="CY49" s="1412" t="n"/>
      <c r="CZ49" s="1412" t="n"/>
      <c r="DA49" s="1412" t="n"/>
      <c r="DB49" s="1412" t="n"/>
      <c r="DC49" s="1412" t="n"/>
      <c r="DD49" s="1412" t="n"/>
      <c r="DE49" s="1412" t="n"/>
      <c r="DF49" s="1412" t="n"/>
      <c r="DG49" s="1412" t="n"/>
      <c r="DH49" s="1412" t="n"/>
      <c r="DI49" s="1412" t="n"/>
      <c r="DJ49" s="1410" t="n"/>
      <c r="DK49" s="871" t="inlineStr">
        <is>
          <t>Х</t>
        </is>
      </c>
      <c r="DL49" s="1412" t="n"/>
      <c r="DM49" s="1412" t="n"/>
      <c r="DN49" s="1412" t="n"/>
      <c r="DO49" s="1412" t="n"/>
      <c r="DP49" s="1412" t="n"/>
      <c r="DQ49" s="1412" t="n"/>
      <c r="DR49" s="1412" t="n"/>
      <c r="DS49" s="1412" t="n"/>
      <c r="DT49" s="1412" t="n"/>
      <c r="DU49" s="1412" t="n"/>
      <c r="DV49" s="1412" t="n"/>
      <c r="DW49" s="1412" t="n"/>
      <c r="DX49" s="1412" t="n"/>
      <c r="DY49" s="1412" t="n"/>
      <c r="DZ49" s="1412" t="n"/>
      <c r="EA49" s="1412" t="n"/>
      <c r="EB49" s="1410" t="n"/>
      <c r="EC49" s="938" t="inlineStr">
        <is>
          <t>Х</t>
        </is>
      </c>
      <c r="ED49" s="1412" t="n"/>
      <c r="EE49" s="1412" t="n"/>
      <c r="EF49" s="1412" t="n"/>
      <c r="EG49" s="1412" t="n"/>
      <c r="EH49" s="1412" t="n"/>
      <c r="EI49" s="1412" t="n"/>
      <c r="EJ49" s="1412" t="n"/>
      <c r="EK49" s="1412" t="n"/>
      <c r="EL49" s="1412" t="n"/>
      <c r="EM49" s="1412" t="n"/>
      <c r="EN49" s="1412" t="n"/>
      <c r="EO49" s="1412" t="n"/>
      <c r="EP49" s="1412" t="n"/>
      <c r="EQ49" s="1412" t="n"/>
      <c r="ER49" s="1412" t="n"/>
      <c r="ES49" s="1410" t="n"/>
      <c r="ET49" s="906" t="inlineStr">
        <is>
          <t>Х</t>
        </is>
      </c>
      <c r="EU49" s="1412" t="n"/>
      <c r="EV49" s="1412" t="n"/>
      <c r="EW49" s="1412" t="n"/>
      <c r="EX49" s="1412" t="n"/>
      <c r="EY49" s="1412" t="n"/>
      <c r="EZ49" s="1412" t="n"/>
      <c r="FA49" s="1412" t="n"/>
      <c r="FB49" s="1412" t="n"/>
      <c r="FC49" s="1412" t="n"/>
      <c r="FD49" s="1412" t="n"/>
      <c r="FE49" s="1410" t="n"/>
      <c r="FF49" s="906" t="inlineStr">
        <is>
          <t>Х</t>
        </is>
      </c>
      <c r="FG49" s="1412" t="n"/>
      <c r="FH49" s="1412" t="n"/>
      <c r="FI49" s="1412" t="n"/>
      <c r="FJ49" s="1412" t="n"/>
      <c r="FK49" s="1412" t="n"/>
      <c r="FL49" s="1412" t="n"/>
      <c r="FM49" s="1412" t="n"/>
      <c r="FN49" s="1412" t="n"/>
      <c r="FO49" s="1412" t="n"/>
      <c r="FP49" s="1412" t="n"/>
      <c r="FQ49" s="1412" t="n"/>
      <c r="FR49" s="1410" t="n"/>
      <c r="FS49" s="906" t="inlineStr">
        <is>
          <t>Х</t>
        </is>
      </c>
      <c r="FT49" s="1412" t="n"/>
      <c r="FU49" s="1412" t="n"/>
      <c r="FV49" s="1412" t="n"/>
      <c r="FW49" s="1412" t="n"/>
      <c r="FX49" s="1412" t="n"/>
      <c r="FY49" s="1412" t="n"/>
      <c r="FZ49" s="1412" t="n"/>
      <c r="GA49" s="1412" t="n"/>
      <c r="GB49" s="1412" t="n"/>
      <c r="GC49" s="1412" t="n"/>
      <c r="GD49" s="1412" t="n"/>
      <c r="GE49" s="1412" t="n"/>
      <c r="GF49" s="1412" t="n"/>
      <c r="GG49" s="1410" t="n"/>
      <c r="GH49" s="906" t="inlineStr">
        <is>
          <t>Х</t>
        </is>
      </c>
      <c r="GI49" s="1412" t="n"/>
      <c r="GJ49" s="1412" t="n"/>
      <c r="GK49" s="1412" t="n"/>
      <c r="GL49" s="1412" t="n"/>
      <c r="GM49" s="1412" t="n"/>
      <c r="GN49" s="1412" t="n"/>
      <c r="GO49" s="1412" t="n"/>
      <c r="GP49" s="1412" t="n"/>
      <c r="GQ49" s="1412" t="n"/>
      <c r="GR49" s="1412" t="n"/>
      <c r="GS49" s="1412" t="n"/>
      <c r="GT49" s="1412" t="n"/>
      <c r="GU49" s="1412" t="n"/>
      <c r="GV49" s="1412" t="n"/>
      <c r="GW49" s="1410" t="n"/>
      <c r="GX49" s="1433" t="n"/>
      <c r="GY49" s="1412" t="n"/>
      <c r="GZ49" s="1412" t="n"/>
      <c r="HA49" s="1412" t="n"/>
      <c r="HB49" s="1412" t="n"/>
      <c r="HC49" s="1412" t="n"/>
      <c r="HD49" s="1412" t="n"/>
      <c r="HE49" s="1412" t="n"/>
      <c r="HF49" s="1412" t="n"/>
      <c r="HG49" s="1412" t="n"/>
      <c r="HH49" s="1412" t="n"/>
      <c r="HI49" s="1412" t="n"/>
      <c r="HJ49" s="1412" t="n"/>
      <c r="HK49" s="1412" t="n"/>
      <c r="HL49" s="1410" t="n"/>
      <c r="HM49" s="906" t="n"/>
      <c r="HN49" s="1412" t="n"/>
      <c r="HO49" s="1412" t="n"/>
      <c r="HP49" s="1412" t="n"/>
      <c r="HQ49" s="1412" t="n"/>
      <c r="HR49" s="1412" t="n"/>
      <c r="HS49" s="1412" t="n"/>
      <c r="HT49" s="1412" t="n"/>
      <c r="HU49" s="1412" t="n"/>
      <c r="HV49" s="1412" t="n"/>
      <c r="HW49" s="1412" t="n"/>
      <c r="HX49" s="1412" t="n"/>
      <c r="HY49" s="1412" t="n"/>
      <c r="HZ49" s="1412" t="n"/>
      <c r="IA49" s="1412" t="n"/>
      <c r="IB49" s="1410" t="n"/>
    </row>
    <row r="50" ht="14.1" customFormat="1" customHeight="1" s="1340">
      <c r="A50" s="938" t="inlineStr">
        <is>
          <t>1500</t>
        </is>
      </c>
      <c r="B50" s="1412" t="n"/>
      <c r="C50" s="1412" t="n"/>
      <c r="D50" s="1412" t="n"/>
      <c r="E50" s="1412" t="n"/>
      <c r="F50" s="1410" t="n"/>
      <c r="G50" s="920" t="inlineStr">
        <is>
          <t>Проценты по кредитам</t>
        </is>
      </c>
      <c r="H50" s="1412" t="n"/>
      <c r="I50" s="1412" t="n"/>
      <c r="J50" s="1412" t="n"/>
      <c r="K50" s="1412" t="n"/>
      <c r="L50" s="1412" t="n"/>
      <c r="M50" s="1412" t="n"/>
      <c r="N50" s="1412" t="n"/>
      <c r="O50" s="1412" t="n"/>
      <c r="P50" s="1412" t="n"/>
      <c r="Q50" s="1412" t="n"/>
      <c r="R50" s="1412" t="n"/>
      <c r="S50" s="1412" t="n"/>
      <c r="T50" s="1412" t="n"/>
      <c r="U50" s="1412" t="n"/>
      <c r="V50" s="1412" t="n"/>
      <c r="W50" s="1412" t="n"/>
      <c r="X50" s="1412" t="n"/>
      <c r="Y50" s="1412" t="n"/>
      <c r="Z50" s="1412" t="n"/>
      <c r="AA50" s="1412" t="n"/>
      <c r="AB50" s="1412" t="n"/>
      <c r="AC50" s="1412" t="n"/>
      <c r="AD50" s="1412" t="n"/>
      <c r="AE50" s="1412" t="n"/>
      <c r="AF50" s="1412" t="n"/>
      <c r="AG50" s="1412" t="n"/>
      <c r="AH50" s="1412" t="n"/>
      <c r="AI50" s="1412" t="n"/>
      <c r="AJ50" s="1412" t="n"/>
      <c r="AK50" s="1412" t="n"/>
      <c r="AL50" s="1412" t="n"/>
      <c r="AM50" s="1412" t="n"/>
      <c r="AN50" s="1412" t="n"/>
      <c r="AO50" s="1412" t="n"/>
      <c r="AP50" s="1412" t="n"/>
      <c r="AQ50" s="1412" t="n"/>
      <c r="AR50" s="1412" t="n"/>
      <c r="AS50" s="1412" t="n"/>
      <c r="AT50" s="1412" t="n"/>
      <c r="AU50" s="1412" t="n"/>
      <c r="AV50" s="1412" t="n"/>
      <c r="AW50" s="1412" t="n"/>
      <c r="AX50" s="1412" t="n"/>
      <c r="AY50" s="1412" t="n"/>
      <c r="AZ50" s="1412" t="n"/>
      <c r="BA50" s="1412" t="n"/>
      <c r="BB50" s="1412" t="n"/>
      <c r="BC50" s="1412" t="n"/>
      <c r="BD50" s="1412" t="n"/>
      <c r="BE50" s="1412" t="n"/>
      <c r="BF50" s="1412" t="n"/>
      <c r="BG50" s="1412" t="n"/>
      <c r="BH50" s="1412" t="n"/>
      <c r="BI50" s="1412" t="n"/>
      <c r="BJ50" s="1410" t="n"/>
      <c r="BK50" s="871" t="n"/>
      <c r="BL50" s="1412" t="n"/>
      <c r="BM50" s="1412" t="n"/>
      <c r="BN50" s="1412" t="n"/>
      <c r="BO50" s="1412" t="n"/>
      <c r="BP50" s="1412" t="n"/>
      <c r="BQ50" s="1412" t="n"/>
      <c r="BR50" s="1412" t="n"/>
      <c r="BS50" s="1412" t="n"/>
      <c r="BT50" s="1412" t="n"/>
      <c r="BU50" s="1412" t="n"/>
      <c r="BV50" s="1412" t="n"/>
      <c r="BW50" s="1412" t="n"/>
      <c r="BX50" s="1412" t="n"/>
      <c r="BY50" s="1412" t="n"/>
      <c r="BZ50" s="1412" t="n"/>
      <c r="CA50" s="1412" t="n"/>
      <c r="CB50" s="1410" t="n"/>
      <c r="CC50" s="871" t="n"/>
      <c r="CD50" s="1412" t="n"/>
      <c r="CE50" s="1412" t="n"/>
      <c r="CF50" s="1412" t="n"/>
      <c r="CG50" s="1412" t="n"/>
      <c r="CH50" s="1412" t="n"/>
      <c r="CI50" s="1412" t="n"/>
      <c r="CJ50" s="1412" t="n"/>
      <c r="CK50" s="1412" t="n"/>
      <c r="CL50" s="1412" t="n"/>
      <c r="CM50" s="1412" t="n"/>
      <c r="CN50" s="1412" t="n"/>
      <c r="CO50" s="1412" t="n"/>
      <c r="CP50" s="1412" t="n"/>
      <c r="CQ50" s="1412" t="n"/>
      <c r="CR50" s="1412" t="n"/>
      <c r="CS50" s="1412" t="n"/>
      <c r="CT50" s="1410" t="n"/>
      <c r="CU50" s="938" t="n"/>
      <c r="CV50" s="1412" t="n"/>
      <c r="CW50" s="1412" t="n"/>
      <c r="CX50" s="1412" t="n"/>
      <c r="CY50" s="1412" t="n"/>
      <c r="CZ50" s="1412" t="n"/>
      <c r="DA50" s="1412" t="n"/>
      <c r="DB50" s="1412" t="n"/>
      <c r="DC50" s="1412" t="n"/>
      <c r="DD50" s="1412" t="n"/>
      <c r="DE50" s="1412" t="n"/>
      <c r="DF50" s="1412" t="n"/>
      <c r="DG50" s="1412" t="n"/>
      <c r="DH50" s="1412" t="n"/>
      <c r="DI50" s="1412" t="n"/>
      <c r="DJ50" s="1410" t="n"/>
      <c r="DK50" s="871" t="n"/>
      <c r="DL50" s="1412" t="n"/>
      <c r="DM50" s="1412" t="n"/>
      <c r="DN50" s="1412" t="n"/>
      <c r="DO50" s="1412" t="n"/>
      <c r="DP50" s="1412" t="n"/>
      <c r="DQ50" s="1412" t="n"/>
      <c r="DR50" s="1412" t="n"/>
      <c r="DS50" s="1412" t="n"/>
      <c r="DT50" s="1412" t="n"/>
      <c r="DU50" s="1412" t="n"/>
      <c r="DV50" s="1412" t="n"/>
      <c r="DW50" s="1412" t="n"/>
      <c r="DX50" s="1412" t="n"/>
      <c r="DY50" s="1412" t="n"/>
      <c r="DZ50" s="1412" t="n"/>
      <c r="EA50" s="1412" t="n"/>
      <c r="EB50" s="1410" t="n"/>
      <c r="EC50" s="938" t="n"/>
      <c r="ED50" s="1412" t="n"/>
      <c r="EE50" s="1412" t="n"/>
      <c r="EF50" s="1412" t="n"/>
      <c r="EG50" s="1412" t="n"/>
      <c r="EH50" s="1412" t="n"/>
      <c r="EI50" s="1412" t="n"/>
      <c r="EJ50" s="1412" t="n"/>
      <c r="EK50" s="1412" t="n"/>
      <c r="EL50" s="1412" t="n"/>
      <c r="EM50" s="1412" t="n"/>
      <c r="EN50" s="1412" t="n"/>
      <c r="EO50" s="1412" t="n"/>
      <c r="EP50" s="1412" t="n"/>
      <c r="EQ50" s="1412" t="n"/>
      <c r="ER50" s="1412" t="n"/>
      <c r="ES50" s="1410" t="n"/>
      <c r="ET50" s="906" t="n"/>
      <c r="EU50" s="1412" t="n"/>
      <c r="EV50" s="1412" t="n"/>
      <c r="EW50" s="1412" t="n"/>
      <c r="EX50" s="1412" t="n"/>
      <c r="EY50" s="1412" t="n"/>
      <c r="EZ50" s="1412" t="n"/>
      <c r="FA50" s="1412" t="n"/>
      <c r="FB50" s="1412" t="n"/>
      <c r="FC50" s="1412" t="n"/>
      <c r="FD50" s="1412" t="n"/>
      <c r="FE50" s="1410" t="n"/>
      <c r="FF50" s="906" t="n"/>
      <c r="FG50" s="1412" t="n"/>
      <c r="FH50" s="1412" t="n"/>
      <c r="FI50" s="1412" t="n"/>
      <c r="FJ50" s="1412" t="n"/>
      <c r="FK50" s="1412" t="n"/>
      <c r="FL50" s="1412" t="n"/>
      <c r="FM50" s="1412" t="n"/>
      <c r="FN50" s="1412" t="n"/>
      <c r="FO50" s="1412" t="n"/>
      <c r="FP50" s="1412" t="n"/>
      <c r="FQ50" s="1412" t="n"/>
      <c r="FR50" s="1410" t="n"/>
      <c r="FS50" s="906" t="n"/>
      <c r="FT50" s="1412" t="n"/>
      <c r="FU50" s="1412" t="n"/>
      <c r="FV50" s="1412" t="n"/>
      <c r="FW50" s="1412" t="n"/>
      <c r="FX50" s="1412" t="n"/>
      <c r="FY50" s="1412" t="n"/>
      <c r="FZ50" s="1412" t="n"/>
      <c r="GA50" s="1412" t="n"/>
      <c r="GB50" s="1412" t="n"/>
      <c r="GC50" s="1412" t="n"/>
      <c r="GD50" s="1412" t="n"/>
      <c r="GE50" s="1412" t="n"/>
      <c r="GF50" s="1412" t="n"/>
      <c r="GG50" s="1410" t="n"/>
      <c r="GH50" s="906" t="n"/>
      <c r="GI50" s="1412" t="n"/>
      <c r="GJ50" s="1412" t="n"/>
      <c r="GK50" s="1412" t="n"/>
      <c r="GL50" s="1412" t="n"/>
      <c r="GM50" s="1412" t="n"/>
      <c r="GN50" s="1412" t="n"/>
      <c r="GO50" s="1412" t="n"/>
      <c r="GP50" s="1412" t="n"/>
      <c r="GQ50" s="1412" t="n"/>
      <c r="GR50" s="1412" t="n"/>
      <c r="GS50" s="1412" t="n"/>
      <c r="GT50" s="1412" t="n"/>
      <c r="GU50" s="1412" t="n"/>
      <c r="GV50" s="1412" t="n"/>
      <c r="GW50" s="1410" t="n"/>
      <c r="GX50" s="1433" t="n"/>
      <c r="GY50" s="1412" t="n"/>
      <c r="GZ50" s="1412" t="n"/>
      <c r="HA50" s="1412" t="n"/>
      <c r="HB50" s="1412" t="n"/>
      <c r="HC50" s="1412" t="n"/>
      <c r="HD50" s="1412" t="n"/>
      <c r="HE50" s="1412" t="n"/>
      <c r="HF50" s="1412" t="n"/>
      <c r="HG50" s="1412" t="n"/>
      <c r="HH50" s="1412" t="n"/>
      <c r="HI50" s="1412" t="n"/>
      <c r="HJ50" s="1412" t="n"/>
      <c r="HK50" s="1412" t="n"/>
      <c r="HL50" s="1410" t="n"/>
      <c r="HM50" s="906" t="n"/>
      <c r="HN50" s="1412" t="n"/>
      <c r="HO50" s="1412" t="n"/>
      <c r="HP50" s="1412" t="n"/>
      <c r="HQ50" s="1412" t="n"/>
      <c r="HR50" s="1412" t="n"/>
      <c r="HS50" s="1412" t="n"/>
      <c r="HT50" s="1412" t="n"/>
      <c r="HU50" s="1412" t="n"/>
      <c r="HV50" s="1412" t="n"/>
      <c r="HW50" s="1412" t="n"/>
      <c r="HX50" s="1412" t="n"/>
      <c r="HY50" s="1412" t="n"/>
      <c r="HZ50" s="1412" t="n"/>
      <c r="IA50" s="1412" t="n"/>
      <c r="IB50" s="1410" t="n"/>
    </row>
    <row r="51" ht="14.1" customFormat="1" customHeight="1" s="1340">
      <c r="A51" s="938" t="inlineStr">
        <is>
          <t>1600</t>
        </is>
      </c>
      <c r="B51" s="1412" t="n"/>
      <c r="C51" s="1412" t="n"/>
      <c r="D51" s="1412" t="n"/>
      <c r="E51" s="1412" t="n"/>
      <c r="F51" s="1410" t="n"/>
      <c r="G51" s="920" t="inlineStr">
        <is>
          <t>Административно-управленческие расходы</t>
        </is>
      </c>
      <c r="H51" s="1412" t="n"/>
      <c r="I51" s="1412" t="n"/>
      <c r="J51" s="1412" t="n"/>
      <c r="K51" s="1412" t="n"/>
      <c r="L51" s="1412" t="n"/>
      <c r="M51" s="1412" t="n"/>
      <c r="N51" s="1412" t="n"/>
      <c r="O51" s="1412" t="n"/>
      <c r="P51" s="1412" t="n"/>
      <c r="Q51" s="1412" t="n"/>
      <c r="R51" s="1412" t="n"/>
      <c r="S51" s="1412" t="n"/>
      <c r="T51" s="1412" t="n"/>
      <c r="U51" s="1412" t="n"/>
      <c r="V51" s="1412" t="n"/>
      <c r="W51" s="1412" t="n"/>
      <c r="X51" s="1412" t="n"/>
      <c r="Y51" s="1412" t="n"/>
      <c r="Z51" s="1412" t="n"/>
      <c r="AA51" s="1412" t="n"/>
      <c r="AB51" s="1412" t="n"/>
      <c r="AC51" s="1412" t="n"/>
      <c r="AD51" s="1412" t="n"/>
      <c r="AE51" s="1412" t="n"/>
      <c r="AF51" s="1412" t="n"/>
      <c r="AG51" s="1412" t="n"/>
      <c r="AH51" s="1412" t="n"/>
      <c r="AI51" s="1412" t="n"/>
      <c r="AJ51" s="1412" t="n"/>
      <c r="AK51" s="1412" t="n"/>
      <c r="AL51" s="1412" t="n"/>
      <c r="AM51" s="1412" t="n"/>
      <c r="AN51" s="1412" t="n"/>
      <c r="AO51" s="1412" t="n"/>
      <c r="AP51" s="1412" t="n"/>
      <c r="AQ51" s="1412" t="n"/>
      <c r="AR51" s="1412" t="n"/>
      <c r="AS51" s="1412" t="n"/>
      <c r="AT51" s="1412" t="n"/>
      <c r="AU51" s="1412" t="n"/>
      <c r="AV51" s="1412" t="n"/>
      <c r="AW51" s="1412" t="n"/>
      <c r="AX51" s="1412" t="n"/>
      <c r="AY51" s="1412" t="n"/>
      <c r="AZ51" s="1412" t="n"/>
      <c r="BA51" s="1412" t="n"/>
      <c r="BB51" s="1412" t="n"/>
      <c r="BC51" s="1412" t="n"/>
      <c r="BD51" s="1412" t="n"/>
      <c r="BE51" s="1412" t="n"/>
      <c r="BF51" s="1412" t="n"/>
      <c r="BG51" s="1412" t="n"/>
      <c r="BH51" s="1412" t="n"/>
      <c r="BI51" s="1412" t="n"/>
      <c r="BJ51" s="1410" t="n"/>
      <c r="BK51" s="871" t="n"/>
      <c r="BL51" s="1412" t="n"/>
      <c r="BM51" s="1412" t="n"/>
      <c r="BN51" s="1412" t="n"/>
      <c r="BO51" s="1412" t="n"/>
      <c r="BP51" s="1412" t="n"/>
      <c r="BQ51" s="1412" t="n"/>
      <c r="BR51" s="1412" t="n"/>
      <c r="BS51" s="1412" t="n"/>
      <c r="BT51" s="1412" t="n"/>
      <c r="BU51" s="1412" t="n"/>
      <c r="BV51" s="1412" t="n"/>
      <c r="BW51" s="1412" t="n"/>
      <c r="BX51" s="1412" t="n"/>
      <c r="BY51" s="1412" t="n"/>
      <c r="BZ51" s="1412" t="n"/>
      <c r="CA51" s="1412" t="n"/>
      <c r="CB51" s="1410" t="n"/>
      <c r="CC51" s="871" t="n"/>
      <c r="CD51" s="1412" t="n"/>
      <c r="CE51" s="1412" t="n"/>
      <c r="CF51" s="1412" t="n"/>
      <c r="CG51" s="1412" t="n"/>
      <c r="CH51" s="1412" t="n"/>
      <c r="CI51" s="1412" t="n"/>
      <c r="CJ51" s="1412" t="n"/>
      <c r="CK51" s="1412" t="n"/>
      <c r="CL51" s="1412" t="n"/>
      <c r="CM51" s="1412" t="n"/>
      <c r="CN51" s="1412" t="n"/>
      <c r="CO51" s="1412" t="n"/>
      <c r="CP51" s="1412" t="n"/>
      <c r="CQ51" s="1412" t="n"/>
      <c r="CR51" s="1412" t="n"/>
      <c r="CS51" s="1412" t="n"/>
      <c r="CT51" s="1410" t="n"/>
      <c r="CU51" s="938" t="n"/>
      <c r="CV51" s="1412" t="n"/>
      <c r="CW51" s="1412" t="n"/>
      <c r="CX51" s="1412" t="n"/>
      <c r="CY51" s="1412" t="n"/>
      <c r="CZ51" s="1412" t="n"/>
      <c r="DA51" s="1412" t="n"/>
      <c r="DB51" s="1412" t="n"/>
      <c r="DC51" s="1412" t="n"/>
      <c r="DD51" s="1412" t="n"/>
      <c r="DE51" s="1412" t="n"/>
      <c r="DF51" s="1412" t="n"/>
      <c r="DG51" s="1412" t="n"/>
      <c r="DH51" s="1412" t="n"/>
      <c r="DI51" s="1412" t="n"/>
      <c r="DJ51" s="1410" t="n"/>
      <c r="DK51" s="871" t="n"/>
      <c r="DL51" s="1412" t="n"/>
      <c r="DM51" s="1412" t="n"/>
      <c r="DN51" s="1412" t="n"/>
      <c r="DO51" s="1412" t="n"/>
      <c r="DP51" s="1412" t="n"/>
      <c r="DQ51" s="1412" t="n"/>
      <c r="DR51" s="1412" t="n"/>
      <c r="DS51" s="1412" t="n"/>
      <c r="DT51" s="1412" t="n"/>
      <c r="DU51" s="1412" t="n"/>
      <c r="DV51" s="1412" t="n"/>
      <c r="DW51" s="1412" t="n"/>
      <c r="DX51" s="1412" t="n"/>
      <c r="DY51" s="1412" t="n"/>
      <c r="DZ51" s="1412" t="n"/>
      <c r="EA51" s="1412" t="n"/>
      <c r="EB51" s="1410" t="n"/>
      <c r="EC51" s="938" t="n"/>
      <c r="ED51" s="1412" t="n"/>
      <c r="EE51" s="1412" t="n"/>
      <c r="EF51" s="1412" t="n"/>
      <c r="EG51" s="1412" t="n"/>
      <c r="EH51" s="1412" t="n"/>
      <c r="EI51" s="1412" t="n"/>
      <c r="EJ51" s="1412" t="n"/>
      <c r="EK51" s="1412" t="n"/>
      <c r="EL51" s="1412" t="n"/>
      <c r="EM51" s="1412" t="n"/>
      <c r="EN51" s="1412" t="n"/>
      <c r="EO51" s="1412" t="n"/>
      <c r="EP51" s="1412" t="n"/>
      <c r="EQ51" s="1412" t="n"/>
      <c r="ER51" s="1412" t="n"/>
      <c r="ES51" s="1410" t="n"/>
      <c r="ET51" s="906" t="n"/>
      <c r="EU51" s="1412" t="n"/>
      <c r="EV51" s="1412" t="n"/>
      <c r="EW51" s="1412" t="n"/>
      <c r="EX51" s="1412" t="n"/>
      <c r="EY51" s="1412" t="n"/>
      <c r="EZ51" s="1412" t="n"/>
      <c r="FA51" s="1412" t="n"/>
      <c r="FB51" s="1412" t="n"/>
      <c r="FC51" s="1412" t="n"/>
      <c r="FD51" s="1412" t="n"/>
      <c r="FE51" s="1410" t="n"/>
      <c r="FF51" s="906" t="n"/>
      <c r="FG51" s="1412" t="n"/>
      <c r="FH51" s="1412" t="n"/>
      <c r="FI51" s="1412" t="n"/>
      <c r="FJ51" s="1412" t="n"/>
      <c r="FK51" s="1412" t="n"/>
      <c r="FL51" s="1412" t="n"/>
      <c r="FM51" s="1412" t="n"/>
      <c r="FN51" s="1412" t="n"/>
      <c r="FO51" s="1412" t="n"/>
      <c r="FP51" s="1412" t="n"/>
      <c r="FQ51" s="1412" t="n"/>
      <c r="FR51" s="1410" t="n"/>
      <c r="FS51" s="906" t="n"/>
      <c r="FT51" s="1412" t="n"/>
      <c r="FU51" s="1412" t="n"/>
      <c r="FV51" s="1412" t="n"/>
      <c r="FW51" s="1412" t="n"/>
      <c r="FX51" s="1412" t="n"/>
      <c r="FY51" s="1412" t="n"/>
      <c r="FZ51" s="1412" t="n"/>
      <c r="GA51" s="1412" t="n"/>
      <c r="GB51" s="1412" t="n"/>
      <c r="GC51" s="1412" t="n"/>
      <c r="GD51" s="1412" t="n"/>
      <c r="GE51" s="1412" t="n"/>
      <c r="GF51" s="1412" t="n"/>
      <c r="GG51" s="1410" t="n"/>
      <c r="GH51" s="906" t="n"/>
      <c r="GI51" s="1412" t="n"/>
      <c r="GJ51" s="1412" t="n"/>
      <c r="GK51" s="1412" t="n"/>
      <c r="GL51" s="1412" t="n"/>
      <c r="GM51" s="1412" t="n"/>
      <c r="GN51" s="1412" t="n"/>
      <c r="GO51" s="1412" t="n"/>
      <c r="GP51" s="1412" t="n"/>
      <c r="GQ51" s="1412" t="n"/>
      <c r="GR51" s="1412" t="n"/>
      <c r="GS51" s="1412" t="n"/>
      <c r="GT51" s="1412" t="n"/>
      <c r="GU51" s="1412" t="n"/>
      <c r="GV51" s="1412" t="n"/>
      <c r="GW51" s="1410" t="n"/>
      <c r="GX51" s="1433" t="n"/>
      <c r="GY51" s="1412" t="n"/>
      <c r="GZ51" s="1412" t="n"/>
      <c r="HA51" s="1412" t="n"/>
      <c r="HB51" s="1412" t="n"/>
      <c r="HC51" s="1412" t="n"/>
      <c r="HD51" s="1412" t="n"/>
      <c r="HE51" s="1412" t="n"/>
      <c r="HF51" s="1412" t="n"/>
      <c r="HG51" s="1412" t="n"/>
      <c r="HH51" s="1412" t="n"/>
      <c r="HI51" s="1412" t="n"/>
      <c r="HJ51" s="1412" t="n"/>
      <c r="HK51" s="1412" t="n"/>
      <c r="HL51" s="1410" t="n"/>
      <c r="HM51" s="906" t="n"/>
      <c r="HN51" s="1412" t="n"/>
      <c r="HO51" s="1412" t="n"/>
      <c r="HP51" s="1412" t="n"/>
      <c r="HQ51" s="1412" t="n"/>
      <c r="HR51" s="1412" t="n"/>
      <c r="HS51" s="1412" t="n"/>
      <c r="HT51" s="1412" t="n"/>
      <c r="HU51" s="1412" t="n"/>
      <c r="HV51" s="1412" t="n"/>
      <c r="HW51" s="1412" t="n"/>
      <c r="HX51" s="1412" t="n"/>
      <c r="HY51" s="1412" t="n"/>
      <c r="HZ51" s="1412" t="n"/>
      <c r="IA51" s="1412" t="n"/>
      <c r="IB51" s="1410" t="n"/>
    </row>
    <row r="52" ht="12" customFormat="1" customHeight="1" s="1340">
      <c r="A52" s="938" t="inlineStr">
        <is>
          <t>1700</t>
        </is>
      </c>
      <c r="B52" s="1412" t="n"/>
      <c r="C52" s="1412" t="n"/>
      <c r="D52" s="1412" t="n"/>
      <c r="E52" s="1412" t="n"/>
      <c r="F52" s="1410" t="n"/>
      <c r="G52" s="927" t="inlineStr">
        <is>
          <t>Себестоимость продукции</t>
        </is>
      </c>
      <c r="H52" s="1412" t="n"/>
      <c r="I52" s="1412" t="n"/>
      <c r="J52" s="1412" t="n"/>
      <c r="K52" s="1412" t="n"/>
      <c r="L52" s="1412" t="n"/>
      <c r="M52" s="1412" t="n"/>
      <c r="N52" s="1412" t="n"/>
      <c r="O52" s="1412" t="n"/>
      <c r="P52" s="1412" t="n"/>
      <c r="Q52" s="1412" t="n"/>
      <c r="R52" s="1412" t="n"/>
      <c r="S52" s="1412" t="n"/>
      <c r="T52" s="1412" t="n"/>
      <c r="U52" s="1412" t="n"/>
      <c r="V52" s="1412" t="n"/>
      <c r="W52" s="1412" t="n"/>
      <c r="X52" s="1412" t="n"/>
      <c r="Y52" s="1412" t="n"/>
      <c r="Z52" s="1412" t="n"/>
      <c r="AA52" s="1412" t="n"/>
      <c r="AB52" s="1412" t="n"/>
      <c r="AC52" s="1412" t="n"/>
      <c r="AD52" s="1412" t="n"/>
      <c r="AE52" s="1412" t="n"/>
      <c r="AF52" s="1412" t="n"/>
      <c r="AG52" s="1412" t="n"/>
      <c r="AH52" s="1412" t="n"/>
      <c r="AI52" s="1412" t="n"/>
      <c r="AJ52" s="1412" t="n"/>
      <c r="AK52" s="1412" t="n"/>
      <c r="AL52" s="1412" t="n"/>
      <c r="AM52" s="1412" t="n"/>
      <c r="AN52" s="1412" t="n"/>
      <c r="AO52" s="1412" t="n"/>
      <c r="AP52" s="1412" t="n"/>
      <c r="AQ52" s="1412" t="n"/>
      <c r="AR52" s="1412" t="n"/>
      <c r="AS52" s="1412" t="n"/>
      <c r="AT52" s="1412" t="n"/>
      <c r="AU52" s="1412" t="n"/>
      <c r="AV52" s="1412" t="n"/>
      <c r="AW52" s="1412" t="n"/>
      <c r="AX52" s="1412" t="n"/>
      <c r="AY52" s="1412" t="n"/>
      <c r="AZ52" s="1412" t="n"/>
      <c r="BA52" s="1412" t="n"/>
      <c r="BB52" s="1412" t="n"/>
      <c r="BC52" s="1412" t="n"/>
      <c r="BD52" s="1412" t="n"/>
      <c r="BE52" s="1412" t="n"/>
      <c r="BF52" s="1412" t="n"/>
      <c r="BG52" s="1412" t="n"/>
      <c r="BH52" s="1412" t="n"/>
      <c r="BI52" s="1412" t="n"/>
      <c r="BJ52" s="1410" t="n"/>
      <c r="BK52" s="871" t="n"/>
      <c r="BL52" s="1412" t="n"/>
      <c r="BM52" s="1412" t="n"/>
      <c r="BN52" s="1412" t="n"/>
      <c r="BO52" s="1412" t="n"/>
      <c r="BP52" s="1412" t="n"/>
      <c r="BQ52" s="1412" t="n"/>
      <c r="BR52" s="1412" t="n"/>
      <c r="BS52" s="1412" t="n"/>
      <c r="BT52" s="1412" t="n"/>
      <c r="BU52" s="1412" t="n"/>
      <c r="BV52" s="1412" t="n"/>
      <c r="BW52" s="1412" t="n"/>
      <c r="BX52" s="1412" t="n"/>
      <c r="BY52" s="1412" t="n"/>
      <c r="BZ52" s="1412" t="n"/>
      <c r="CA52" s="1412" t="n"/>
      <c r="CB52" s="1410" t="n"/>
      <c r="CC52" s="871" t="n"/>
      <c r="CD52" s="1412" t="n"/>
      <c r="CE52" s="1412" t="n"/>
      <c r="CF52" s="1412" t="n"/>
      <c r="CG52" s="1412" t="n"/>
      <c r="CH52" s="1412" t="n"/>
      <c r="CI52" s="1412" t="n"/>
      <c r="CJ52" s="1412" t="n"/>
      <c r="CK52" s="1412" t="n"/>
      <c r="CL52" s="1412" t="n"/>
      <c r="CM52" s="1412" t="n"/>
      <c r="CN52" s="1412" t="n"/>
      <c r="CO52" s="1412" t="n"/>
      <c r="CP52" s="1412" t="n"/>
      <c r="CQ52" s="1412" t="n"/>
      <c r="CR52" s="1412" t="n"/>
      <c r="CS52" s="1412" t="n"/>
      <c r="CT52" s="1410" t="n"/>
      <c r="CU52" s="938" t="n"/>
      <c r="CV52" s="1412" t="n"/>
      <c r="CW52" s="1412" t="n"/>
      <c r="CX52" s="1412" t="n"/>
      <c r="CY52" s="1412" t="n"/>
      <c r="CZ52" s="1412" t="n"/>
      <c r="DA52" s="1412" t="n"/>
      <c r="DB52" s="1412" t="n"/>
      <c r="DC52" s="1412" t="n"/>
      <c r="DD52" s="1412" t="n"/>
      <c r="DE52" s="1412" t="n"/>
      <c r="DF52" s="1412" t="n"/>
      <c r="DG52" s="1412" t="n"/>
      <c r="DH52" s="1412" t="n"/>
      <c r="DI52" s="1412" t="n"/>
      <c r="DJ52" s="1410" t="n"/>
      <c r="DK52" s="871" t="n"/>
      <c r="DL52" s="1412" t="n"/>
      <c r="DM52" s="1412" t="n"/>
      <c r="DN52" s="1412" t="n"/>
      <c r="DO52" s="1412" t="n"/>
      <c r="DP52" s="1412" t="n"/>
      <c r="DQ52" s="1412" t="n"/>
      <c r="DR52" s="1412" t="n"/>
      <c r="DS52" s="1412" t="n"/>
      <c r="DT52" s="1412" t="n"/>
      <c r="DU52" s="1412" t="n"/>
      <c r="DV52" s="1412" t="n"/>
      <c r="DW52" s="1412" t="n"/>
      <c r="DX52" s="1412" t="n"/>
      <c r="DY52" s="1412" t="n"/>
      <c r="DZ52" s="1412" t="n"/>
      <c r="EA52" s="1412" t="n"/>
      <c r="EB52" s="1410" t="n"/>
      <c r="EC52" s="938" t="n"/>
      <c r="ED52" s="1412" t="n"/>
      <c r="EE52" s="1412" t="n"/>
      <c r="EF52" s="1412" t="n"/>
      <c r="EG52" s="1412" t="n"/>
      <c r="EH52" s="1412" t="n"/>
      <c r="EI52" s="1412" t="n"/>
      <c r="EJ52" s="1412" t="n"/>
      <c r="EK52" s="1412" t="n"/>
      <c r="EL52" s="1412" t="n"/>
      <c r="EM52" s="1412" t="n"/>
      <c r="EN52" s="1412" t="n"/>
      <c r="EO52" s="1412" t="n"/>
      <c r="EP52" s="1412" t="n"/>
      <c r="EQ52" s="1412" t="n"/>
      <c r="ER52" s="1412" t="n"/>
      <c r="ES52" s="1410" t="n"/>
      <c r="ET52" s="906" t="n"/>
      <c r="EU52" s="1412" t="n"/>
      <c r="EV52" s="1412" t="n"/>
      <c r="EW52" s="1412" t="n"/>
      <c r="EX52" s="1412" t="n"/>
      <c r="EY52" s="1412" t="n"/>
      <c r="EZ52" s="1412" t="n"/>
      <c r="FA52" s="1412" t="n"/>
      <c r="FB52" s="1412" t="n"/>
      <c r="FC52" s="1412" t="n"/>
      <c r="FD52" s="1412" t="n"/>
      <c r="FE52" s="1410" t="n"/>
      <c r="FF52" s="906" t="n"/>
      <c r="FG52" s="1412" t="n"/>
      <c r="FH52" s="1412" t="n"/>
      <c r="FI52" s="1412" t="n"/>
      <c r="FJ52" s="1412" t="n"/>
      <c r="FK52" s="1412" t="n"/>
      <c r="FL52" s="1412" t="n"/>
      <c r="FM52" s="1412" t="n"/>
      <c r="FN52" s="1412" t="n"/>
      <c r="FO52" s="1412" t="n"/>
      <c r="FP52" s="1412" t="n"/>
      <c r="FQ52" s="1412" t="n"/>
      <c r="FR52" s="1410" t="n"/>
      <c r="FS52" s="906" t="n"/>
      <c r="FT52" s="1412" t="n"/>
      <c r="FU52" s="1412" t="n"/>
      <c r="FV52" s="1412" t="n"/>
      <c r="FW52" s="1412" t="n"/>
      <c r="FX52" s="1412" t="n"/>
      <c r="FY52" s="1412" t="n"/>
      <c r="FZ52" s="1412" t="n"/>
      <c r="GA52" s="1412" t="n"/>
      <c r="GB52" s="1412" t="n"/>
      <c r="GC52" s="1412" t="n"/>
      <c r="GD52" s="1412" t="n"/>
      <c r="GE52" s="1412" t="n"/>
      <c r="GF52" s="1412" t="n"/>
      <c r="GG52" s="1410" t="n"/>
      <c r="GH52" s="906" t="n"/>
      <c r="GI52" s="1412" t="n"/>
      <c r="GJ52" s="1412" t="n"/>
      <c r="GK52" s="1412" t="n"/>
      <c r="GL52" s="1412" t="n"/>
      <c r="GM52" s="1412" t="n"/>
      <c r="GN52" s="1412" t="n"/>
      <c r="GO52" s="1412" t="n"/>
      <c r="GP52" s="1412" t="n"/>
      <c r="GQ52" s="1412" t="n"/>
      <c r="GR52" s="1412" t="n"/>
      <c r="GS52" s="1412" t="n"/>
      <c r="GT52" s="1412" t="n"/>
      <c r="GU52" s="1412" t="n"/>
      <c r="GV52" s="1412" t="n"/>
      <c r="GW52" s="1410" t="n"/>
      <c r="GX52" s="1433" t="n"/>
      <c r="GY52" s="1412" t="n"/>
      <c r="GZ52" s="1412" t="n"/>
      <c r="HA52" s="1412" t="n"/>
      <c r="HB52" s="1412" t="n"/>
      <c r="HC52" s="1412" t="n"/>
      <c r="HD52" s="1412" t="n"/>
      <c r="HE52" s="1412" t="n"/>
      <c r="HF52" s="1412" t="n"/>
      <c r="HG52" s="1412" t="n"/>
      <c r="HH52" s="1412" t="n"/>
      <c r="HI52" s="1412" t="n"/>
      <c r="HJ52" s="1412" t="n"/>
      <c r="HK52" s="1412" t="n"/>
      <c r="HL52" s="1410" t="n"/>
      <c r="HM52" s="906" t="n"/>
      <c r="HN52" s="1412" t="n"/>
      <c r="HO52" s="1412" t="n"/>
      <c r="HP52" s="1412" t="n"/>
      <c r="HQ52" s="1412" t="n"/>
      <c r="HR52" s="1412" t="n"/>
      <c r="HS52" s="1412" t="n"/>
      <c r="HT52" s="1412" t="n"/>
      <c r="HU52" s="1412" t="n"/>
      <c r="HV52" s="1412" t="n"/>
      <c r="HW52" s="1412" t="n"/>
      <c r="HX52" s="1412" t="n"/>
      <c r="HY52" s="1412" t="n"/>
      <c r="HZ52" s="1412" t="n"/>
      <c r="IA52" s="1412" t="n"/>
      <c r="IB52" s="1410" t="n"/>
    </row>
    <row r="53" ht="12" customFormat="1" customHeight="1" s="1340">
      <c r="A53" s="938" t="n"/>
      <c r="B53" s="1412" t="n"/>
      <c r="C53" s="1412" t="n"/>
      <c r="D53" s="1412" t="n"/>
      <c r="E53" s="1412" t="n"/>
      <c r="F53" s="1410" t="n"/>
      <c r="G53" s="1436" t="inlineStr">
        <is>
          <t>в том числе:</t>
        </is>
      </c>
      <c r="H53" s="1412" t="n"/>
      <c r="I53" s="1412" t="n"/>
      <c r="J53" s="1412" t="n"/>
      <c r="K53" s="1412" t="n"/>
      <c r="L53" s="1412" t="n"/>
      <c r="M53" s="1412" t="n"/>
      <c r="N53" s="1412" t="n"/>
      <c r="O53" s="1412" t="n"/>
      <c r="P53" s="1412" t="n"/>
      <c r="Q53" s="1412" t="n"/>
      <c r="R53" s="1412" t="n"/>
      <c r="S53" s="1412" t="n"/>
      <c r="T53" s="1412" t="n"/>
      <c r="U53" s="1412" t="n"/>
      <c r="V53" s="1412" t="n"/>
      <c r="W53" s="1412" t="n"/>
      <c r="X53" s="1412" t="n"/>
      <c r="Y53" s="1412" t="n"/>
      <c r="Z53" s="1412" t="n"/>
      <c r="AA53" s="1412" t="n"/>
      <c r="AB53" s="1412" t="n"/>
      <c r="AC53" s="1412" t="n"/>
      <c r="AD53" s="1412" t="n"/>
      <c r="AE53" s="1412" t="n"/>
      <c r="AF53" s="1412" t="n"/>
      <c r="AG53" s="1412" t="n"/>
      <c r="AH53" s="1412" t="n"/>
      <c r="AI53" s="1412" t="n"/>
      <c r="AJ53" s="1412" t="n"/>
      <c r="AK53" s="1412" t="n"/>
      <c r="AL53" s="1412" t="n"/>
      <c r="AM53" s="1412" t="n"/>
      <c r="AN53" s="1412" t="n"/>
      <c r="AO53" s="1412" t="n"/>
      <c r="AP53" s="1412" t="n"/>
      <c r="AQ53" s="1412" t="n"/>
      <c r="AR53" s="1412" t="n"/>
      <c r="AS53" s="1412" t="n"/>
      <c r="AT53" s="1412" t="n"/>
      <c r="AU53" s="1412" t="n"/>
      <c r="AV53" s="1412" t="n"/>
      <c r="AW53" s="1412" t="n"/>
      <c r="AX53" s="1412" t="n"/>
      <c r="AY53" s="1412" t="n"/>
      <c r="AZ53" s="1412" t="n"/>
      <c r="BA53" s="1412" t="n"/>
      <c r="BB53" s="1412" t="n"/>
      <c r="BC53" s="1412" t="n"/>
      <c r="BD53" s="1412" t="n"/>
      <c r="BE53" s="1412" t="n"/>
      <c r="BF53" s="1412" t="n"/>
      <c r="BG53" s="1412" t="n"/>
      <c r="BH53" s="1412" t="n"/>
      <c r="BI53" s="1412" t="n"/>
      <c r="BJ53" s="1410" t="n"/>
      <c r="BK53" s="871" t="n"/>
      <c r="BL53" s="1412" t="n"/>
      <c r="BM53" s="1412" t="n"/>
      <c r="BN53" s="1412" t="n"/>
      <c r="BO53" s="1412" t="n"/>
      <c r="BP53" s="1412" t="n"/>
      <c r="BQ53" s="1412" t="n"/>
      <c r="BR53" s="1412" t="n"/>
      <c r="BS53" s="1412" t="n"/>
      <c r="BT53" s="1412" t="n"/>
      <c r="BU53" s="1412" t="n"/>
      <c r="BV53" s="1412" t="n"/>
      <c r="BW53" s="1412" t="n"/>
      <c r="BX53" s="1412" t="n"/>
      <c r="BY53" s="1412" t="n"/>
      <c r="BZ53" s="1412" t="n"/>
      <c r="CA53" s="1412" t="n"/>
      <c r="CB53" s="1410" t="n"/>
      <c r="CC53" s="871" t="n"/>
      <c r="CD53" s="1412" t="n"/>
      <c r="CE53" s="1412" t="n"/>
      <c r="CF53" s="1412" t="n"/>
      <c r="CG53" s="1412" t="n"/>
      <c r="CH53" s="1412" t="n"/>
      <c r="CI53" s="1412" t="n"/>
      <c r="CJ53" s="1412" t="n"/>
      <c r="CK53" s="1412" t="n"/>
      <c r="CL53" s="1412" t="n"/>
      <c r="CM53" s="1412" t="n"/>
      <c r="CN53" s="1412" t="n"/>
      <c r="CO53" s="1412" t="n"/>
      <c r="CP53" s="1412" t="n"/>
      <c r="CQ53" s="1412" t="n"/>
      <c r="CR53" s="1412" t="n"/>
      <c r="CS53" s="1412" t="n"/>
      <c r="CT53" s="1410" t="n"/>
      <c r="CU53" s="938" t="n"/>
      <c r="CV53" s="1412" t="n"/>
      <c r="CW53" s="1412" t="n"/>
      <c r="CX53" s="1412" t="n"/>
      <c r="CY53" s="1412" t="n"/>
      <c r="CZ53" s="1412" t="n"/>
      <c r="DA53" s="1412" t="n"/>
      <c r="DB53" s="1412" t="n"/>
      <c r="DC53" s="1412" t="n"/>
      <c r="DD53" s="1412" t="n"/>
      <c r="DE53" s="1412" t="n"/>
      <c r="DF53" s="1412" t="n"/>
      <c r="DG53" s="1412" t="n"/>
      <c r="DH53" s="1412" t="n"/>
      <c r="DI53" s="1412" t="n"/>
      <c r="DJ53" s="1410" t="n"/>
      <c r="DK53" s="871" t="n"/>
      <c r="DL53" s="1412" t="n"/>
      <c r="DM53" s="1412" t="n"/>
      <c r="DN53" s="1412" t="n"/>
      <c r="DO53" s="1412" t="n"/>
      <c r="DP53" s="1412" t="n"/>
      <c r="DQ53" s="1412" t="n"/>
      <c r="DR53" s="1412" t="n"/>
      <c r="DS53" s="1412" t="n"/>
      <c r="DT53" s="1412" t="n"/>
      <c r="DU53" s="1412" t="n"/>
      <c r="DV53" s="1412" t="n"/>
      <c r="DW53" s="1412" t="n"/>
      <c r="DX53" s="1412" t="n"/>
      <c r="DY53" s="1412" t="n"/>
      <c r="DZ53" s="1412" t="n"/>
      <c r="EA53" s="1412" t="n"/>
      <c r="EB53" s="1410" t="n"/>
      <c r="EC53" s="938" t="n"/>
      <c r="ED53" s="1412" t="n"/>
      <c r="EE53" s="1412" t="n"/>
      <c r="EF53" s="1412" t="n"/>
      <c r="EG53" s="1412" t="n"/>
      <c r="EH53" s="1412" t="n"/>
      <c r="EI53" s="1412" t="n"/>
      <c r="EJ53" s="1412" t="n"/>
      <c r="EK53" s="1412" t="n"/>
      <c r="EL53" s="1412" t="n"/>
      <c r="EM53" s="1412" t="n"/>
      <c r="EN53" s="1412" t="n"/>
      <c r="EO53" s="1412" t="n"/>
      <c r="EP53" s="1412" t="n"/>
      <c r="EQ53" s="1412" t="n"/>
      <c r="ER53" s="1412" t="n"/>
      <c r="ES53" s="1410" t="n"/>
      <c r="ET53" s="906" t="n"/>
      <c r="EU53" s="1412" t="n"/>
      <c r="EV53" s="1412" t="n"/>
      <c r="EW53" s="1412" t="n"/>
      <c r="EX53" s="1412" t="n"/>
      <c r="EY53" s="1412" t="n"/>
      <c r="EZ53" s="1412" t="n"/>
      <c r="FA53" s="1412" t="n"/>
      <c r="FB53" s="1412" t="n"/>
      <c r="FC53" s="1412" t="n"/>
      <c r="FD53" s="1412" t="n"/>
      <c r="FE53" s="1410" t="n"/>
      <c r="FF53" s="906" t="n"/>
      <c r="FG53" s="1412" t="n"/>
      <c r="FH53" s="1412" t="n"/>
      <c r="FI53" s="1412" t="n"/>
      <c r="FJ53" s="1412" t="n"/>
      <c r="FK53" s="1412" t="n"/>
      <c r="FL53" s="1412" t="n"/>
      <c r="FM53" s="1412" t="n"/>
      <c r="FN53" s="1412" t="n"/>
      <c r="FO53" s="1412" t="n"/>
      <c r="FP53" s="1412" t="n"/>
      <c r="FQ53" s="1412" t="n"/>
      <c r="FR53" s="1410" t="n"/>
      <c r="FS53" s="906" t="n"/>
      <c r="FT53" s="1412" t="n"/>
      <c r="FU53" s="1412" t="n"/>
      <c r="FV53" s="1412" t="n"/>
      <c r="FW53" s="1412" t="n"/>
      <c r="FX53" s="1412" t="n"/>
      <c r="FY53" s="1412" t="n"/>
      <c r="FZ53" s="1412" t="n"/>
      <c r="GA53" s="1412" t="n"/>
      <c r="GB53" s="1412" t="n"/>
      <c r="GC53" s="1412" t="n"/>
      <c r="GD53" s="1412" t="n"/>
      <c r="GE53" s="1412" t="n"/>
      <c r="GF53" s="1412" t="n"/>
      <c r="GG53" s="1410" t="n"/>
      <c r="GH53" s="906" t="n"/>
      <c r="GI53" s="1412" t="n"/>
      <c r="GJ53" s="1412" t="n"/>
      <c r="GK53" s="1412" t="n"/>
      <c r="GL53" s="1412" t="n"/>
      <c r="GM53" s="1412" t="n"/>
      <c r="GN53" s="1412" t="n"/>
      <c r="GO53" s="1412" t="n"/>
      <c r="GP53" s="1412" t="n"/>
      <c r="GQ53" s="1412" t="n"/>
      <c r="GR53" s="1412" t="n"/>
      <c r="GS53" s="1412" t="n"/>
      <c r="GT53" s="1412" t="n"/>
      <c r="GU53" s="1412" t="n"/>
      <c r="GV53" s="1412" t="n"/>
      <c r="GW53" s="1410" t="n"/>
      <c r="GX53" s="1433" t="n"/>
      <c r="GY53" s="1412" t="n"/>
      <c r="GZ53" s="1412" t="n"/>
      <c r="HA53" s="1412" t="n"/>
      <c r="HB53" s="1412" t="n"/>
      <c r="HC53" s="1412" t="n"/>
      <c r="HD53" s="1412" t="n"/>
      <c r="HE53" s="1412" t="n"/>
      <c r="HF53" s="1412" t="n"/>
      <c r="HG53" s="1412" t="n"/>
      <c r="HH53" s="1412" t="n"/>
      <c r="HI53" s="1412" t="n"/>
      <c r="HJ53" s="1412" t="n"/>
      <c r="HK53" s="1412" t="n"/>
      <c r="HL53" s="1410" t="n"/>
      <c r="HM53" s="906" t="n"/>
      <c r="HN53" s="1412" t="n"/>
      <c r="HO53" s="1412" t="n"/>
      <c r="HP53" s="1412" t="n"/>
      <c r="HQ53" s="1412" t="n"/>
      <c r="HR53" s="1412" t="n"/>
      <c r="HS53" s="1412" t="n"/>
      <c r="HT53" s="1412" t="n"/>
      <c r="HU53" s="1412" t="n"/>
      <c r="HV53" s="1412" t="n"/>
      <c r="HW53" s="1412" t="n"/>
      <c r="HX53" s="1412" t="n"/>
      <c r="HY53" s="1412" t="n"/>
      <c r="HZ53" s="1412" t="n"/>
      <c r="IA53" s="1412" t="n"/>
      <c r="IB53" s="1410" t="n"/>
    </row>
    <row r="54" ht="12" customFormat="1" customHeight="1" s="1340">
      <c r="A54" s="938" t="n"/>
      <c r="B54" s="1412" t="n"/>
      <c r="C54" s="1412" t="n"/>
      <c r="D54" s="1412" t="n"/>
      <c r="E54" s="1412" t="n"/>
      <c r="F54" s="1410" t="n"/>
      <c r="G54" s="1436" t="inlineStr">
        <is>
          <t>привнесенные затраты</t>
        </is>
      </c>
      <c r="H54" s="1412" t="n"/>
      <c r="I54" s="1412" t="n"/>
      <c r="J54" s="1412" t="n"/>
      <c r="K54" s="1412" t="n"/>
      <c r="L54" s="1412" t="n"/>
      <c r="M54" s="1412" t="n"/>
      <c r="N54" s="1412" t="n"/>
      <c r="O54" s="1412" t="n"/>
      <c r="P54" s="1412" t="n"/>
      <c r="Q54" s="1412" t="n"/>
      <c r="R54" s="1412" t="n"/>
      <c r="S54" s="1412" t="n"/>
      <c r="T54" s="1412" t="n"/>
      <c r="U54" s="1412" t="n"/>
      <c r="V54" s="1412" t="n"/>
      <c r="W54" s="1412" t="n"/>
      <c r="X54" s="1412" t="n"/>
      <c r="Y54" s="1412" t="n"/>
      <c r="Z54" s="1412" t="n"/>
      <c r="AA54" s="1412" t="n"/>
      <c r="AB54" s="1412" t="n"/>
      <c r="AC54" s="1412" t="n"/>
      <c r="AD54" s="1412" t="n"/>
      <c r="AE54" s="1412" t="n"/>
      <c r="AF54" s="1412" t="n"/>
      <c r="AG54" s="1412" t="n"/>
      <c r="AH54" s="1412" t="n"/>
      <c r="AI54" s="1412" t="n"/>
      <c r="AJ54" s="1412" t="n"/>
      <c r="AK54" s="1412" t="n"/>
      <c r="AL54" s="1412" t="n"/>
      <c r="AM54" s="1412" t="n"/>
      <c r="AN54" s="1412" t="n"/>
      <c r="AO54" s="1412" t="n"/>
      <c r="AP54" s="1412" t="n"/>
      <c r="AQ54" s="1412" t="n"/>
      <c r="AR54" s="1412" t="n"/>
      <c r="AS54" s="1412" t="n"/>
      <c r="AT54" s="1412" t="n"/>
      <c r="AU54" s="1412" t="n"/>
      <c r="AV54" s="1412" t="n"/>
      <c r="AW54" s="1412" t="n"/>
      <c r="AX54" s="1412" t="n"/>
      <c r="AY54" s="1412" t="n"/>
      <c r="AZ54" s="1412" t="n"/>
      <c r="BA54" s="1412" t="n"/>
      <c r="BB54" s="1412" t="n"/>
      <c r="BC54" s="1412" t="n"/>
      <c r="BD54" s="1412" t="n"/>
      <c r="BE54" s="1412" t="n"/>
      <c r="BF54" s="1412" t="n"/>
      <c r="BG54" s="1412" t="n"/>
      <c r="BH54" s="1412" t="n"/>
      <c r="BI54" s="1412" t="n"/>
      <c r="BJ54" s="1410" t="n"/>
      <c r="BK54" s="871" t="n"/>
      <c r="BL54" s="1412" t="n"/>
      <c r="BM54" s="1412" t="n"/>
      <c r="BN54" s="1412" t="n"/>
      <c r="BO54" s="1412" t="n"/>
      <c r="BP54" s="1412" t="n"/>
      <c r="BQ54" s="1412" t="n"/>
      <c r="BR54" s="1412" t="n"/>
      <c r="BS54" s="1412" t="n"/>
      <c r="BT54" s="1412" t="n"/>
      <c r="BU54" s="1412" t="n"/>
      <c r="BV54" s="1412" t="n"/>
      <c r="BW54" s="1412" t="n"/>
      <c r="BX54" s="1412" t="n"/>
      <c r="BY54" s="1412" t="n"/>
      <c r="BZ54" s="1412" t="n"/>
      <c r="CA54" s="1412" t="n"/>
      <c r="CB54" s="1410" t="n"/>
      <c r="CC54" s="871" t="n"/>
      <c r="CD54" s="1412" t="n"/>
      <c r="CE54" s="1412" t="n"/>
      <c r="CF54" s="1412" t="n"/>
      <c r="CG54" s="1412" t="n"/>
      <c r="CH54" s="1412" t="n"/>
      <c r="CI54" s="1412" t="n"/>
      <c r="CJ54" s="1412" t="n"/>
      <c r="CK54" s="1412" t="n"/>
      <c r="CL54" s="1412" t="n"/>
      <c r="CM54" s="1412" t="n"/>
      <c r="CN54" s="1412" t="n"/>
      <c r="CO54" s="1412" t="n"/>
      <c r="CP54" s="1412" t="n"/>
      <c r="CQ54" s="1412" t="n"/>
      <c r="CR54" s="1412" t="n"/>
      <c r="CS54" s="1412" t="n"/>
      <c r="CT54" s="1410" t="n"/>
      <c r="CU54" s="938" t="n"/>
      <c r="CV54" s="1412" t="n"/>
      <c r="CW54" s="1412" t="n"/>
      <c r="CX54" s="1412" t="n"/>
      <c r="CY54" s="1412" t="n"/>
      <c r="CZ54" s="1412" t="n"/>
      <c r="DA54" s="1412" t="n"/>
      <c r="DB54" s="1412" t="n"/>
      <c r="DC54" s="1412" t="n"/>
      <c r="DD54" s="1412" t="n"/>
      <c r="DE54" s="1412" t="n"/>
      <c r="DF54" s="1412" t="n"/>
      <c r="DG54" s="1412" t="n"/>
      <c r="DH54" s="1412" t="n"/>
      <c r="DI54" s="1412" t="n"/>
      <c r="DJ54" s="1410" t="n"/>
      <c r="DK54" s="871" t="n"/>
      <c r="DL54" s="1412" t="n"/>
      <c r="DM54" s="1412" t="n"/>
      <c r="DN54" s="1412" t="n"/>
      <c r="DO54" s="1412" t="n"/>
      <c r="DP54" s="1412" t="n"/>
      <c r="DQ54" s="1412" t="n"/>
      <c r="DR54" s="1412" t="n"/>
      <c r="DS54" s="1412" t="n"/>
      <c r="DT54" s="1412" t="n"/>
      <c r="DU54" s="1412" t="n"/>
      <c r="DV54" s="1412" t="n"/>
      <c r="DW54" s="1412" t="n"/>
      <c r="DX54" s="1412" t="n"/>
      <c r="DY54" s="1412" t="n"/>
      <c r="DZ54" s="1412" t="n"/>
      <c r="EA54" s="1412" t="n"/>
      <c r="EB54" s="1410" t="n"/>
      <c r="EC54" s="938" t="n"/>
      <c r="ED54" s="1412" t="n"/>
      <c r="EE54" s="1412" t="n"/>
      <c r="EF54" s="1412" t="n"/>
      <c r="EG54" s="1412" t="n"/>
      <c r="EH54" s="1412" t="n"/>
      <c r="EI54" s="1412" t="n"/>
      <c r="EJ54" s="1412" t="n"/>
      <c r="EK54" s="1412" t="n"/>
      <c r="EL54" s="1412" t="n"/>
      <c r="EM54" s="1412" t="n"/>
      <c r="EN54" s="1412" t="n"/>
      <c r="EO54" s="1412" t="n"/>
      <c r="EP54" s="1412" t="n"/>
      <c r="EQ54" s="1412" t="n"/>
      <c r="ER54" s="1412" t="n"/>
      <c r="ES54" s="1410" t="n"/>
      <c r="ET54" s="906" t="n"/>
      <c r="EU54" s="1412" t="n"/>
      <c r="EV54" s="1412" t="n"/>
      <c r="EW54" s="1412" t="n"/>
      <c r="EX54" s="1412" t="n"/>
      <c r="EY54" s="1412" t="n"/>
      <c r="EZ54" s="1412" t="n"/>
      <c r="FA54" s="1412" t="n"/>
      <c r="FB54" s="1412" t="n"/>
      <c r="FC54" s="1412" t="n"/>
      <c r="FD54" s="1412" t="n"/>
      <c r="FE54" s="1410" t="n"/>
      <c r="FF54" s="906" t="n"/>
      <c r="FG54" s="1412" t="n"/>
      <c r="FH54" s="1412" t="n"/>
      <c r="FI54" s="1412" t="n"/>
      <c r="FJ54" s="1412" t="n"/>
      <c r="FK54" s="1412" t="n"/>
      <c r="FL54" s="1412" t="n"/>
      <c r="FM54" s="1412" t="n"/>
      <c r="FN54" s="1412" t="n"/>
      <c r="FO54" s="1412" t="n"/>
      <c r="FP54" s="1412" t="n"/>
      <c r="FQ54" s="1412" t="n"/>
      <c r="FR54" s="1410" t="n"/>
      <c r="FS54" s="906" t="n"/>
      <c r="FT54" s="1412" t="n"/>
      <c r="FU54" s="1412" t="n"/>
      <c r="FV54" s="1412" t="n"/>
      <c r="FW54" s="1412" t="n"/>
      <c r="FX54" s="1412" t="n"/>
      <c r="FY54" s="1412" t="n"/>
      <c r="FZ54" s="1412" t="n"/>
      <c r="GA54" s="1412" t="n"/>
      <c r="GB54" s="1412" t="n"/>
      <c r="GC54" s="1412" t="n"/>
      <c r="GD54" s="1412" t="n"/>
      <c r="GE54" s="1412" t="n"/>
      <c r="GF54" s="1412" t="n"/>
      <c r="GG54" s="1410" t="n"/>
      <c r="GH54" s="906" t="n"/>
      <c r="GI54" s="1412" t="n"/>
      <c r="GJ54" s="1412" t="n"/>
      <c r="GK54" s="1412" t="n"/>
      <c r="GL54" s="1412" t="n"/>
      <c r="GM54" s="1412" t="n"/>
      <c r="GN54" s="1412" t="n"/>
      <c r="GO54" s="1412" t="n"/>
      <c r="GP54" s="1412" t="n"/>
      <c r="GQ54" s="1412" t="n"/>
      <c r="GR54" s="1412" t="n"/>
      <c r="GS54" s="1412" t="n"/>
      <c r="GT54" s="1412" t="n"/>
      <c r="GU54" s="1412" t="n"/>
      <c r="GV54" s="1412" t="n"/>
      <c r="GW54" s="1410" t="n"/>
      <c r="GX54" s="1433" t="n"/>
      <c r="GY54" s="1412" t="n"/>
      <c r="GZ54" s="1412" t="n"/>
      <c r="HA54" s="1412" t="n"/>
      <c r="HB54" s="1412" t="n"/>
      <c r="HC54" s="1412" t="n"/>
      <c r="HD54" s="1412" t="n"/>
      <c r="HE54" s="1412" t="n"/>
      <c r="HF54" s="1412" t="n"/>
      <c r="HG54" s="1412" t="n"/>
      <c r="HH54" s="1412" t="n"/>
      <c r="HI54" s="1412" t="n"/>
      <c r="HJ54" s="1412" t="n"/>
      <c r="HK54" s="1412" t="n"/>
      <c r="HL54" s="1410" t="n"/>
      <c r="HM54" s="906" t="n"/>
      <c r="HN54" s="1412" t="n"/>
      <c r="HO54" s="1412" t="n"/>
      <c r="HP54" s="1412" t="n"/>
      <c r="HQ54" s="1412" t="n"/>
      <c r="HR54" s="1412" t="n"/>
      <c r="HS54" s="1412" t="n"/>
      <c r="HT54" s="1412" t="n"/>
      <c r="HU54" s="1412" t="n"/>
      <c r="HV54" s="1412" t="n"/>
      <c r="HW54" s="1412" t="n"/>
      <c r="HX54" s="1412" t="n"/>
      <c r="HY54" s="1412" t="n"/>
      <c r="HZ54" s="1412" t="n"/>
      <c r="IA54" s="1412" t="n"/>
      <c r="IB54" s="1410" t="n"/>
    </row>
    <row r="55" ht="12" customFormat="1" customHeight="1" s="1340">
      <c r="A55" s="938" t="n"/>
      <c r="B55" s="1412" t="n"/>
      <c r="C55" s="1412" t="n"/>
      <c r="D55" s="1412" t="n"/>
      <c r="E55" s="1412" t="n"/>
      <c r="F55" s="1410" t="n"/>
      <c r="G55" s="1436" t="inlineStr">
        <is>
          <t>собственные затраты</t>
        </is>
      </c>
      <c r="H55" s="1412" t="n"/>
      <c r="I55" s="1412" t="n"/>
      <c r="J55" s="1412" t="n"/>
      <c r="K55" s="1412" t="n"/>
      <c r="L55" s="1412" t="n"/>
      <c r="M55" s="1412" t="n"/>
      <c r="N55" s="1412" t="n"/>
      <c r="O55" s="1412" t="n"/>
      <c r="P55" s="1412" t="n"/>
      <c r="Q55" s="1412" t="n"/>
      <c r="R55" s="1412" t="n"/>
      <c r="S55" s="1412" t="n"/>
      <c r="T55" s="1412" t="n"/>
      <c r="U55" s="1412" t="n"/>
      <c r="V55" s="1412" t="n"/>
      <c r="W55" s="1412" t="n"/>
      <c r="X55" s="1412" t="n"/>
      <c r="Y55" s="1412" t="n"/>
      <c r="Z55" s="1412" t="n"/>
      <c r="AA55" s="1412" t="n"/>
      <c r="AB55" s="1412" t="n"/>
      <c r="AC55" s="1412" t="n"/>
      <c r="AD55" s="1412" t="n"/>
      <c r="AE55" s="1412" t="n"/>
      <c r="AF55" s="1412" t="n"/>
      <c r="AG55" s="1412" t="n"/>
      <c r="AH55" s="1412" t="n"/>
      <c r="AI55" s="1412" t="n"/>
      <c r="AJ55" s="1412" t="n"/>
      <c r="AK55" s="1412" t="n"/>
      <c r="AL55" s="1412" t="n"/>
      <c r="AM55" s="1412" t="n"/>
      <c r="AN55" s="1412" t="n"/>
      <c r="AO55" s="1412" t="n"/>
      <c r="AP55" s="1412" t="n"/>
      <c r="AQ55" s="1412" t="n"/>
      <c r="AR55" s="1412" t="n"/>
      <c r="AS55" s="1412" t="n"/>
      <c r="AT55" s="1412" t="n"/>
      <c r="AU55" s="1412" t="n"/>
      <c r="AV55" s="1412" t="n"/>
      <c r="AW55" s="1412" t="n"/>
      <c r="AX55" s="1412" t="n"/>
      <c r="AY55" s="1412" t="n"/>
      <c r="AZ55" s="1412" t="n"/>
      <c r="BA55" s="1412" t="n"/>
      <c r="BB55" s="1412" t="n"/>
      <c r="BC55" s="1412" t="n"/>
      <c r="BD55" s="1412" t="n"/>
      <c r="BE55" s="1412" t="n"/>
      <c r="BF55" s="1412" t="n"/>
      <c r="BG55" s="1412" t="n"/>
      <c r="BH55" s="1412" t="n"/>
      <c r="BI55" s="1412" t="n"/>
      <c r="BJ55" s="1410" t="n"/>
      <c r="BK55" s="871" t="n"/>
      <c r="BL55" s="1412" t="n"/>
      <c r="BM55" s="1412" t="n"/>
      <c r="BN55" s="1412" t="n"/>
      <c r="BO55" s="1412" t="n"/>
      <c r="BP55" s="1412" t="n"/>
      <c r="BQ55" s="1412" t="n"/>
      <c r="BR55" s="1412" t="n"/>
      <c r="BS55" s="1412" t="n"/>
      <c r="BT55" s="1412" t="n"/>
      <c r="BU55" s="1412" t="n"/>
      <c r="BV55" s="1412" t="n"/>
      <c r="BW55" s="1412" t="n"/>
      <c r="BX55" s="1412" t="n"/>
      <c r="BY55" s="1412" t="n"/>
      <c r="BZ55" s="1412" t="n"/>
      <c r="CA55" s="1412" t="n"/>
      <c r="CB55" s="1410" t="n"/>
      <c r="CC55" s="871" t="n"/>
      <c r="CD55" s="1412" t="n"/>
      <c r="CE55" s="1412" t="n"/>
      <c r="CF55" s="1412" t="n"/>
      <c r="CG55" s="1412" t="n"/>
      <c r="CH55" s="1412" t="n"/>
      <c r="CI55" s="1412" t="n"/>
      <c r="CJ55" s="1412" t="n"/>
      <c r="CK55" s="1412" t="n"/>
      <c r="CL55" s="1412" t="n"/>
      <c r="CM55" s="1412" t="n"/>
      <c r="CN55" s="1412" t="n"/>
      <c r="CO55" s="1412" t="n"/>
      <c r="CP55" s="1412" t="n"/>
      <c r="CQ55" s="1412" t="n"/>
      <c r="CR55" s="1412" t="n"/>
      <c r="CS55" s="1412" t="n"/>
      <c r="CT55" s="1410" t="n"/>
      <c r="CU55" s="938" t="n"/>
      <c r="CV55" s="1412" t="n"/>
      <c r="CW55" s="1412" t="n"/>
      <c r="CX55" s="1412" t="n"/>
      <c r="CY55" s="1412" t="n"/>
      <c r="CZ55" s="1412" t="n"/>
      <c r="DA55" s="1412" t="n"/>
      <c r="DB55" s="1412" t="n"/>
      <c r="DC55" s="1412" t="n"/>
      <c r="DD55" s="1412" t="n"/>
      <c r="DE55" s="1412" t="n"/>
      <c r="DF55" s="1412" t="n"/>
      <c r="DG55" s="1412" t="n"/>
      <c r="DH55" s="1412" t="n"/>
      <c r="DI55" s="1412" t="n"/>
      <c r="DJ55" s="1410" t="n"/>
      <c r="DK55" s="871" t="n"/>
      <c r="DL55" s="1412" t="n"/>
      <c r="DM55" s="1412" t="n"/>
      <c r="DN55" s="1412" t="n"/>
      <c r="DO55" s="1412" t="n"/>
      <c r="DP55" s="1412" t="n"/>
      <c r="DQ55" s="1412" t="n"/>
      <c r="DR55" s="1412" t="n"/>
      <c r="DS55" s="1412" t="n"/>
      <c r="DT55" s="1412" t="n"/>
      <c r="DU55" s="1412" t="n"/>
      <c r="DV55" s="1412" t="n"/>
      <c r="DW55" s="1412" t="n"/>
      <c r="DX55" s="1412" t="n"/>
      <c r="DY55" s="1412" t="n"/>
      <c r="DZ55" s="1412" t="n"/>
      <c r="EA55" s="1412" t="n"/>
      <c r="EB55" s="1410" t="n"/>
      <c r="EC55" s="938" t="n"/>
      <c r="ED55" s="1412" t="n"/>
      <c r="EE55" s="1412" t="n"/>
      <c r="EF55" s="1412" t="n"/>
      <c r="EG55" s="1412" t="n"/>
      <c r="EH55" s="1412" t="n"/>
      <c r="EI55" s="1412" t="n"/>
      <c r="EJ55" s="1412" t="n"/>
      <c r="EK55" s="1412" t="n"/>
      <c r="EL55" s="1412" t="n"/>
      <c r="EM55" s="1412" t="n"/>
      <c r="EN55" s="1412" t="n"/>
      <c r="EO55" s="1412" t="n"/>
      <c r="EP55" s="1412" t="n"/>
      <c r="EQ55" s="1412" t="n"/>
      <c r="ER55" s="1412" t="n"/>
      <c r="ES55" s="1410" t="n"/>
      <c r="ET55" s="906" t="n"/>
      <c r="EU55" s="1412" t="n"/>
      <c r="EV55" s="1412" t="n"/>
      <c r="EW55" s="1412" t="n"/>
      <c r="EX55" s="1412" t="n"/>
      <c r="EY55" s="1412" t="n"/>
      <c r="EZ55" s="1412" t="n"/>
      <c r="FA55" s="1412" t="n"/>
      <c r="FB55" s="1412" t="n"/>
      <c r="FC55" s="1412" t="n"/>
      <c r="FD55" s="1412" t="n"/>
      <c r="FE55" s="1410" t="n"/>
      <c r="FF55" s="906" t="n"/>
      <c r="FG55" s="1412" t="n"/>
      <c r="FH55" s="1412" t="n"/>
      <c r="FI55" s="1412" t="n"/>
      <c r="FJ55" s="1412" t="n"/>
      <c r="FK55" s="1412" t="n"/>
      <c r="FL55" s="1412" t="n"/>
      <c r="FM55" s="1412" t="n"/>
      <c r="FN55" s="1412" t="n"/>
      <c r="FO55" s="1412" t="n"/>
      <c r="FP55" s="1412" t="n"/>
      <c r="FQ55" s="1412" t="n"/>
      <c r="FR55" s="1410" t="n"/>
      <c r="FS55" s="906" t="n"/>
      <c r="FT55" s="1412" t="n"/>
      <c r="FU55" s="1412" t="n"/>
      <c r="FV55" s="1412" t="n"/>
      <c r="FW55" s="1412" t="n"/>
      <c r="FX55" s="1412" t="n"/>
      <c r="FY55" s="1412" t="n"/>
      <c r="FZ55" s="1412" t="n"/>
      <c r="GA55" s="1412" t="n"/>
      <c r="GB55" s="1412" t="n"/>
      <c r="GC55" s="1412" t="n"/>
      <c r="GD55" s="1412" t="n"/>
      <c r="GE55" s="1412" t="n"/>
      <c r="GF55" s="1412" t="n"/>
      <c r="GG55" s="1410" t="n"/>
      <c r="GH55" s="906" t="n"/>
      <c r="GI55" s="1412" t="n"/>
      <c r="GJ55" s="1412" t="n"/>
      <c r="GK55" s="1412" t="n"/>
      <c r="GL55" s="1412" t="n"/>
      <c r="GM55" s="1412" t="n"/>
      <c r="GN55" s="1412" t="n"/>
      <c r="GO55" s="1412" t="n"/>
      <c r="GP55" s="1412" t="n"/>
      <c r="GQ55" s="1412" t="n"/>
      <c r="GR55" s="1412" t="n"/>
      <c r="GS55" s="1412" t="n"/>
      <c r="GT55" s="1412" t="n"/>
      <c r="GU55" s="1412" t="n"/>
      <c r="GV55" s="1412" t="n"/>
      <c r="GW55" s="1410" t="n"/>
      <c r="GX55" s="1433" t="n"/>
      <c r="GY55" s="1412" t="n"/>
      <c r="GZ55" s="1412" t="n"/>
      <c r="HA55" s="1412" t="n"/>
      <c r="HB55" s="1412" t="n"/>
      <c r="HC55" s="1412" t="n"/>
      <c r="HD55" s="1412" t="n"/>
      <c r="HE55" s="1412" t="n"/>
      <c r="HF55" s="1412" t="n"/>
      <c r="HG55" s="1412" t="n"/>
      <c r="HH55" s="1412" t="n"/>
      <c r="HI55" s="1412" t="n"/>
      <c r="HJ55" s="1412" t="n"/>
      <c r="HK55" s="1412" t="n"/>
      <c r="HL55" s="1410" t="n"/>
      <c r="HM55" s="906" t="n"/>
      <c r="HN55" s="1412" t="n"/>
      <c r="HO55" s="1412" t="n"/>
      <c r="HP55" s="1412" t="n"/>
      <c r="HQ55" s="1412" t="n"/>
      <c r="HR55" s="1412" t="n"/>
      <c r="HS55" s="1412" t="n"/>
      <c r="HT55" s="1412" t="n"/>
      <c r="HU55" s="1412" t="n"/>
      <c r="HV55" s="1412" t="n"/>
      <c r="HW55" s="1412" t="n"/>
      <c r="HX55" s="1412" t="n"/>
      <c r="HY55" s="1412" t="n"/>
      <c r="HZ55" s="1412" t="n"/>
      <c r="IA55" s="1412" t="n"/>
      <c r="IB55" s="1410" t="n"/>
    </row>
    <row r="56" ht="12" customFormat="1" customHeight="1" s="1340">
      <c r="A56" s="938" t="inlineStr">
        <is>
          <t>1800</t>
        </is>
      </c>
      <c r="B56" s="1412" t="n"/>
      <c r="C56" s="1412" t="n"/>
      <c r="D56" s="1412" t="n"/>
      <c r="E56" s="1412" t="n"/>
      <c r="F56" s="1410" t="n"/>
      <c r="G56" s="920" t="inlineStr">
        <is>
          <t>Прибыль</t>
        </is>
      </c>
      <c r="H56" s="1412" t="n"/>
      <c r="I56" s="1412" t="n"/>
      <c r="J56" s="1412" t="n"/>
      <c r="K56" s="1412" t="n"/>
      <c r="L56" s="1412" t="n"/>
      <c r="M56" s="1412" t="n"/>
      <c r="N56" s="1412" t="n"/>
      <c r="O56" s="1412" t="n"/>
      <c r="P56" s="1412" t="n"/>
      <c r="Q56" s="1412" t="n"/>
      <c r="R56" s="1412" t="n"/>
      <c r="S56" s="1412" t="n"/>
      <c r="T56" s="1412" t="n"/>
      <c r="U56" s="1412" t="n"/>
      <c r="V56" s="1412" t="n"/>
      <c r="W56" s="1412" t="n"/>
      <c r="X56" s="1412" t="n"/>
      <c r="Y56" s="1412" t="n"/>
      <c r="Z56" s="1412" t="n"/>
      <c r="AA56" s="1412" t="n"/>
      <c r="AB56" s="1412" t="n"/>
      <c r="AC56" s="1412" t="n"/>
      <c r="AD56" s="1412" t="n"/>
      <c r="AE56" s="1412" t="n"/>
      <c r="AF56" s="1412" t="n"/>
      <c r="AG56" s="1412" t="n"/>
      <c r="AH56" s="1412" t="n"/>
      <c r="AI56" s="1412" t="n"/>
      <c r="AJ56" s="1412" t="n"/>
      <c r="AK56" s="1412" t="n"/>
      <c r="AL56" s="1412" t="n"/>
      <c r="AM56" s="1412" t="n"/>
      <c r="AN56" s="1412" t="n"/>
      <c r="AO56" s="1412" t="n"/>
      <c r="AP56" s="1412" t="n"/>
      <c r="AQ56" s="1412" t="n"/>
      <c r="AR56" s="1412" t="n"/>
      <c r="AS56" s="1412" t="n"/>
      <c r="AT56" s="1412" t="n"/>
      <c r="AU56" s="1412" t="n"/>
      <c r="AV56" s="1412" t="n"/>
      <c r="AW56" s="1412" t="n"/>
      <c r="AX56" s="1412" t="n"/>
      <c r="AY56" s="1412" t="n"/>
      <c r="AZ56" s="1412" t="n"/>
      <c r="BA56" s="1412" t="n"/>
      <c r="BB56" s="1412" t="n"/>
      <c r="BC56" s="1412" t="n"/>
      <c r="BD56" s="1412" t="n"/>
      <c r="BE56" s="1412" t="n"/>
      <c r="BF56" s="1412" t="n"/>
      <c r="BG56" s="1412" t="n"/>
      <c r="BH56" s="1412" t="n"/>
      <c r="BI56" s="1412" t="n"/>
      <c r="BJ56" s="1410" t="n"/>
      <c r="BK56" s="871" t="inlineStr">
        <is>
          <t>Х</t>
        </is>
      </c>
      <c r="BL56" s="1412" t="n"/>
      <c r="BM56" s="1412" t="n"/>
      <c r="BN56" s="1412" t="n"/>
      <c r="BO56" s="1412" t="n"/>
      <c r="BP56" s="1412" t="n"/>
      <c r="BQ56" s="1412" t="n"/>
      <c r="BR56" s="1412" t="n"/>
      <c r="BS56" s="1412" t="n"/>
      <c r="BT56" s="1412" t="n"/>
      <c r="BU56" s="1412" t="n"/>
      <c r="BV56" s="1412" t="n"/>
      <c r="BW56" s="1412" t="n"/>
      <c r="BX56" s="1412" t="n"/>
      <c r="BY56" s="1412" t="n"/>
      <c r="BZ56" s="1412" t="n"/>
      <c r="CA56" s="1412" t="n"/>
      <c r="CB56" s="1410" t="n"/>
      <c r="CC56" s="871" t="inlineStr">
        <is>
          <t>Х</t>
        </is>
      </c>
      <c r="CD56" s="1412" t="n"/>
      <c r="CE56" s="1412" t="n"/>
      <c r="CF56" s="1412" t="n"/>
      <c r="CG56" s="1412" t="n"/>
      <c r="CH56" s="1412" t="n"/>
      <c r="CI56" s="1412" t="n"/>
      <c r="CJ56" s="1412" t="n"/>
      <c r="CK56" s="1412" t="n"/>
      <c r="CL56" s="1412" t="n"/>
      <c r="CM56" s="1412" t="n"/>
      <c r="CN56" s="1412" t="n"/>
      <c r="CO56" s="1412" t="n"/>
      <c r="CP56" s="1412" t="n"/>
      <c r="CQ56" s="1412" t="n"/>
      <c r="CR56" s="1412" t="n"/>
      <c r="CS56" s="1412" t="n"/>
      <c r="CT56" s="1410" t="n"/>
      <c r="CU56" s="938" t="inlineStr">
        <is>
          <t>Х</t>
        </is>
      </c>
      <c r="CV56" s="1412" t="n"/>
      <c r="CW56" s="1412" t="n"/>
      <c r="CX56" s="1412" t="n"/>
      <c r="CY56" s="1412" t="n"/>
      <c r="CZ56" s="1412" t="n"/>
      <c r="DA56" s="1412" t="n"/>
      <c r="DB56" s="1412" t="n"/>
      <c r="DC56" s="1412" t="n"/>
      <c r="DD56" s="1412" t="n"/>
      <c r="DE56" s="1412" t="n"/>
      <c r="DF56" s="1412" t="n"/>
      <c r="DG56" s="1412" t="n"/>
      <c r="DH56" s="1412" t="n"/>
      <c r="DI56" s="1412" t="n"/>
      <c r="DJ56" s="1410" t="n"/>
      <c r="DK56" s="871" t="inlineStr">
        <is>
          <t>Х</t>
        </is>
      </c>
      <c r="DL56" s="1412" t="n"/>
      <c r="DM56" s="1412" t="n"/>
      <c r="DN56" s="1412" t="n"/>
      <c r="DO56" s="1412" t="n"/>
      <c r="DP56" s="1412" t="n"/>
      <c r="DQ56" s="1412" t="n"/>
      <c r="DR56" s="1412" t="n"/>
      <c r="DS56" s="1412" t="n"/>
      <c r="DT56" s="1412" t="n"/>
      <c r="DU56" s="1412" t="n"/>
      <c r="DV56" s="1412" t="n"/>
      <c r="DW56" s="1412" t="n"/>
      <c r="DX56" s="1412" t="n"/>
      <c r="DY56" s="1412" t="n"/>
      <c r="DZ56" s="1412" t="n"/>
      <c r="EA56" s="1412" t="n"/>
      <c r="EB56" s="1410" t="n"/>
      <c r="EC56" s="938" t="inlineStr">
        <is>
          <t>Х</t>
        </is>
      </c>
      <c r="ED56" s="1412" t="n"/>
      <c r="EE56" s="1412" t="n"/>
      <c r="EF56" s="1412" t="n"/>
      <c r="EG56" s="1412" t="n"/>
      <c r="EH56" s="1412" t="n"/>
      <c r="EI56" s="1412" t="n"/>
      <c r="EJ56" s="1412" t="n"/>
      <c r="EK56" s="1412" t="n"/>
      <c r="EL56" s="1412" t="n"/>
      <c r="EM56" s="1412" t="n"/>
      <c r="EN56" s="1412" t="n"/>
      <c r="EO56" s="1412" t="n"/>
      <c r="EP56" s="1412" t="n"/>
      <c r="EQ56" s="1412" t="n"/>
      <c r="ER56" s="1412" t="n"/>
      <c r="ES56" s="1410" t="n"/>
      <c r="ET56" s="906" t="inlineStr">
        <is>
          <t>Х</t>
        </is>
      </c>
      <c r="EU56" s="1412" t="n"/>
      <c r="EV56" s="1412" t="n"/>
      <c r="EW56" s="1412" t="n"/>
      <c r="EX56" s="1412" t="n"/>
      <c r="EY56" s="1412" t="n"/>
      <c r="EZ56" s="1412" t="n"/>
      <c r="FA56" s="1412" t="n"/>
      <c r="FB56" s="1412" t="n"/>
      <c r="FC56" s="1412" t="n"/>
      <c r="FD56" s="1412" t="n"/>
      <c r="FE56" s="1410" t="n"/>
      <c r="FF56" s="906" t="inlineStr">
        <is>
          <t>Х</t>
        </is>
      </c>
      <c r="FG56" s="1412" t="n"/>
      <c r="FH56" s="1412" t="n"/>
      <c r="FI56" s="1412" t="n"/>
      <c r="FJ56" s="1412" t="n"/>
      <c r="FK56" s="1412" t="n"/>
      <c r="FL56" s="1412" t="n"/>
      <c r="FM56" s="1412" t="n"/>
      <c r="FN56" s="1412" t="n"/>
      <c r="FO56" s="1412" t="n"/>
      <c r="FP56" s="1412" t="n"/>
      <c r="FQ56" s="1412" t="n"/>
      <c r="FR56" s="1410" t="n"/>
      <c r="FS56" s="906" t="inlineStr">
        <is>
          <t>Х</t>
        </is>
      </c>
      <c r="FT56" s="1412" t="n"/>
      <c r="FU56" s="1412" t="n"/>
      <c r="FV56" s="1412" t="n"/>
      <c r="FW56" s="1412" t="n"/>
      <c r="FX56" s="1412" t="n"/>
      <c r="FY56" s="1412" t="n"/>
      <c r="FZ56" s="1412" t="n"/>
      <c r="GA56" s="1412" t="n"/>
      <c r="GB56" s="1412" t="n"/>
      <c r="GC56" s="1412" t="n"/>
      <c r="GD56" s="1412" t="n"/>
      <c r="GE56" s="1412" t="n"/>
      <c r="GF56" s="1412" t="n"/>
      <c r="GG56" s="1410" t="n"/>
      <c r="GH56" s="906" t="inlineStr">
        <is>
          <t>Х</t>
        </is>
      </c>
      <c r="GI56" s="1412" t="n"/>
      <c r="GJ56" s="1412" t="n"/>
      <c r="GK56" s="1412" t="n"/>
      <c r="GL56" s="1412" t="n"/>
      <c r="GM56" s="1412" t="n"/>
      <c r="GN56" s="1412" t="n"/>
      <c r="GO56" s="1412" t="n"/>
      <c r="GP56" s="1412" t="n"/>
      <c r="GQ56" s="1412" t="n"/>
      <c r="GR56" s="1412" t="n"/>
      <c r="GS56" s="1412" t="n"/>
      <c r="GT56" s="1412" t="n"/>
      <c r="GU56" s="1412" t="n"/>
      <c r="GV56" s="1412" t="n"/>
      <c r="GW56" s="1410" t="n"/>
      <c r="GX56" s="1433" t="n"/>
      <c r="GY56" s="1412" t="n"/>
      <c r="GZ56" s="1412" t="n"/>
      <c r="HA56" s="1412" t="n"/>
      <c r="HB56" s="1412" t="n"/>
      <c r="HC56" s="1412" t="n"/>
      <c r="HD56" s="1412" t="n"/>
      <c r="HE56" s="1412" t="n"/>
      <c r="HF56" s="1412" t="n"/>
      <c r="HG56" s="1412" t="n"/>
      <c r="HH56" s="1412" t="n"/>
      <c r="HI56" s="1412" t="n"/>
      <c r="HJ56" s="1412" t="n"/>
      <c r="HK56" s="1412" t="n"/>
      <c r="HL56" s="1410" t="n"/>
      <c r="HM56" s="906" t="n"/>
      <c r="HN56" s="1412" t="n"/>
      <c r="HO56" s="1412" t="n"/>
      <c r="HP56" s="1412" t="n"/>
      <c r="HQ56" s="1412" t="n"/>
      <c r="HR56" s="1412" t="n"/>
      <c r="HS56" s="1412" t="n"/>
      <c r="HT56" s="1412" t="n"/>
      <c r="HU56" s="1412" t="n"/>
      <c r="HV56" s="1412" t="n"/>
      <c r="HW56" s="1412" t="n"/>
      <c r="HX56" s="1412" t="n"/>
      <c r="HY56" s="1412" t="n"/>
      <c r="HZ56" s="1412" t="n"/>
      <c r="IA56" s="1412" t="n"/>
      <c r="IB56" s="1410" t="n"/>
    </row>
    <row r="57" ht="12" customFormat="1" customHeight="1" s="1340">
      <c r="A57" s="938" t="inlineStr">
        <is>
          <t>1900</t>
        </is>
      </c>
      <c r="B57" s="1412" t="n"/>
      <c r="C57" s="1412" t="n"/>
      <c r="D57" s="1412" t="n"/>
      <c r="E57" s="1412" t="n"/>
      <c r="F57" s="1410" t="n"/>
      <c r="G57" s="927" t="inlineStr">
        <is>
          <t>Цена продукции (без НДС)</t>
        </is>
      </c>
      <c r="H57" s="1412" t="n"/>
      <c r="I57" s="1412" t="n"/>
      <c r="J57" s="1412" t="n"/>
      <c r="K57" s="1412" t="n"/>
      <c r="L57" s="1412" t="n"/>
      <c r="M57" s="1412" t="n"/>
      <c r="N57" s="1412" t="n"/>
      <c r="O57" s="1412" t="n"/>
      <c r="P57" s="1412" t="n"/>
      <c r="Q57" s="1412" t="n"/>
      <c r="R57" s="1412" t="n"/>
      <c r="S57" s="1412" t="n"/>
      <c r="T57" s="1412" t="n"/>
      <c r="U57" s="1412" t="n"/>
      <c r="V57" s="1412" t="n"/>
      <c r="W57" s="1412" t="n"/>
      <c r="X57" s="1412" t="n"/>
      <c r="Y57" s="1412" t="n"/>
      <c r="Z57" s="1412" t="n"/>
      <c r="AA57" s="1412" t="n"/>
      <c r="AB57" s="1412" t="n"/>
      <c r="AC57" s="1412" t="n"/>
      <c r="AD57" s="1412" t="n"/>
      <c r="AE57" s="1412" t="n"/>
      <c r="AF57" s="1412" t="n"/>
      <c r="AG57" s="1412" t="n"/>
      <c r="AH57" s="1412" t="n"/>
      <c r="AI57" s="1412" t="n"/>
      <c r="AJ57" s="1412" t="n"/>
      <c r="AK57" s="1412" t="n"/>
      <c r="AL57" s="1412" t="n"/>
      <c r="AM57" s="1412" t="n"/>
      <c r="AN57" s="1412" t="n"/>
      <c r="AO57" s="1412" t="n"/>
      <c r="AP57" s="1412" t="n"/>
      <c r="AQ57" s="1412" t="n"/>
      <c r="AR57" s="1412" t="n"/>
      <c r="AS57" s="1412" t="n"/>
      <c r="AT57" s="1412" t="n"/>
      <c r="AU57" s="1412" t="n"/>
      <c r="AV57" s="1412" t="n"/>
      <c r="AW57" s="1412" t="n"/>
      <c r="AX57" s="1412" t="n"/>
      <c r="AY57" s="1412" t="n"/>
      <c r="AZ57" s="1412" t="n"/>
      <c r="BA57" s="1412" t="n"/>
      <c r="BB57" s="1412" t="n"/>
      <c r="BC57" s="1412" t="n"/>
      <c r="BD57" s="1412" t="n"/>
      <c r="BE57" s="1412" t="n"/>
      <c r="BF57" s="1412" t="n"/>
      <c r="BG57" s="1412" t="n"/>
      <c r="BH57" s="1412" t="n"/>
      <c r="BI57" s="1412" t="n"/>
      <c r="BJ57" s="1410" t="n"/>
      <c r="BK57" s="1438" t="n"/>
      <c r="BL57" s="1416" t="n"/>
      <c r="BM57" s="1416" t="n"/>
      <c r="BN57" s="1416" t="n"/>
      <c r="BO57" s="1416" t="n"/>
      <c r="BP57" s="1416" t="n"/>
      <c r="BQ57" s="1416" t="n"/>
      <c r="BR57" s="1416" t="n"/>
      <c r="BS57" s="1416" t="n"/>
      <c r="BT57" s="1416" t="n"/>
      <c r="BU57" s="1416" t="n"/>
      <c r="BV57" s="1416" t="n"/>
      <c r="BW57" s="1416" t="n"/>
      <c r="BX57" s="1416" t="n"/>
      <c r="BY57" s="1416" t="n"/>
      <c r="BZ57" s="1416" t="n"/>
      <c r="CA57" s="1416" t="n"/>
      <c r="CB57" s="1417" t="n"/>
      <c r="CC57" s="1438" t="n"/>
      <c r="CD57" s="1416" t="n"/>
      <c r="CE57" s="1416" t="n"/>
      <c r="CF57" s="1416" t="n"/>
      <c r="CG57" s="1416" t="n"/>
      <c r="CH57" s="1416" t="n"/>
      <c r="CI57" s="1416" t="n"/>
      <c r="CJ57" s="1416" t="n"/>
      <c r="CK57" s="1416" t="n"/>
      <c r="CL57" s="1416" t="n"/>
      <c r="CM57" s="1416" t="n"/>
      <c r="CN57" s="1416" t="n"/>
      <c r="CO57" s="1416" t="n"/>
      <c r="CP57" s="1416" t="n"/>
      <c r="CQ57" s="1416" t="n"/>
      <c r="CR57" s="1416" t="n"/>
      <c r="CS57" s="1416" t="n"/>
      <c r="CT57" s="1417" t="n"/>
      <c r="CU57" s="1439" t="n"/>
      <c r="CV57" s="1416" t="n"/>
      <c r="CW57" s="1416" t="n"/>
      <c r="CX57" s="1416" t="n"/>
      <c r="CY57" s="1416" t="n"/>
      <c r="CZ57" s="1416" t="n"/>
      <c r="DA57" s="1416" t="n"/>
      <c r="DB57" s="1416" t="n"/>
      <c r="DC57" s="1416" t="n"/>
      <c r="DD57" s="1416" t="n"/>
      <c r="DE57" s="1416" t="n"/>
      <c r="DF57" s="1416" t="n"/>
      <c r="DG57" s="1416" t="n"/>
      <c r="DH57" s="1416" t="n"/>
      <c r="DI57" s="1416" t="n"/>
      <c r="DJ57" s="1417" t="n"/>
      <c r="DK57" s="1438" t="n"/>
      <c r="DL57" s="1416" t="n"/>
      <c r="DM57" s="1416" t="n"/>
      <c r="DN57" s="1416" t="n"/>
      <c r="DO57" s="1416" t="n"/>
      <c r="DP57" s="1416" t="n"/>
      <c r="DQ57" s="1416" t="n"/>
      <c r="DR57" s="1416" t="n"/>
      <c r="DS57" s="1416" t="n"/>
      <c r="DT57" s="1416" t="n"/>
      <c r="DU57" s="1416" t="n"/>
      <c r="DV57" s="1416" t="n"/>
      <c r="DW57" s="1416" t="n"/>
      <c r="DX57" s="1416" t="n"/>
      <c r="DY57" s="1416" t="n"/>
      <c r="DZ57" s="1416" t="n"/>
      <c r="EA57" s="1416" t="n"/>
      <c r="EB57" s="1417" t="n"/>
      <c r="EC57" s="1439" t="n"/>
      <c r="ED57" s="1416" t="n"/>
      <c r="EE57" s="1416" t="n"/>
      <c r="EF57" s="1416" t="n"/>
      <c r="EG57" s="1416" t="n"/>
      <c r="EH57" s="1416" t="n"/>
      <c r="EI57" s="1416" t="n"/>
      <c r="EJ57" s="1416" t="n"/>
      <c r="EK57" s="1416" t="n"/>
      <c r="EL57" s="1416" t="n"/>
      <c r="EM57" s="1416" t="n"/>
      <c r="EN57" s="1416" t="n"/>
      <c r="EO57" s="1416" t="n"/>
      <c r="EP57" s="1416" t="n"/>
      <c r="EQ57" s="1416" t="n"/>
      <c r="ER57" s="1416" t="n"/>
      <c r="ES57" s="1417" t="n"/>
      <c r="ET57" s="928" t="n"/>
      <c r="EU57" s="1416" t="n"/>
      <c r="EV57" s="1416" t="n"/>
      <c r="EW57" s="1416" t="n"/>
      <c r="EX57" s="1416" t="n"/>
      <c r="EY57" s="1416" t="n"/>
      <c r="EZ57" s="1416" t="n"/>
      <c r="FA57" s="1416" t="n"/>
      <c r="FB57" s="1416" t="n"/>
      <c r="FC57" s="1416" t="n"/>
      <c r="FD57" s="1416" t="n"/>
      <c r="FE57" s="1417" t="n"/>
      <c r="FF57" s="928" t="n"/>
      <c r="FG57" s="1416" t="n"/>
      <c r="FH57" s="1416" t="n"/>
      <c r="FI57" s="1416" t="n"/>
      <c r="FJ57" s="1416" t="n"/>
      <c r="FK57" s="1416" t="n"/>
      <c r="FL57" s="1416" t="n"/>
      <c r="FM57" s="1416" t="n"/>
      <c r="FN57" s="1416" t="n"/>
      <c r="FO57" s="1416" t="n"/>
      <c r="FP57" s="1416" t="n"/>
      <c r="FQ57" s="1416" t="n"/>
      <c r="FR57" s="1417" t="n"/>
      <c r="FS57" s="928" t="n"/>
      <c r="FT57" s="1416" t="n"/>
      <c r="FU57" s="1416" t="n"/>
      <c r="FV57" s="1416" t="n"/>
      <c r="FW57" s="1416" t="n"/>
      <c r="FX57" s="1416" t="n"/>
      <c r="FY57" s="1416" t="n"/>
      <c r="FZ57" s="1416" t="n"/>
      <c r="GA57" s="1416" t="n"/>
      <c r="GB57" s="1416" t="n"/>
      <c r="GC57" s="1416" t="n"/>
      <c r="GD57" s="1416" t="n"/>
      <c r="GE57" s="1416" t="n"/>
      <c r="GF57" s="1416" t="n"/>
      <c r="GG57" s="1417" t="n"/>
      <c r="GH57" s="928" t="n"/>
      <c r="GI57" s="1416" t="n"/>
      <c r="GJ57" s="1416" t="n"/>
      <c r="GK57" s="1416" t="n"/>
      <c r="GL57" s="1416" t="n"/>
      <c r="GM57" s="1416" t="n"/>
      <c r="GN57" s="1416" t="n"/>
      <c r="GO57" s="1416" t="n"/>
      <c r="GP57" s="1416" t="n"/>
      <c r="GQ57" s="1416" t="n"/>
      <c r="GR57" s="1416" t="n"/>
      <c r="GS57" s="1416" t="n"/>
      <c r="GT57" s="1416" t="n"/>
      <c r="GU57" s="1416" t="n"/>
      <c r="GV57" s="1416" t="n"/>
      <c r="GW57" s="1417" t="n"/>
      <c r="GX57" s="1437" t="n"/>
      <c r="GY57" s="1412" t="n"/>
      <c r="GZ57" s="1412" t="n"/>
      <c r="HA57" s="1412" t="n"/>
      <c r="HB57" s="1412" t="n"/>
      <c r="HC57" s="1412" t="n"/>
      <c r="HD57" s="1412" t="n"/>
      <c r="HE57" s="1412" t="n"/>
      <c r="HF57" s="1412" t="n"/>
      <c r="HG57" s="1412" t="n"/>
      <c r="HH57" s="1412" t="n"/>
      <c r="HI57" s="1412" t="n"/>
      <c r="HJ57" s="1412" t="n"/>
      <c r="HK57" s="1412" t="n"/>
      <c r="HL57" s="1410" t="n"/>
      <c r="HM57" s="928" t="n"/>
      <c r="HN57" s="1416" t="n"/>
      <c r="HO57" s="1416" t="n"/>
      <c r="HP57" s="1416" t="n"/>
      <c r="HQ57" s="1416" t="n"/>
      <c r="HR57" s="1416" t="n"/>
      <c r="HS57" s="1416" t="n"/>
      <c r="HT57" s="1416" t="n"/>
      <c r="HU57" s="1416" t="n"/>
      <c r="HV57" s="1416" t="n"/>
      <c r="HW57" s="1416" t="n"/>
      <c r="HX57" s="1416" t="n"/>
      <c r="HY57" s="1416" t="n"/>
      <c r="HZ57" s="1416" t="n"/>
      <c r="IA57" s="1416" t="n"/>
      <c r="IB57" s="1417" t="n"/>
    </row>
    <row r="58" ht="74.25" customFormat="1" customHeight="1" s="1340">
      <c r="A58" s="907" t="n"/>
      <c r="B58" s="1416" t="n"/>
      <c r="C58" s="1416" t="n"/>
      <c r="D58" s="1416" t="n"/>
      <c r="E58" s="1416" t="n"/>
      <c r="F58" s="1416" t="n"/>
      <c r="G58" s="920" t="inlineStr">
        <is>
          <t>Трудоемкость (чел./мес.)</t>
        </is>
      </c>
      <c r="H58" s="1416" t="n"/>
      <c r="I58" s="1416" t="n"/>
      <c r="J58" s="1416" t="n"/>
      <c r="K58" s="1416" t="n"/>
      <c r="L58" s="1416" t="n"/>
      <c r="M58" s="1416" t="n"/>
      <c r="N58" s="1416" t="n"/>
      <c r="O58" s="1416" t="n"/>
      <c r="P58" s="1416" t="n"/>
      <c r="Q58" s="1416" t="n"/>
      <c r="R58" s="1416" t="n"/>
      <c r="S58" s="1416" t="n"/>
      <c r="T58" s="1416" t="n"/>
      <c r="U58" s="1416" t="n"/>
      <c r="V58" s="1416" t="n"/>
      <c r="W58" s="1416" t="n"/>
      <c r="X58" s="1416" t="n"/>
      <c r="Y58" s="1416" t="n"/>
      <c r="Z58" s="1416" t="n"/>
      <c r="AA58" s="1416" t="n"/>
      <c r="AB58" s="1416" t="n"/>
      <c r="AC58" s="1416" t="n"/>
      <c r="AD58" s="1416" t="n"/>
      <c r="AE58" s="1416" t="n"/>
      <c r="AF58" s="1416" t="n"/>
      <c r="AG58" s="1416" t="n"/>
      <c r="AH58" s="1416" t="n"/>
      <c r="AI58" s="1416" t="n"/>
      <c r="AJ58" s="1416" t="n"/>
      <c r="AK58" s="1416" t="n"/>
      <c r="AL58" s="1416" t="n"/>
      <c r="AM58" s="1416" t="n"/>
      <c r="AN58" s="1416" t="n"/>
      <c r="AO58" s="1416" t="n"/>
      <c r="AP58" s="1416" t="n"/>
      <c r="AQ58" s="1416" t="n"/>
      <c r="AR58" s="1416" t="n"/>
      <c r="AS58" s="1416" t="n"/>
      <c r="AT58" s="1416" t="n"/>
      <c r="AU58" s="1416" t="n"/>
      <c r="AV58" s="1416" t="n"/>
      <c r="AW58" s="1416" t="n"/>
      <c r="AX58" s="1416" t="n"/>
      <c r="AY58" s="1416" t="n"/>
      <c r="AZ58" s="1416" t="n"/>
      <c r="BA58" s="1416" t="n"/>
      <c r="BB58" s="1416" t="n"/>
      <c r="BC58" s="1416" t="n"/>
      <c r="BD58" s="1416" t="n"/>
      <c r="BE58" s="1416" t="n"/>
      <c r="BF58" s="1416" t="n"/>
      <c r="BG58" s="1416" t="n"/>
      <c r="BH58" s="1416" t="n"/>
      <c r="BI58" s="1416" t="n"/>
      <c r="BJ58" s="1417" t="n"/>
      <c r="BK58" s="871" t="inlineStr">
        <is>
          <t>1. Расчетная проверка работы ТНСУ в нормальных условиях эксплуатации 
2. Расчетная проверка работы ТНСУ в условиях действия ВВФ
3. Расчетная проверка работы ТНСУ после действия ВВФ</t>
        </is>
      </c>
      <c r="BL58" s="1416" t="n"/>
      <c r="BM58" s="1416" t="n"/>
      <c r="BN58" s="1416" t="n"/>
      <c r="BO58" s="1416" t="n"/>
      <c r="BP58" s="1416" t="n"/>
      <c r="BQ58" s="1416" t="n"/>
      <c r="BR58" s="1416" t="n"/>
      <c r="BS58" s="1416" t="n"/>
      <c r="BT58" s="1416" t="n"/>
      <c r="BU58" s="1416" t="n"/>
      <c r="BV58" s="1416" t="n"/>
      <c r="BW58" s="1416" t="n"/>
      <c r="BX58" s="1416" t="n"/>
      <c r="BY58" s="1416" t="n"/>
      <c r="BZ58" s="1416" t="n"/>
      <c r="CA58" s="1416" t="n"/>
      <c r="CB58" s="1417" t="n"/>
      <c r="CC58" s="871" t="inlineStr">
        <is>
          <t>АО «НИИ мортеплотехники»</t>
        </is>
      </c>
      <c r="CD58" s="1416" t="n"/>
      <c r="CE58" s="1416" t="n"/>
      <c r="CF58" s="1416" t="n"/>
      <c r="CG58" s="1416" t="n"/>
      <c r="CH58" s="1416" t="n"/>
      <c r="CI58" s="1416" t="n"/>
      <c r="CJ58" s="1416" t="n"/>
      <c r="CK58" s="1416" t="n"/>
      <c r="CL58" s="1416" t="n"/>
      <c r="CM58" s="1416" t="n"/>
      <c r="CN58" s="1416" t="n"/>
      <c r="CO58" s="1416" t="n"/>
      <c r="CP58" s="1416" t="n"/>
      <c r="CQ58" s="1416" t="n"/>
      <c r="CR58" s="1416" t="n"/>
      <c r="CS58" s="1416" t="n"/>
      <c r="CT58" s="1417" t="n"/>
      <c r="CU58" s="937" t="inlineStr">
        <is>
          <t>Договор 
№38/2022-ВТ от 22.03.2022г. 
этап №1</t>
        </is>
      </c>
      <c r="CV58" s="1416" t="n"/>
      <c r="CW58" s="1416" t="n"/>
      <c r="CX58" s="1416" t="n"/>
      <c r="CY58" s="1416" t="n"/>
      <c r="CZ58" s="1416" t="n"/>
      <c r="DA58" s="1416" t="n"/>
      <c r="DB58" s="1416" t="n"/>
      <c r="DC58" s="1416" t="n"/>
      <c r="DD58" s="1416" t="n"/>
      <c r="DE58" s="1416" t="n"/>
      <c r="DF58" s="1416" t="n"/>
      <c r="DG58" s="1416" t="n"/>
      <c r="DH58" s="1416" t="n"/>
      <c r="DI58" s="1416" t="n"/>
      <c r="DJ58" s="1417" t="n"/>
      <c r="DK58" s="871" t="inlineStr">
        <is>
          <t>ФГАОУ ВО «СПбПУ»</t>
        </is>
      </c>
      <c r="DL58" s="1416" t="n"/>
      <c r="DM58" s="1416" t="n"/>
      <c r="DN58" s="1416" t="n"/>
      <c r="DO58" s="1416" t="n"/>
      <c r="DP58" s="1416" t="n"/>
      <c r="DQ58" s="1416" t="n"/>
      <c r="DR58" s="1416" t="n"/>
      <c r="DS58" s="1416" t="n"/>
      <c r="DT58" s="1416" t="n"/>
      <c r="DU58" s="1416" t="n"/>
      <c r="DV58" s="1416" t="n"/>
      <c r="DW58" s="1416" t="n"/>
      <c r="DX58" s="1416" t="n"/>
      <c r="DY58" s="1416" t="n"/>
      <c r="DZ58" s="1416" t="n"/>
      <c r="EA58" s="1416" t="n"/>
      <c r="EB58" s="1417" t="n"/>
      <c r="EC58" s="938" t="inlineStr">
        <is>
          <t>3,50 мес.</t>
        </is>
      </c>
      <c r="ED58" s="1416" t="n"/>
      <c r="EE58" s="1416" t="n"/>
      <c r="EF58" s="1416" t="n"/>
      <c r="EG58" s="1416" t="n"/>
      <c r="EH58" s="1416" t="n"/>
      <c r="EI58" s="1416" t="n"/>
      <c r="EJ58" s="1416" t="n"/>
      <c r="EK58" s="1416" t="n"/>
      <c r="EL58" s="1416" t="n"/>
      <c r="EM58" s="1416" t="n"/>
      <c r="EN58" s="1416" t="n"/>
      <c r="EO58" s="1416" t="n"/>
      <c r="EP58" s="1416" t="n"/>
      <c r="EQ58" s="1416" t="n"/>
      <c r="ER58" s="1416" t="n"/>
      <c r="ES58" s="1417" t="n"/>
      <c r="ET58" s="906" t="n">
        <v>24.55</v>
      </c>
      <c r="EU58" s="1416" t="n"/>
      <c r="EV58" s="1416" t="n"/>
      <c r="EW58" s="1416" t="n"/>
      <c r="EX58" s="1416" t="n"/>
      <c r="EY58" s="1416" t="n"/>
      <c r="EZ58" s="1416" t="n"/>
      <c r="FA58" s="1416" t="n"/>
      <c r="FB58" s="1416" t="n"/>
      <c r="FC58" s="1416" t="n"/>
      <c r="FD58" s="1416" t="n"/>
      <c r="FE58" s="1417" t="n"/>
      <c r="FF58" s="1434">
        <f>29.25/ET58</f>
        <v/>
      </c>
      <c r="FG58" s="1416" t="n"/>
      <c r="FH58" s="1416" t="n"/>
      <c r="FI58" s="1416" t="n"/>
      <c r="FJ58" s="1416" t="n"/>
      <c r="FK58" s="1416" t="n"/>
      <c r="FL58" s="1416" t="n"/>
      <c r="FM58" s="1416" t="n"/>
      <c r="FN58" s="1416" t="n"/>
      <c r="FO58" s="1416" t="n"/>
      <c r="FP58" s="1416" t="n"/>
      <c r="FQ58" s="1416" t="n"/>
      <c r="FR58" s="1417" t="n"/>
      <c r="FS58" s="906">
        <f>ROUND(ET58*FF58,2)</f>
        <v/>
      </c>
      <c r="FT58" s="1416" t="n"/>
      <c r="FU58" s="1416" t="n"/>
      <c r="FV58" s="1416" t="n"/>
      <c r="FW58" s="1416" t="n"/>
      <c r="FX58" s="1416" t="n"/>
      <c r="FY58" s="1416" t="n"/>
      <c r="FZ58" s="1416" t="n"/>
      <c r="GA58" s="1416" t="n"/>
      <c r="GB58" s="1416" t="n"/>
      <c r="GC58" s="1416" t="n"/>
      <c r="GD58" s="1416" t="n"/>
      <c r="GE58" s="1416" t="n"/>
      <c r="GF58" s="1416" t="n"/>
      <c r="GG58" s="1417" t="n"/>
      <c r="GH58" s="906" t="inlineStr">
        <is>
          <t>Х</t>
        </is>
      </c>
      <c r="GI58" s="1416" t="n"/>
      <c r="GJ58" s="1416" t="n"/>
      <c r="GK58" s="1416" t="n"/>
      <c r="GL58" s="1416" t="n"/>
      <c r="GM58" s="1416" t="n"/>
      <c r="GN58" s="1416" t="n"/>
      <c r="GO58" s="1416" t="n"/>
      <c r="GP58" s="1416" t="n"/>
      <c r="GQ58" s="1416" t="n"/>
      <c r="GR58" s="1416" t="n"/>
      <c r="GS58" s="1416" t="n"/>
      <c r="GT58" s="1416" t="n"/>
      <c r="GU58" s="1416" t="n"/>
      <c r="GV58" s="1416" t="n"/>
      <c r="GW58" s="1417" t="n"/>
      <c r="GX58" s="906">
        <f>FS58</f>
        <v/>
      </c>
      <c r="GY58" s="1416" t="n"/>
      <c r="GZ58" s="1416" t="n"/>
      <c r="HA58" s="1416" t="n"/>
      <c r="HB58" s="1416" t="n"/>
      <c r="HC58" s="1416" t="n"/>
      <c r="HD58" s="1416" t="n"/>
      <c r="HE58" s="1416" t="n"/>
      <c r="HF58" s="1416" t="n"/>
      <c r="HG58" s="1416" t="n"/>
      <c r="HH58" s="1416" t="n"/>
      <c r="HI58" s="1416" t="n"/>
      <c r="HJ58" s="1416" t="n"/>
      <c r="HK58" s="1416" t="n"/>
      <c r="HL58" s="1417" t="n"/>
      <c r="HM58" s="906" t="n"/>
      <c r="HN58" s="1416" t="n"/>
      <c r="HO58" s="1416" t="n"/>
      <c r="HP58" s="1416" t="n"/>
      <c r="HQ58" s="1416" t="n"/>
      <c r="HR58" s="1416" t="n"/>
      <c r="HS58" s="1416" t="n"/>
      <c r="HT58" s="1416" t="n"/>
      <c r="HU58" s="1416" t="n"/>
      <c r="HV58" s="1416" t="n"/>
      <c r="HW58" s="1416" t="n"/>
      <c r="HX58" s="1416" t="n"/>
      <c r="HY58" s="1416" t="n"/>
      <c r="HZ58" s="1416" t="n"/>
      <c r="IA58" s="1416" t="n"/>
      <c r="IB58" s="1417" t="n"/>
    </row>
    <row r="59" ht="3.75" customFormat="1" customHeight="1" s="1340">
      <c r="A59" s="1414" t="n"/>
      <c r="B59" s="1409" t="n"/>
      <c r="C59" s="1409" t="n"/>
      <c r="D59" s="1409" t="n"/>
      <c r="E59" s="1409" t="n"/>
      <c r="F59" s="1409" t="n"/>
      <c r="G59" s="1414" t="n"/>
      <c r="H59" s="1409" t="n"/>
      <c r="I59" s="1409" t="n"/>
      <c r="J59" s="1409" t="n"/>
      <c r="K59" s="1409" t="n"/>
      <c r="L59" s="1409" t="n"/>
      <c r="M59" s="1409" t="n"/>
      <c r="N59" s="1409" t="n"/>
      <c r="O59" s="1409" t="n"/>
      <c r="P59" s="1409" t="n"/>
      <c r="Q59" s="1409" t="n"/>
      <c r="R59" s="1409" t="n"/>
      <c r="S59" s="1409" t="n"/>
      <c r="T59" s="1409" t="n"/>
      <c r="U59" s="1409" t="n"/>
      <c r="V59" s="1409" t="n"/>
      <c r="W59" s="1409" t="n"/>
      <c r="X59" s="1409" t="n"/>
      <c r="Y59" s="1409" t="n"/>
      <c r="Z59" s="1409" t="n"/>
      <c r="AA59" s="1409" t="n"/>
      <c r="AB59" s="1409" t="n"/>
      <c r="AC59" s="1409" t="n"/>
      <c r="AD59" s="1409" t="n"/>
      <c r="AE59" s="1409" t="n"/>
      <c r="AF59" s="1409" t="n"/>
      <c r="AG59" s="1409" t="n"/>
      <c r="AH59" s="1409" t="n"/>
      <c r="AI59" s="1409" t="n"/>
      <c r="AJ59" s="1409" t="n"/>
      <c r="AK59" s="1409" t="n"/>
      <c r="AL59" s="1409" t="n"/>
      <c r="AM59" s="1409" t="n"/>
      <c r="AN59" s="1409" t="n"/>
      <c r="AO59" s="1409" t="n"/>
      <c r="AP59" s="1409" t="n"/>
      <c r="AQ59" s="1409" t="n"/>
      <c r="AR59" s="1409" t="n"/>
      <c r="AS59" s="1409" t="n"/>
      <c r="AT59" s="1409" t="n"/>
      <c r="AU59" s="1409" t="n"/>
      <c r="AV59" s="1409" t="n"/>
      <c r="AW59" s="1409" t="n"/>
      <c r="AX59" s="1409" t="n"/>
      <c r="AY59" s="1409" t="n"/>
      <c r="AZ59" s="1409" t="n"/>
      <c r="BA59" s="1409" t="n"/>
      <c r="BB59" s="1409" t="n"/>
      <c r="BC59" s="1409" t="n"/>
      <c r="BD59" s="1409" t="n"/>
      <c r="BE59" s="1409" t="n"/>
      <c r="BF59" s="1409" t="n"/>
      <c r="BG59" s="1409" t="n"/>
      <c r="BH59" s="1409" t="n"/>
      <c r="BI59" s="1409" t="n"/>
      <c r="BJ59" s="1421" t="n"/>
      <c r="BK59" s="1414" t="n"/>
      <c r="BL59" s="1409" t="n"/>
      <c r="BM59" s="1409" t="n"/>
      <c r="BN59" s="1409" t="n"/>
      <c r="BO59" s="1409" t="n"/>
      <c r="BP59" s="1409" t="n"/>
      <c r="BQ59" s="1409" t="n"/>
      <c r="BR59" s="1409" t="n"/>
      <c r="BS59" s="1409" t="n"/>
      <c r="BT59" s="1409" t="n"/>
      <c r="BU59" s="1409" t="n"/>
      <c r="BV59" s="1409" t="n"/>
      <c r="BW59" s="1409" t="n"/>
      <c r="BX59" s="1409" t="n"/>
      <c r="BY59" s="1409" t="n"/>
      <c r="BZ59" s="1409" t="n"/>
      <c r="CA59" s="1409" t="n"/>
      <c r="CB59" s="1421" t="n"/>
      <c r="CC59" s="1414" t="n"/>
      <c r="CD59" s="1409" t="n"/>
      <c r="CE59" s="1409" t="n"/>
      <c r="CF59" s="1409" t="n"/>
      <c r="CG59" s="1409" t="n"/>
      <c r="CH59" s="1409" t="n"/>
      <c r="CI59" s="1409" t="n"/>
      <c r="CJ59" s="1409" t="n"/>
      <c r="CK59" s="1409" t="n"/>
      <c r="CL59" s="1409" t="n"/>
      <c r="CM59" s="1409" t="n"/>
      <c r="CN59" s="1409" t="n"/>
      <c r="CO59" s="1409" t="n"/>
      <c r="CP59" s="1409" t="n"/>
      <c r="CQ59" s="1409" t="n"/>
      <c r="CR59" s="1409" t="n"/>
      <c r="CS59" s="1409" t="n"/>
      <c r="CT59" s="1421" t="n"/>
      <c r="CU59" s="1414" t="n"/>
      <c r="CV59" s="1409" t="n"/>
      <c r="CW59" s="1409" t="n"/>
      <c r="CX59" s="1409" t="n"/>
      <c r="CY59" s="1409" t="n"/>
      <c r="CZ59" s="1409" t="n"/>
      <c r="DA59" s="1409" t="n"/>
      <c r="DB59" s="1409" t="n"/>
      <c r="DC59" s="1409" t="n"/>
      <c r="DD59" s="1409" t="n"/>
      <c r="DE59" s="1409" t="n"/>
      <c r="DF59" s="1409" t="n"/>
      <c r="DG59" s="1409" t="n"/>
      <c r="DH59" s="1409" t="n"/>
      <c r="DI59" s="1409" t="n"/>
      <c r="DJ59" s="1421" t="n"/>
      <c r="DK59" s="1414" t="n"/>
      <c r="DL59" s="1409" t="n"/>
      <c r="DM59" s="1409" t="n"/>
      <c r="DN59" s="1409" t="n"/>
      <c r="DO59" s="1409" t="n"/>
      <c r="DP59" s="1409" t="n"/>
      <c r="DQ59" s="1409" t="n"/>
      <c r="DR59" s="1409" t="n"/>
      <c r="DS59" s="1409" t="n"/>
      <c r="DT59" s="1409" t="n"/>
      <c r="DU59" s="1409" t="n"/>
      <c r="DV59" s="1409" t="n"/>
      <c r="DW59" s="1409" t="n"/>
      <c r="DX59" s="1409" t="n"/>
      <c r="DY59" s="1409" t="n"/>
      <c r="DZ59" s="1409" t="n"/>
      <c r="EA59" s="1409" t="n"/>
      <c r="EB59" s="1421" t="n"/>
      <c r="EC59" s="1414" t="n"/>
      <c r="ED59" s="1409" t="n"/>
      <c r="EE59" s="1409" t="n"/>
      <c r="EF59" s="1409" t="n"/>
      <c r="EG59" s="1409" t="n"/>
      <c r="EH59" s="1409" t="n"/>
      <c r="EI59" s="1409" t="n"/>
      <c r="EJ59" s="1409" t="n"/>
      <c r="EK59" s="1409" t="n"/>
      <c r="EL59" s="1409" t="n"/>
      <c r="EM59" s="1409" t="n"/>
      <c r="EN59" s="1409" t="n"/>
      <c r="EO59" s="1409" t="n"/>
      <c r="EP59" s="1409" t="n"/>
      <c r="EQ59" s="1409" t="n"/>
      <c r="ER59" s="1409" t="n"/>
      <c r="ES59" s="1421" t="n"/>
      <c r="ET59" s="1414" t="n"/>
      <c r="EU59" s="1409" t="n"/>
      <c r="EV59" s="1409" t="n"/>
      <c r="EW59" s="1409" t="n"/>
      <c r="EX59" s="1409" t="n"/>
      <c r="EY59" s="1409" t="n"/>
      <c r="EZ59" s="1409" t="n"/>
      <c r="FA59" s="1409" t="n"/>
      <c r="FB59" s="1409" t="n"/>
      <c r="FC59" s="1409" t="n"/>
      <c r="FD59" s="1409" t="n"/>
      <c r="FE59" s="1421" t="n"/>
      <c r="FF59" s="1414" t="n"/>
      <c r="FG59" s="1409" t="n"/>
      <c r="FH59" s="1409" t="n"/>
      <c r="FI59" s="1409" t="n"/>
      <c r="FJ59" s="1409" t="n"/>
      <c r="FK59" s="1409" t="n"/>
      <c r="FL59" s="1409" t="n"/>
      <c r="FM59" s="1409" t="n"/>
      <c r="FN59" s="1409" t="n"/>
      <c r="FO59" s="1409" t="n"/>
      <c r="FP59" s="1409" t="n"/>
      <c r="FQ59" s="1409" t="n"/>
      <c r="FR59" s="1421" t="n"/>
      <c r="FS59" s="1414" t="n"/>
      <c r="FT59" s="1409" t="n"/>
      <c r="FU59" s="1409" t="n"/>
      <c r="FV59" s="1409" t="n"/>
      <c r="FW59" s="1409" t="n"/>
      <c r="FX59" s="1409" t="n"/>
      <c r="FY59" s="1409" t="n"/>
      <c r="FZ59" s="1409" t="n"/>
      <c r="GA59" s="1409" t="n"/>
      <c r="GB59" s="1409" t="n"/>
      <c r="GC59" s="1409" t="n"/>
      <c r="GD59" s="1409" t="n"/>
      <c r="GE59" s="1409" t="n"/>
      <c r="GF59" s="1409" t="n"/>
      <c r="GG59" s="1421" t="n"/>
      <c r="GH59" s="1414" t="n"/>
      <c r="GI59" s="1409" t="n"/>
      <c r="GJ59" s="1409" t="n"/>
      <c r="GK59" s="1409" t="n"/>
      <c r="GL59" s="1409" t="n"/>
      <c r="GM59" s="1409" t="n"/>
      <c r="GN59" s="1409" t="n"/>
      <c r="GO59" s="1409" t="n"/>
      <c r="GP59" s="1409" t="n"/>
      <c r="GQ59" s="1409" t="n"/>
      <c r="GR59" s="1409" t="n"/>
      <c r="GS59" s="1409" t="n"/>
      <c r="GT59" s="1409" t="n"/>
      <c r="GU59" s="1409" t="n"/>
      <c r="GV59" s="1409" t="n"/>
      <c r="GW59" s="1421" t="n"/>
      <c r="GX59" s="1414" t="n"/>
      <c r="GY59" s="1409" t="n"/>
      <c r="GZ59" s="1409" t="n"/>
      <c r="HA59" s="1409" t="n"/>
      <c r="HB59" s="1409" t="n"/>
      <c r="HC59" s="1409" t="n"/>
      <c r="HD59" s="1409" t="n"/>
      <c r="HE59" s="1409" t="n"/>
      <c r="HF59" s="1409" t="n"/>
      <c r="HG59" s="1409" t="n"/>
      <c r="HH59" s="1409" t="n"/>
      <c r="HI59" s="1409" t="n"/>
      <c r="HJ59" s="1409" t="n"/>
      <c r="HK59" s="1409" t="n"/>
      <c r="HL59" s="1421" t="n"/>
      <c r="HM59" s="1414" t="n"/>
      <c r="HN59" s="1409" t="n"/>
      <c r="HO59" s="1409" t="n"/>
      <c r="HP59" s="1409" t="n"/>
      <c r="HQ59" s="1409" t="n"/>
      <c r="HR59" s="1409" t="n"/>
      <c r="HS59" s="1409" t="n"/>
      <c r="HT59" s="1409" t="n"/>
      <c r="HU59" s="1409" t="n"/>
      <c r="HV59" s="1409" t="n"/>
      <c r="HW59" s="1409" t="n"/>
      <c r="HX59" s="1409" t="n"/>
      <c r="HY59" s="1409" t="n"/>
      <c r="HZ59" s="1409" t="n"/>
      <c r="IA59" s="1409" t="n"/>
      <c r="IB59" s="1421" t="n"/>
    </row>
    <row r="60" ht="15" customFormat="1" customHeight="1" s="446"/>
    <row r="61" ht="13.5" customFormat="1" customHeight="1" s="293">
      <c r="G61" s="293" t="inlineStr">
        <is>
          <t>Расшифровка затрат на командировки</t>
        </is>
      </c>
      <c r="IB61" s="441" t="inlineStr">
        <is>
          <t>Таблица 2</t>
        </is>
      </c>
    </row>
    <row r="62" ht="16.5" customFormat="1" customHeight="1" s="446">
      <c r="A62" s="871" t="inlineStr">
        <is>
          <t>№
п/п</t>
        </is>
      </c>
      <c r="B62" s="1416" t="n"/>
      <c r="C62" s="1416" t="n"/>
      <c r="D62" s="1416" t="n"/>
      <c r="E62" s="1416" t="n"/>
      <c r="F62" s="1417" t="n"/>
      <c r="G62" s="871" t="inlineStr">
        <is>
          <t>в том числе:</t>
        </is>
      </c>
      <c r="H62" s="1416" t="n"/>
      <c r="I62" s="1416" t="n"/>
      <c r="J62" s="1416" t="n"/>
      <c r="K62" s="1416" t="n"/>
      <c r="L62" s="1416" t="n"/>
      <c r="M62" s="1416" t="n"/>
      <c r="N62" s="1416" t="n"/>
      <c r="O62" s="1416" t="n"/>
      <c r="P62" s="1416" t="n"/>
      <c r="Q62" s="1416" t="n"/>
      <c r="R62" s="1416" t="n"/>
      <c r="S62" s="1416" t="n"/>
      <c r="T62" s="1416" t="n"/>
      <c r="U62" s="1416" t="n"/>
      <c r="V62" s="1416" t="n"/>
      <c r="W62" s="1416" t="n"/>
      <c r="X62" s="1416" t="n"/>
      <c r="Y62" s="1416" t="n"/>
      <c r="Z62" s="1416" t="n"/>
      <c r="AA62" s="1416" t="n"/>
      <c r="AB62" s="1416" t="n"/>
      <c r="AC62" s="1416" t="n"/>
      <c r="AD62" s="1416" t="n"/>
      <c r="AE62" s="1416" t="n"/>
      <c r="AF62" s="1416" t="n"/>
      <c r="AG62" s="1416" t="n"/>
      <c r="AH62" s="1416" t="n"/>
      <c r="AI62" s="1416" t="n"/>
      <c r="AJ62" s="1416" t="n"/>
      <c r="AK62" s="1416" t="n"/>
      <c r="AL62" s="1416" t="n"/>
      <c r="AM62" s="1416" t="n"/>
      <c r="AN62" s="1416" t="n"/>
      <c r="AO62" s="1416" t="n"/>
      <c r="AP62" s="1416" t="n"/>
      <c r="AQ62" s="1416" t="n"/>
      <c r="AR62" s="1416" t="n"/>
      <c r="AS62" s="1416" t="n"/>
      <c r="AT62" s="1416" t="n"/>
      <c r="AU62" s="1416" t="n"/>
      <c r="AV62" s="1416" t="n"/>
      <c r="AW62" s="1416" t="n"/>
      <c r="AX62" s="1416" t="n"/>
      <c r="AY62" s="1416" t="n"/>
      <c r="AZ62" s="1416" t="n"/>
      <c r="BA62" s="1416" t="n"/>
      <c r="BB62" s="1416" t="n"/>
      <c r="BC62" s="1416" t="n"/>
      <c r="BD62" s="1416" t="n"/>
      <c r="BE62" s="1416" t="n"/>
      <c r="BF62" s="1416" t="n"/>
      <c r="BG62" s="1416" t="n"/>
      <c r="BH62" s="1416" t="n"/>
      <c r="BI62" s="1416" t="n"/>
      <c r="BJ62" s="1417" t="n"/>
      <c r="BK62" s="906" t="inlineStr">
        <is>
          <t>Данные по фактическим затратам по аналогу</t>
        </is>
      </c>
      <c r="BL62" s="1412" t="n"/>
      <c r="BM62" s="1412" t="n"/>
      <c r="BN62" s="1412" t="n"/>
      <c r="BO62" s="1412" t="n"/>
      <c r="BP62" s="1412" t="n"/>
      <c r="BQ62" s="1412" t="n"/>
      <c r="BR62" s="1412" t="n"/>
      <c r="BS62" s="1412" t="n"/>
      <c r="BT62" s="1412" t="n"/>
      <c r="BU62" s="1412" t="n"/>
      <c r="BV62" s="1412" t="n"/>
      <c r="BW62" s="1412" t="n"/>
      <c r="BX62" s="1412" t="n"/>
      <c r="BY62" s="1412" t="n"/>
      <c r="BZ62" s="1412" t="n"/>
      <c r="CA62" s="1412" t="n"/>
      <c r="CB62" s="1412" t="n"/>
      <c r="CC62" s="1412" t="n"/>
      <c r="CD62" s="1412" t="n"/>
      <c r="CE62" s="1412" t="n"/>
      <c r="CF62" s="1412" t="n"/>
      <c r="CG62" s="1412" t="n"/>
      <c r="CH62" s="1412" t="n"/>
      <c r="CI62" s="1412" t="n"/>
      <c r="CJ62" s="1412" t="n"/>
      <c r="CK62" s="1412" t="n"/>
      <c r="CL62" s="1412" t="n"/>
      <c r="CM62" s="1412" t="n"/>
      <c r="CN62" s="1412" t="n"/>
      <c r="CO62" s="1412" t="n"/>
      <c r="CP62" s="1412" t="n"/>
      <c r="CQ62" s="1412" t="n"/>
      <c r="CR62" s="1412" t="n"/>
      <c r="CS62" s="1412" t="n"/>
      <c r="CT62" s="1412" t="n"/>
      <c r="CU62" s="1412" t="n"/>
      <c r="CV62" s="1412" t="n"/>
      <c r="CW62" s="1412" t="n"/>
      <c r="CX62" s="1412" t="n"/>
      <c r="CY62" s="1412" t="n"/>
      <c r="CZ62" s="1412" t="n"/>
      <c r="DA62" s="1412" t="n"/>
      <c r="DB62" s="1412" t="n"/>
      <c r="DC62" s="1412" t="n"/>
      <c r="DD62" s="1412" t="n"/>
      <c r="DE62" s="1412" t="n"/>
      <c r="DF62" s="1412" t="n"/>
      <c r="DG62" s="1412" t="n"/>
      <c r="DH62" s="1412" t="n"/>
      <c r="DI62" s="1412" t="n"/>
      <c r="DJ62" s="1412" t="n"/>
      <c r="DK62" s="1412" t="n"/>
      <c r="DL62" s="1412" t="n"/>
      <c r="DM62" s="1412" t="n"/>
      <c r="DN62" s="1412" t="n"/>
      <c r="DO62" s="1412" t="n"/>
      <c r="DP62" s="1412" t="n"/>
      <c r="DQ62" s="1412" t="n"/>
      <c r="DR62" s="1412" t="n"/>
      <c r="DS62" s="1412" t="n"/>
      <c r="DT62" s="1412" t="n"/>
      <c r="DU62" s="1412" t="n"/>
      <c r="DV62" s="1412" t="n"/>
      <c r="DW62" s="1412" t="n"/>
      <c r="DX62" s="1412" t="n"/>
      <c r="DY62" s="1412" t="n"/>
      <c r="DZ62" s="1412" t="n"/>
      <c r="EA62" s="1412" t="n"/>
      <c r="EB62" s="1412" t="n"/>
      <c r="EC62" s="1412" t="n"/>
      <c r="ED62" s="1412" t="n"/>
      <c r="EE62" s="1412" t="n"/>
      <c r="EF62" s="1412" t="n"/>
      <c r="EG62" s="1412" t="n"/>
      <c r="EH62" s="1412" t="n"/>
      <c r="EI62" s="1412" t="n"/>
      <c r="EJ62" s="1412" t="n"/>
      <c r="EK62" s="1412" t="n"/>
      <c r="EL62" s="1412" t="n"/>
      <c r="EM62" s="1412" t="n"/>
      <c r="EN62" s="1412" t="n"/>
      <c r="EO62" s="1412" t="n"/>
      <c r="EP62" s="1412" t="n"/>
      <c r="EQ62" s="1412" t="n"/>
      <c r="ER62" s="1412" t="n"/>
      <c r="ES62" s="1412" t="n"/>
      <c r="ET62" s="1412" t="n"/>
      <c r="EU62" s="1412" t="n"/>
      <c r="EV62" s="1412" t="n"/>
      <c r="EW62" s="1412" t="n"/>
      <c r="EX62" s="1412" t="n"/>
      <c r="EY62" s="1412" t="n"/>
      <c r="EZ62" s="1412" t="n"/>
      <c r="FA62" s="1412" t="n"/>
      <c r="FB62" s="1412" t="n"/>
      <c r="FC62" s="1412" t="n"/>
      <c r="FD62" s="1412" t="n"/>
      <c r="FE62" s="1410" t="n"/>
      <c r="FF62" s="871" t="inlineStr">
        <is>
          <t>Планируемые затраты на продукцию</t>
        </is>
      </c>
      <c r="FG62" s="1412" t="n"/>
      <c r="FH62" s="1412" t="n"/>
      <c r="FI62" s="1412" t="n"/>
      <c r="FJ62" s="1412" t="n"/>
      <c r="FK62" s="1412" t="n"/>
      <c r="FL62" s="1412" t="n"/>
      <c r="FM62" s="1412" t="n"/>
      <c r="FN62" s="1412" t="n"/>
      <c r="FO62" s="1412" t="n"/>
      <c r="FP62" s="1412" t="n"/>
      <c r="FQ62" s="1412" t="n"/>
      <c r="FR62" s="1412" t="n"/>
      <c r="FS62" s="1412" t="n"/>
      <c r="FT62" s="1412" t="n"/>
      <c r="FU62" s="1412" t="n"/>
      <c r="FV62" s="1412" t="n"/>
      <c r="FW62" s="1412" t="n"/>
      <c r="FX62" s="1412" t="n"/>
      <c r="FY62" s="1412" t="n"/>
      <c r="FZ62" s="1412" t="n"/>
      <c r="GA62" s="1412" t="n"/>
      <c r="GB62" s="1412" t="n"/>
      <c r="GC62" s="1412" t="n"/>
      <c r="GD62" s="1412" t="n"/>
      <c r="GE62" s="1412" t="n"/>
      <c r="GF62" s="1412" t="n"/>
      <c r="GG62" s="1412" t="n"/>
      <c r="GH62" s="1412" t="n"/>
      <c r="GI62" s="1412" t="n"/>
      <c r="GJ62" s="1412" t="n"/>
      <c r="GK62" s="1412" t="n"/>
      <c r="GL62" s="1412" t="n"/>
      <c r="GM62" s="1412" t="n"/>
      <c r="GN62" s="1412" t="n"/>
      <c r="GO62" s="1412" t="n"/>
      <c r="GP62" s="1412" t="n"/>
      <c r="GQ62" s="1412" t="n"/>
      <c r="GR62" s="1412" t="n"/>
      <c r="GS62" s="1412" t="n"/>
      <c r="GT62" s="1412" t="n"/>
      <c r="GU62" s="1412" t="n"/>
      <c r="GV62" s="1412" t="n"/>
      <c r="GW62" s="1412" t="n"/>
      <c r="GX62" s="1412" t="n"/>
      <c r="GY62" s="1412" t="n"/>
      <c r="GZ62" s="1412" t="n"/>
      <c r="HA62" s="1412" t="n"/>
      <c r="HB62" s="1412" t="n"/>
      <c r="HC62" s="1412" t="n"/>
      <c r="HD62" s="1412" t="n"/>
      <c r="HE62" s="1412" t="n"/>
      <c r="HF62" s="1412" t="n"/>
      <c r="HG62" s="1412" t="n"/>
      <c r="HH62" s="1412" t="n"/>
      <c r="HI62" s="1412" t="n"/>
      <c r="HJ62" s="1412" t="n"/>
      <c r="HK62" s="1412" t="n"/>
      <c r="HL62" s="1412" t="n"/>
      <c r="HM62" s="1412" t="n"/>
      <c r="HN62" s="1412" t="n"/>
      <c r="HO62" s="1412" t="n"/>
      <c r="HP62" s="1412" t="n"/>
      <c r="HQ62" s="1412" t="n"/>
      <c r="HR62" s="1412" t="n"/>
      <c r="HS62" s="1412" t="n"/>
      <c r="HT62" s="1412" t="n"/>
      <c r="HU62" s="1412" t="n"/>
      <c r="HV62" s="1412" t="n"/>
      <c r="HW62" s="1412" t="n"/>
      <c r="HX62" s="1412" t="n"/>
      <c r="HY62" s="1412" t="n"/>
      <c r="HZ62" s="1412" t="n"/>
      <c r="IA62" s="1412" t="n"/>
      <c r="IB62" s="1410" t="n"/>
    </row>
    <row r="63" ht="78.95" customFormat="1" customHeight="1" s="446">
      <c r="A63" s="1414" t="n"/>
      <c r="B63" s="1409" t="n"/>
      <c r="C63" s="1409" t="n"/>
      <c r="D63" s="1409" t="n"/>
      <c r="E63" s="1409" t="n"/>
      <c r="F63" s="1421" t="n"/>
      <c r="G63" s="1414" t="n"/>
      <c r="H63" s="1409" t="n"/>
      <c r="I63" s="1409" t="n"/>
      <c r="J63" s="1409" t="n"/>
      <c r="K63" s="1409" t="n"/>
      <c r="L63" s="1409" t="n"/>
      <c r="M63" s="1409" t="n"/>
      <c r="N63" s="1409" t="n"/>
      <c r="O63" s="1409" t="n"/>
      <c r="P63" s="1409" t="n"/>
      <c r="Q63" s="1409" t="n"/>
      <c r="R63" s="1409" t="n"/>
      <c r="S63" s="1409" t="n"/>
      <c r="T63" s="1409" t="n"/>
      <c r="U63" s="1409" t="n"/>
      <c r="V63" s="1409" t="n"/>
      <c r="W63" s="1409" t="n"/>
      <c r="X63" s="1409" t="n"/>
      <c r="Y63" s="1409" t="n"/>
      <c r="Z63" s="1409" t="n"/>
      <c r="AA63" s="1409" t="n"/>
      <c r="AB63" s="1409" t="n"/>
      <c r="AC63" s="1409" t="n"/>
      <c r="AD63" s="1409" t="n"/>
      <c r="AE63" s="1409" t="n"/>
      <c r="AF63" s="1409" t="n"/>
      <c r="AG63" s="1409" t="n"/>
      <c r="AH63" s="1409" t="n"/>
      <c r="AI63" s="1409" t="n"/>
      <c r="AJ63" s="1409" t="n"/>
      <c r="AK63" s="1409" t="n"/>
      <c r="AL63" s="1409" t="n"/>
      <c r="AM63" s="1409" t="n"/>
      <c r="AN63" s="1409" t="n"/>
      <c r="AO63" s="1409" t="n"/>
      <c r="AP63" s="1409" t="n"/>
      <c r="AQ63" s="1409" t="n"/>
      <c r="AR63" s="1409" t="n"/>
      <c r="AS63" s="1409" t="n"/>
      <c r="AT63" s="1409" t="n"/>
      <c r="AU63" s="1409" t="n"/>
      <c r="AV63" s="1409" t="n"/>
      <c r="AW63" s="1409" t="n"/>
      <c r="AX63" s="1409" t="n"/>
      <c r="AY63" s="1409" t="n"/>
      <c r="AZ63" s="1409" t="n"/>
      <c r="BA63" s="1409" t="n"/>
      <c r="BB63" s="1409" t="n"/>
      <c r="BC63" s="1409" t="n"/>
      <c r="BD63" s="1409" t="n"/>
      <c r="BE63" s="1409" t="n"/>
      <c r="BF63" s="1409" t="n"/>
      <c r="BG63" s="1409" t="n"/>
      <c r="BH63" s="1409" t="n"/>
      <c r="BI63" s="1409" t="n"/>
      <c r="BJ63" s="1421" t="n"/>
      <c r="BK63" s="871" t="inlineStr">
        <is>
          <t>пункт
назначения</t>
        </is>
      </c>
      <c r="BL63" s="1412" t="n"/>
      <c r="BM63" s="1412" t="n"/>
      <c r="BN63" s="1412" t="n"/>
      <c r="BO63" s="1412" t="n"/>
      <c r="BP63" s="1412" t="n"/>
      <c r="BQ63" s="1412" t="n"/>
      <c r="BR63" s="1412" t="n"/>
      <c r="BS63" s="1412" t="n"/>
      <c r="BT63" s="1412" t="n"/>
      <c r="BU63" s="1412" t="n"/>
      <c r="BV63" s="1412" t="n"/>
      <c r="BW63" s="1412" t="n"/>
      <c r="BX63" s="1412" t="n"/>
      <c r="BY63" s="1412" t="n"/>
      <c r="BZ63" s="1412" t="n"/>
      <c r="CA63" s="1412" t="n"/>
      <c r="CB63" s="1410" t="n"/>
      <c r="CC63" s="871" t="inlineStr">
        <is>
          <t>наименование государственного заказчика 
(заказчика) аналога</t>
        </is>
      </c>
      <c r="CD63" s="1412" t="n"/>
      <c r="CE63" s="1412" t="n"/>
      <c r="CF63" s="1412" t="n"/>
      <c r="CG63" s="1412" t="n"/>
      <c r="CH63" s="1412" t="n"/>
      <c r="CI63" s="1412" t="n"/>
      <c r="CJ63" s="1412" t="n"/>
      <c r="CK63" s="1412" t="n"/>
      <c r="CL63" s="1412" t="n"/>
      <c r="CM63" s="1412" t="n"/>
      <c r="CN63" s="1412" t="n"/>
      <c r="CO63" s="1412" t="n"/>
      <c r="CP63" s="1412" t="n"/>
      <c r="CQ63" s="1412" t="n"/>
      <c r="CR63" s="1412" t="n"/>
      <c r="CS63" s="1412" t="n"/>
      <c r="CT63" s="1410" t="n"/>
      <c r="CU63" s="871" t="inlineStr">
        <is>
          <t>№, дата договора (контракта) 
на выполнение аналога, № этапа</t>
        </is>
      </c>
      <c r="CV63" s="1412" t="n"/>
      <c r="CW63" s="1412" t="n"/>
      <c r="CX63" s="1412" t="n"/>
      <c r="CY63" s="1412" t="n"/>
      <c r="CZ63" s="1412" t="n"/>
      <c r="DA63" s="1412" t="n"/>
      <c r="DB63" s="1412" t="n"/>
      <c r="DC63" s="1412" t="n"/>
      <c r="DD63" s="1412" t="n"/>
      <c r="DE63" s="1412" t="n"/>
      <c r="DF63" s="1412" t="n"/>
      <c r="DG63" s="1412" t="n"/>
      <c r="DH63" s="1412" t="n"/>
      <c r="DI63" s="1412" t="n"/>
      <c r="DJ63" s="1410" t="n"/>
      <c r="DK63" s="871" t="inlineStr">
        <is>
          <t>количество командируемых работников</t>
        </is>
      </c>
      <c r="DL63" s="1412" t="n"/>
      <c r="DM63" s="1412" t="n"/>
      <c r="DN63" s="1412" t="n"/>
      <c r="DO63" s="1412" t="n"/>
      <c r="DP63" s="1412" t="n"/>
      <c r="DQ63" s="1412" t="n"/>
      <c r="DR63" s="1412" t="n"/>
      <c r="DS63" s="1412" t="n"/>
      <c r="DT63" s="1412" t="n"/>
      <c r="DU63" s="1412" t="n"/>
      <c r="DV63" s="1412" t="n"/>
      <c r="DW63" s="1412" t="n"/>
      <c r="DX63" s="1412" t="n"/>
      <c r="DY63" s="1412" t="n"/>
      <c r="DZ63" s="1412" t="n"/>
      <c r="EA63" s="1412" t="n"/>
      <c r="EB63" s="1410" t="n"/>
      <c r="EC63" s="871" t="inlineStr">
        <is>
          <t>длительность 
и даты командировки</t>
        </is>
      </c>
      <c r="ED63" s="1412" t="n"/>
      <c r="EE63" s="1412" t="n"/>
      <c r="EF63" s="1412" t="n"/>
      <c r="EG63" s="1412" t="n"/>
      <c r="EH63" s="1412" t="n"/>
      <c r="EI63" s="1412" t="n"/>
      <c r="EJ63" s="1412" t="n"/>
      <c r="EK63" s="1412" t="n"/>
      <c r="EL63" s="1412" t="n"/>
      <c r="EM63" s="1412" t="n"/>
      <c r="EN63" s="1412" t="n"/>
      <c r="EO63" s="1412" t="n"/>
      <c r="EP63" s="1412" t="n"/>
      <c r="EQ63" s="1412" t="n"/>
      <c r="ER63" s="1412" t="n"/>
      <c r="ES63" s="1410" t="n"/>
      <c r="ET63" s="871" t="inlineStr">
        <is>
          <t>затраты 
по аналогу
(руб.)</t>
        </is>
      </c>
      <c r="EU63" s="1412" t="n"/>
      <c r="EV63" s="1412" t="n"/>
      <c r="EW63" s="1412" t="n"/>
      <c r="EX63" s="1412" t="n"/>
      <c r="EY63" s="1412" t="n"/>
      <c r="EZ63" s="1412" t="n"/>
      <c r="FA63" s="1412" t="n"/>
      <c r="FB63" s="1412" t="n"/>
      <c r="FC63" s="1412" t="n"/>
      <c r="FD63" s="1412" t="n"/>
      <c r="FE63" s="1410" t="n"/>
      <c r="FF63" s="871" t="inlineStr">
        <is>
          <t>коэффициент сопостави-мости</t>
        </is>
      </c>
      <c r="FG63" s="1412" t="n"/>
      <c r="FH63" s="1412" t="n"/>
      <c r="FI63" s="1412" t="n"/>
      <c r="FJ63" s="1412" t="n"/>
      <c r="FK63" s="1412" t="n"/>
      <c r="FL63" s="1412" t="n"/>
      <c r="FM63" s="1412" t="n"/>
      <c r="FN63" s="1412" t="n"/>
      <c r="FO63" s="1412" t="n"/>
      <c r="FP63" s="1412" t="n"/>
      <c r="FQ63" s="1412" t="n"/>
      <c r="FR63" s="1410" t="n"/>
      <c r="FS63" s="871" t="inlineStr">
        <is>
          <t>итого приведенные затраты 
(гр. 3.6 * гр. 4)</t>
        </is>
      </c>
      <c r="FT63" s="1412" t="n"/>
      <c r="FU63" s="1412" t="n"/>
      <c r="FV63" s="1412" t="n"/>
      <c r="FW63" s="1412" t="n"/>
      <c r="FX63" s="1412" t="n"/>
      <c r="FY63" s="1412" t="n"/>
      <c r="FZ63" s="1412" t="n"/>
      <c r="GA63" s="1412" t="n"/>
      <c r="GB63" s="1412" t="n"/>
      <c r="GC63" s="1412" t="n"/>
      <c r="GD63" s="1412" t="n"/>
      <c r="GE63" s="1412" t="n"/>
      <c r="GF63" s="1412" t="n"/>
      <c r="GG63" s="1410" t="n"/>
      <c r="GH63" s="871" t="inlineStr">
        <is>
          <t>применяемый индекс цен</t>
        </is>
      </c>
      <c r="GI63" s="1412" t="n"/>
      <c r="GJ63" s="1412" t="n"/>
      <c r="GK63" s="1412" t="n"/>
      <c r="GL63" s="1412" t="n"/>
      <c r="GM63" s="1412" t="n"/>
      <c r="GN63" s="1412" t="n"/>
      <c r="GO63" s="1412" t="n"/>
      <c r="GP63" s="1412" t="n"/>
      <c r="GQ63" s="1412" t="n"/>
      <c r="GR63" s="1412" t="n"/>
      <c r="GS63" s="1412" t="n"/>
      <c r="GT63" s="1412" t="n"/>
      <c r="GU63" s="1412" t="n"/>
      <c r="GV63" s="1412" t="n"/>
      <c r="GW63" s="1410" t="n"/>
      <c r="GX63" s="871" t="inlineStr">
        <is>
          <t>предложено организацией-поставщиком (подрядчиком, исполнителем) (руб.)</t>
        </is>
      </c>
      <c r="GY63" s="1412" t="n"/>
      <c r="GZ63" s="1412" t="n"/>
      <c r="HA63" s="1412" t="n"/>
      <c r="HB63" s="1412" t="n"/>
      <c r="HC63" s="1412" t="n"/>
      <c r="HD63" s="1412" t="n"/>
      <c r="HE63" s="1412" t="n"/>
      <c r="HF63" s="1412" t="n"/>
      <c r="HG63" s="1412" t="n"/>
      <c r="HH63" s="1412" t="n"/>
      <c r="HI63" s="1412" t="n"/>
      <c r="HJ63" s="1412" t="n"/>
      <c r="HK63" s="1412" t="n"/>
      <c r="HL63" s="1410" t="n"/>
      <c r="HM63" s="871" t="inlineStr">
        <is>
          <t>принято государственным заказчиком/
заказчиком</t>
        </is>
      </c>
      <c r="HN63" s="1412" t="n"/>
      <c r="HO63" s="1412" t="n"/>
      <c r="HP63" s="1412" t="n"/>
      <c r="HQ63" s="1412" t="n"/>
      <c r="HR63" s="1412" t="n"/>
      <c r="HS63" s="1412" t="n"/>
      <c r="HT63" s="1412" t="n"/>
      <c r="HU63" s="1412" t="n"/>
      <c r="HV63" s="1412" t="n"/>
      <c r="HW63" s="1412" t="n"/>
      <c r="HX63" s="1412" t="n"/>
      <c r="HY63" s="1412" t="n"/>
      <c r="HZ63" s="1412" t="n"/>
      <c r="IA63" s="1412" t="n"/>
      <c r="IB63" s="1410" t="n"/>
    </row>
    <row r="64" ht="12" customFormat="1" customHeight="1" s="272">
      <c r="A64" s="945" t="n">
        <v>1</v>
      </c>
      <c r="B64" s="1412" t="n"/>
      <c r="C64" s="1412" t="n"/>
      <c r="D64" s="1412" t="n"/>
      <c r="E64" s="1412" t="n"/>
      <c r="F64" s="1410" t="n"/>
      <c r="G64" s="945" t="n">
        <v>2</v>
      </c>
      <c r="H64" s="1412" t="n"/>
      <c r="I64" s="1412" t="n"/>
      <c r="J64" s="1412" t="n"/>
      <c r="K64" s="1412" t="n"/>
      <c r="L64" s="1412" t="n"/>
      <c r="M64" s="1412" t="n"/>
      <c r="N64" s="1412" t="n"/>
      <c r="O64" s="1412" t="n"/>
      <c r="P64" s="1412" t="n"/>
      <c r="Q64" s="1412" t="n"/>
      <c r="R64" s="1412" t="n"/>
      <c r="S64" s="1412" t="n"/>
      <c r="T64" s="1412" t="n"/>
      <c r="U64" s="1412" t="n"/>
      <c r="V64" s="1412" t="n"/>
      <c r="W64" s="1412" t="n"/>
      <c r="X64" s="1412" t="n"/>
      <c r="Y64" s="1412" t="n"/>
      <c r="Z64" s="1412" t="n"/>
      <c r="AA64" s="1412" t="n"/>
      <c r="AB64" s="1412" t="n"/>
      <c r="AC64" s="1412" t="n"/>
      <c r="AD64" s="1412" t="n"/>
      <c r="AE64" s="1412" t="n"/>
      <c r="AF64" s="1412" t="n"/>
      <c r="AG64" s="1412" t="n"/>
      <c r="AH64" s="1412" t="n"/>
      <c r="AI64" s="1412" t="n"/>
      <c r="AJ64" s="1412" t="n"/>
      <c r="AK64" s="1412" t="n"/>
      <c r="AL64" s="1412" t="n"/>
      <c r="AM64" s="1412" t="n"/>
      <c r="AN64" s="1412" t="n"/>
      <c r="AO64" s="1412" t="n"/>
      <c r="AP64" s="1412" t="n"/>
      <c r="AQ64" s="1412" t="n"/>
      <c r="AR64" s="1412" t="n"/>
      <c r="AS64" s="1412" t="n"/>
      <c r="AT64" s="1412" t="n"/>
      <c r="AU64" s="1412" t="n"/>
      <c r="AV64" s="1412" t="n"/>
      <c r="AW64" s="1412" t="n"/>
      <c r="AX64" s="1412" t="n"/>
      <c r="AY64" s="1412" t="n"/>
      <c r="AZ64" s="1412" t="n"/>
      <c r="BA64" s="1412" t="n"/>
      <c r="BB64" s="1412" t="n"/>
      <c r="BC64" s="1412" t="n"/>
      <c r="BD64" s="1412" t="n"/>
      <c r="BE64" s="1412" t="n"/>
      <c r="BF64" s="1412" t="n"/>
      <c r="BG64" s="1412" t="n"/>
      <c r="BH64" s="1412" t="n"/>
      <c r="BI64" s="1412" t="n"/>
      <c r="BJ64" s="1410" t="n"/>
      <c r="BK64" s="945" t="inlineStr">
        <is>
          <t>3.1</t>
        </is>
      </c>
      <c r="BL64" s="1412" t="n"/>
      <c r="BM64" s="1412" t="n"/>
      <c r="BN64" s="1412" t="n"/>
      <c r="BO64" s="1412" t="n"/>
      <c r="BP64" s="1412" t="n"/>
      <c r="BQ64" s="1412" t="n"/>
      <c r="BR64" s="1412" t="n"/>
      <c r="BS64" s="1412" t="n"/>
      <c r="BT64" s="1412" t="n"/>
      <c r="BU64" s="1412" t="n"/>
      <c r="BV64" s="1412" t="n"/>
      <c r="BW64" s="1412" t="n"/>
      <c r="BX64" s="1412" t="n"/>
      <c r="BY64" s="1412" t="n"/>
      <c r="BZ64" s="1412" t="n"/>
      <c r="CA64" s="1412" t="n"/>
      <c r="CB64" s="1410" t="n"/>
      <c r="CC64" s="945" t="inlineStr">
        <is>
          <t>3.2</t>
        </is>
      </c>
      <c r="CD64" s="1412" t="n"/>
      <c r="CE64" s="1412" t="n"/>
      <c r="CF64" s="1412" t="n"/>
      <c r="CG64" s="1412" t="n"/>
      <c r="CH64" s="1412" t="n"/>
      <c r="CI64" s="1412" t="n"/>
      <c r="CJ64" s="1412" t="n"/>
      <c r="CK64" s="1412" t="n"/>
      <c r="CL64" s="1412" t="n"/>
      <c r="CM64" s="1412" t="n"/>
      <c r="CN64" s="1412" t="n"/>
      <c r="CO64" s="1412" t="n"/>
      <c r="CP64" s="1412" t="n"/>
      <c r="CQ64" s="1412" t="n"/>
      <c r="CR64" s="1412" t="n"/>
      <c r="CS64" s="1412" t="n"/>
      <c r="CT64" s="1410" t="n"/>
      <c r="CU64" s="945" t="inlineStr">
        <is>
          <t>3.3</t>
        </is>
      </c>
      <c r="CV64" s="1412" t="n"/>
      <c r="CW64" s="1412" t="n"/>
      <c r="CX64" s="1412" t="n"/>
      <c r="CY64" s="1412" t="n"/>
      <c r="CZ64" s="1412" t="n"/>
      <c r="DA64" s="1412" t="n"/>
      <c r="DB64" s="1412" t="n"/>
      <c r="DC64" s="1412" t="n"/>
      <c r="DD64" s="1412" t="n"/>
      <c r="DE64" s="1412" t="n"/>
      <c r="DF64" s="1412" t="n"/>
      <c r="DG64" s="1412" t="n"/>
      <c r="DH64" s="1412" t="n"/>
      <c r="DI64" s="1412" t="n"/>
      <c r="DJ64" s="1410" t="n"/>
      <c r="DK64" s="945" t="inlineStr">
        <is>
          <t>3.4</t>
        </is>
      </c>
      <c r="DL64" s="1412" t="n"/>
      <c r="DM64" s="1412" t="n"/>
      <c r="DN64" s="1412" t="n"/>
      <c r="DO64" s="1412" t="n"/>
      <c r="DP64" s="1412" t="n"/>
      <c r="DQ64" s="1412" t="n"/>
      <c r="DR64" s="1412" t="n"/>
      <c r="DS64" s="1412" t="n"/>
      <c r="DT64" s="1412" t="n"/>
      <c r="DU64" s="1412" t="n"/>
      <c r="DV64" s="1412" t="n"/>
      <c r="DW64" s="1412" t="n"/>
      <c r="DX64" s="1412" t="n"/>
      <c r="DY64" s="1412" t="n"/>
      <c r="DZ64" s="1412" t="n"/>
      <c r="EA64" s="1412" t="n"/>
      <c r="EB64" s="1410" t="n"/>
      <c r="EC64" s="945" t="inlineStr">
        <is>
          <t>3.5</t>
        </is>
      </c>
      <c r="ED64" s="1412" t="n"/>
      <c r="EE64" s="1412" t="n"/>
      <c r="EF64" s="1412" t="n"/>
      <c r="EG64" s="1412" t="n"/>
      <c r="EH64" s="1412" t="n"/>
      <c r="EI64" s="1412" t="n"/>
      <c r="EJ64" s="1412" t="n"/>
      <c r="EK64" s="1412" t="n"/>
      <c r="EL64" s="1412" t="n"/>
      <c r="EM64" s="1412" t="n"/>
      <c r="EN64" s="1412" t="n"/>
      <c r="EO64" s="1412" t="n"/>
      <c r="EP64" s="1412" t="n"/>
      <c r="EQ64" s="1412" t="n"/>
      <c r="ER64" s="1412" t="n"/>
      <c r="ES64" s="1410" t="n"/>
      <c r="ET64" s="945" t="inlineStr">
        <is>
          <t>3.6</t>
        </is>
      </c>
      <c r="EU64" s="1412" t="n"/>
      <c r="EV64" s="1412" t="n"/>
      <c r="EW64" s="1412" t="n"/>
      <c r="EX64" s="1412" t="n"/>
      <c r="EY64" s="1412" t="n"/>
      <c r="EZ64" s="1412" t="n"/>
      <c r="FA64" s="1412" t="n"/>
      <c r="FB64" s="1412" t="n"/>
      <c r="FC64" s="1412" t="n"/>
      <c r="FD64" s="1412" t="n"/>
      <c r="FE64" s="1410" t="n"/>
      <c r="FF64" s="945" t="n">
        <v>4</v>
      </c>
      <c r="FG64" s="1412" t="n"/>
      <c r="FH64" s="1412" t="n"/>
      <c r="FI64" s="1412" t="n"/>
      <c r="FJ64" s="1412" t="n"/>
      <c r="FK64" s="1412" t="n"/>
      <c r="FL64" s="1412" t="n"/>
      <c r="FM64" s="1412" t="n"/>
      <c r="FN64" s="1412" t="n"/>
      <c r="FO64" s="1412" t="n"/>
      <c r="FP64" s="1412" t="n"/>
      <c r="FQ64" s="1412" t="n"/>
      <c r="FR64" s="1410" t="n"/>
      <c r="FS64" s="945" t="n">
        <v>5</v>
      </c>
      <c r="FT64" s="1412" t="n"/>
      <c r="FU64" s="1412" t="n"/>
      <c r="FV64" s="1412" t="n"/>
      <c r="FW64" s="1412" t="n"/>
      <c r="FX64" s="1412" t="n"/>
      <c r="FY64" s="1412" t="n"/>
      <c r="FZ64" s="1412" t="n"/>
      <c r="GA64" s="1412" t="n"/>
      <c r="GB64" s="1412" t="n"/>
      <c r="GC64" s="1412" t="n"/>
      <c r="GD64" s="1412" t="n"/>
      <c r="GE64" s="1412" t="n"/>
      <c r="GF64" s="1412" t="n"/>
      <c r="GG64" s="1410" t="n"/>
      <c r="GH64" s="945" t="n">
        <v>6</v>
      </c>
      <c r="GI64" s="1412" t="n"/>
      <c r="GJ64" s="1412" t="n"/>
      <c r="GK64" s="1412" t="n"/>
      <c r="GL64" s="1412" t="n"/>
      <c r="GM64" s="1412" t="n"/>
      <c r="GN64" s="1412" t="n"/>
      <c r="GO64" s="1412" t="n"/>
      <c r="GP64" s="1412" t="n"/>
      <c r="GQ64" s="1412" t="n"/>
      <c r="GR64" s="1412" t="n"/>
      <c r="GS64" s="1412" t="n"/>
      <c r="GT64" s="1412" t="n"/>
      <c r="GU64" s="1412" t="n"/>
      <c r="GV64" s="1412" t="n"/>
      <c r="GW64" s="1410" t="n"/>
      <c r="GX64" s="945" t="n">
        <v>7</v>
      </c>
      <c r="GY64" s="1412" t="n"/>
      <c r="GZ64" s="1412" t="n"/>
      <c r="HA64" s="1412" t="n"/>
      <c r="HB64" s="1412" t="n"/>
      <c r="HC64" s="1412" t="n"/>
      <c r="HD64" s="1412" t="n"/>
      <c r="HE64" s="1412" t="n"/>
      <c r="HF64" s="1412" t="n"/>
      <c r="HG64" s="1412" t="n"/>
      <c r="HH64" s="1412" t="n"/>
      <c r="HI64" s="1412" t="n"/>
      <c r="HJ64" s="1412" t="n"/>
      <c r="HK64" s="1412" t="n"/>
      <c r="HL64" s="1410" t="n"/>
      <c r="HM64" s="945" t="n">
        <v>8</v>
      </c>
      <c r="HN64" s="1412" t="n"/>
      <c r="HO64" s="1412" t="n"/>
      <c r="HP64" s="1412" t="n"/>
      <c r="HQ64" s="1412" t="n"/>
      <c r="HR64" s="1412" t="n"/>
      <c r="HS64" s="1412" t="n"/>
      <c r="HT64" s="1412" t="n"/>
      <c r="HU64" s="1412" t="n"/>
      <c r="HV64" s="1412" t="n"/>
      <c r="HW64" s="1412" t="n"/>
      <c r="HX64" s="1412" t="n"/>
      <c r="HY64" s="1412" t="n"/>
      <c r="HZ64" s="1412" t="n"/>
      <c r="IA64" s="1412" t="n"/>
      <c r="IB64" s="1410" t="n"/>
    </row>
    <row r="65" ht="12.75" customFormat="1" customHeight="1" s="446">
      <c r="A65" s="938" t="inlineStr">
        <is>
          <t>-</t>
        </is>
      </c>
      <c r="B65" s="1412" t="n"/>
      <c r="C65" s="1412" t="n"/>
      <c r="D65" s="1412" t="n"/>
      <c r="E65" s="1412" t="n"/>
      <c r="F65" s="1410" t="n"/>
      <c r="G65" s="871" t="inlineStr">
        <is>
          <t>-</t>
        </is>
      </c>
      <c r="H65" s="1412" t="n"/>
      <c r="I65" s="1412" t="n"/>
      <c r="J65" s="1412" t="n"/>
      <c r="K65" s="1412" t="n"/>
      <c r="L65" s="1412" t="n"/>
      <c r="M65" s="1412" t="n"/>
      <c r="N65" s="1412" t="n"/>
      <c r="O65" s="1412" t="n"/>
      <c r="P65" s="1412" t="n"/>
      <c r="Q65" s="1412" t="n"/>
      <c r="R65" s="1412" t="n"/>
      <c r="S65" s="1412" t="n"/>
      <c r="T65" s="1412" t="n"/>
      <c r="U65" s="1412" t="n"/>
      <c r="V65" s="1412" t="n"/>
      <c r="W65" s="1412" t="n"/>
      <c r="X65" s="1412" t="n"/>
      <c r="Y65" s="1412" t="n"/>
      <c r="Z65" s="1412" t="n"/>
      <c r="AA65" s="1412" t="n"/>
      <c r="AB65" s="1412" t="n"/>
      <c r="AC65" s="1412" t="n"/>
      <c r="AD65" s="1412" t="n"/>
      <c r="AE65" s="1412" t="n"/>
      <c r="AF65" s="1412" t="n"/>
      <c r="AG65" s="1412" t="n"/>
      <c r="AH65" s="1412" t="n"/>
      <c r="AI65" s="1412" t="n"/>
      <c r="AJ65" s="1412" t="n"/>
      <c r="AK65" s="1412" t="n"/>
      <c r="AL65" s="1412" t="n"/>
      <c r="AM65" s="1412" t="n"/>
      <c r="AN65" s="1412" t="n"/>
      <c r="AO65" s="1412" t="n"/>
      <c r="AP65" s="1412" t="n"/>
      <c r="AQ65" s="1412" t="n"/>
      <c r="AR65" s="1412" t="n"/>
      <c r="AS65" s="1412" t="n"/>
      <c r="AT65" s="1412" t="n"/>
      <c r="AU65" s="1412" t="n"/>
      <c r="AV65" s="1412" t="n"/>
      <c r="AW65" s="1412" t="n"/>
      <c r="AX65" s="1412" t="n"/>
      <c r="AY65" s="1412" t="n"/>
      <c r="AZ65" s="1412" t="n"/>
      <c r="BA65" s="1412" t="n"/>
      <c r="BB65" s="1412" t="n"/>
      <c r="BC65" s="1412" t="n"/>
      <c r="BD65" s="1412" t="n"/>
      <c r="BE65" s="1412" t="n"/>
      <c r="BF65" s="1412" t="n"/>
      <c r="BG65" s="1412" t="n"/>
      <c r="BH65" s="1412" t="n"/>
      <c r="BI65" s="1412" t="n"/>
      <c r="BJ65" s="1410" t="n"/>
      <c r="BK65" s="927" t="inlineStr">
        <is>
          <t>-</t>
        </is>
      </c>
      <c r="BL65" s="1412" t="n"/>
      <c r="BM65" s="1412" t="n"/>
      <c r="BN65" s="1412" t="n"/>
      <c r="BO65" s="1412" t="n"/>
      <c r="BP65" s="1412" t="n"/>
      <c r="BQ65" s="1412" t="n"/>
      <c r="BR65" s="1412" t="n"/>
      <c r="BS65" s="1412" t="n"/>
      <c r="BT65" s="1412" t="n"/>
      <c r="BU65" s="1412" t="n"/>
      <c r="BV65" s="1412" t="n"/>
      <c r="BW65" s="1412" t="n"/>
      <c r="BX65" s="1412" t="n"/>
      <c r="BY65" s="1412" t="n"/>
      <c r="BZ65" s="1412" t="n"/>
      <c r="CA65" s="1412" t="n"/>
      <c r="CB65" s="1410" t="n"/>
      <c r="CC65" s="927" t="inlineStr">
        <is>
          <t>-</t>
        </is>
      </c>
      <c r="CD65" s="1412" t="n"/>
      <c r="CE65" s="1412" t="n"/>
      <c r="CF65" s="1412" t="n"/>
      <c r="CG65" s="1412" t="n"/>
      <c r="CH65" s="1412" t="n"/>
      <c r="CI65" s="1412" t="n"/>
      <c r="CJ65" s="1412" t="n"/>
      <c r="CK65" s="1412" t="n"/>
      <c r="CL65" s="1412" t="n"/>
      <c r="CM65" s="1412" t="n"/>
      <c r="CN65" s="1412" t="n"/>
      <c r="CO65" s="1412" t="n"/>
      <c r="CP65" s="1412" t="n"/>
      <c r="CQ65" s="1412" t="n"/>
      <c r="CR65" s="1412" t="n"/>
      <c r="CS65" s="1412" t="n"/>
      <c r="CT65" s="1410" t="n"/>
      <c r="CU65" s="938" t="inlineStr">
        <is>
          <t>-</t>
        </is>
      </c>
      <c r="CV65" s="1412" t="n"/>
      <c r="CW65" s="1412" t="n"/>
      <c r="CX65" s="1412" t="n"/>
      <c r="CY65" s="1412" t="n"/>
      <c r="CZ65" s="1412" t="n"/>
      <c r="DA65" s="1412" t="n"/>
      <c r="DB65" s="1412" t="n"/>
      <c r="DC65" s="1412" t="n"/>
      <c r="DD65" s="1412" t="n"/>
      <c r="DE65" s="1412" t="n"/>
      <c r="DF65" s="1412" t="n"/>
      <c r="DG65" s="1412" t="n"/>
      <c r="DH65" s="1412" t="n"/>
      <c r="DI65" s="1412" t="n"/>
      <c r="DJ65" s="1410" t="n"/>
      <c r="DK65" s="906" t="inlineStr">
        <is>
          <t>-</t>
        </is>
      </c>
      <c r="DL65" s="1412" t="n"/>
      <c r="DM65" s="1412" t="n"/>
      <c r="DN65" s="1412" t="n"/>
      <c r="DO65" s="1412" t="n"/>
      <c r="DP65" s="1412" t="n"/>
      <c r="DQ65" s="1412" t="n"/>
      <c r="DR65" s="1412" t="n"/>
      <c r="DS65" s="1412" t="n"/>
      <c r="DT65" s="1412" t="n"/>
      <c r="DU65" s="1412" t="n"/>
      <c r="DV65" s="1412" t="n"/>
      <c r="DW65" s="1412" t="n"/>
      <c r="DX65" s="1412" t="n"/>
      <c r="DY65" s="1412" t="n"/>
      <c r="DZ65" s="1412" t="n"/>
      <c r="EA65" s="1412" t="n"/>
      <c r="EB65" s="1410" t="n"/>
      <c r="EC65" s="938" t="inlineStr">
        <is>
          <t>-</t>
        </is>
      </c>
      <c r="ED65" s="1412" t="n"/>
      <c r="EE65" s="1412" t="n"/>
      <c r="EF65" s="1412" t="n"/>
      <c r="EG65" s="1412" t="n"/>
      <c r="EH65" s="1412" t="n"/>
      <c r="EI65" s="1412" t="n"/>
      <c r="EJ65" s="1412" t="n"/>
      <c r="EK65" s="1412" t="n"/>
      <c r="EL65" s="1412" t="n"/>
      <c r="EM65" s="1412" t="n"/>
      <c r="EN65" s="1412" t="n"/>
      <c r="EO65" s="1412" t="n"/>
      <c r="EP65" s="1412" t="n"/>
      <c r="EQ65" s="1412" t="n"/>
      <c r="ER65" s="1412" t="n"/>
      <c r="ES65" s="1410" t="n"/>
      <c r="ET65" s="906" t="inlineStr">
        <is>
          <t>-</t>
        </is>
      </c>
      <c r="EU65" s="1412" t="n"/>
      <c r="EV65" s="1412" t="n"/>
      <c r="EW65" s="1412" t="n"/>
      <c r="EX65" s="1412" t="n"/>
      <c r="EY65" s="1412" t="n"/>
      <c r="EZ65" s="1412" t="n"/>
      <c r="FA65" s="1412" t="n"/>
      <c r="FB65" s="1412" t="n"/>
      <c r="FC65" s="1412" t="n"/>
      <c r="FD65" s="1412" t="n"/>
      <c r="FE65" s="1410" t="n"/>
      <c r="FF65" s="906" t="inlineStr">
        <is>
          <t>-</t>
        </is>
      </c>
      <c r="FG65" s="1412" t="n"/>
      <c r="FH65" s="1412" t="n"/>
      <c r="FI65" s="1412" t="n"/>
      <c r="FJ65" s="1412" t="n"/>
      <c r="FK65" s="1412" t="n"/>
      <c r="FL65" s="1412" t="n"/>
      <c r="FM65" s="1412" t="n"/>
      <c r="FN65" s="1412" t="n"/>
      <c r="FO65" s="1412" t="n"/>
      <c r="FP65" s="1412" t="n"/>
      <c r="FQ65" s="1412" t="n"/>
      <c r="FR65" s="1410" t="n"/>
      <c r="FS65" s="906" t="inlineStr">
        <is>
          <t>-</t>
        </is>
      </c>
      <c r="FT65" s="1412" t="n"/>
      <c r="FU65" s="1412" t="n"/>
      <c r="FV65" s="1412" t="n"/>
      <c r="FW65" s="1412" t="n"/>
      <c r="FX65" s="1412" t="n"/>
      <c r="FY65" s="1412" t="n"/>
      <c r="FZ65" s="1412" t="n"/>
      <c r="GA65" s="1412" t="n"/>
      <c r="GB65" s="1412" t="n"/>
      <c r="GC65" s="1412" t="n"/>
      <c r="GD65" s="1412" t="n"/>
      <c r="GE65" s="1412" t="n"/>
      <c r="GF65" s="1412" t="n"/>
      <c r="GG65" s="1410" t="n"/>
      <c r="GH65" s="906" t="inlineStr">
        <is>
          <t>-</t>
        </is>
      </c>
      <c r="GI65" s="1412" t="n"/>
      <c r="GJ65" s="1412" t="n"/>
      <c r="GK65" s="1412" t="n"/>
      <c r="GL65" s="1412" t="n"/>
      <c r="GM65" s="1412" t="n"/>
      <c r="GN65" s="1412" t="n"/>
      <c r="GO65" s="1412" t="n"/>
      <c r="GP65" s="1412" t="n"/>
      <c r="GQ65" s="1412" t="n"/>
      <c r="GR65" s="1412" t="n"/>
      <c r="GS65" s="1412" t="n"/>
      <c r="GT65" s="1412" t="n"/>
      <c r="GU65" s="1412" t="n"/>
      <c r="GV65" s="1412" t="n"/>
      <c r="GW65" s="1410" t="n"/>
      <c r="GX65" s="906" t="inlineStr">
        <is>
          <t>-</t>
        </is>
      </c>
      <c r="GY65" s="1412" t="n"/>
      <c r="GZ65" s="1412" t="n"/>
      <c r="HA65" s="1412" t="n"/>
      <c r="HB65" s="1412" t="n"/>
      <c r="HC65" s="1412" t="n"/>
      <c r="HD65" s="1412" t="n"/>
      <c r="HE65" s="1412" t="n"/>
      <c r="HF65" s="1412" t="n"/>
      <c r="HG65" s="1412" t="n"/>
      <c r="HH65" s="1412" t="n"/>
      <c r="HI65" s="1412" t="n"/>
      <c r="HJ65" s="1412" t="n"/>
      <c r="HK65" s="1412" t="n"/>
      <c r="HL65" s="1410" t="n"/>
      <c r="HM65" s="906" t="inlineStr">
        <is>
          <t>-</t>
        </is>
      </c>
      <c r="HN65" s="1412" t="n"/>
      <c r="HO65" s="1412" t="n"/>
      <c r="HP65" s="1412" t="n"/>
      <c r="HQ65" s="1412" t="n"/>
      <c r="HR65" s="1412" t="n"/>
      <c r="HS65" s="1412" t="n"/>
      <c r="HT65" s="1412" t="n"/>
      <c r="HU65" s="1412" t="n"/>
      <c r="HV65" s="1412" t="n"/>
      <c r="HW65" s="1412" t="n"/>
      <c r="HX65" s="1412" t="n"/>
      <c r="HY65" s="1412" t="n"/>
      <c r="HZ65" s="1412" t="n"/>
      <c r="IA65" s="1412" t="n"/>
      <c r="IB65" s="1410" t="n"/>
    </row>
    <row r="66" ht="15" customFormat="1" customHeight="1" s="446">
      <c r="A66" s="442" t="n"/>
      <c r="B66" s="442" t="n"/>
      <c r="C66" s="442" t="n"/>
      <c r="D66" s="442" t="n"/>
      <c r="E66" s="442" t="n"/>
      <c r="F66" s="446" t="n"/>
      <c r="DX66" s="446" t="n"/>
      <c r="DY66" s="446" t="n"/>
      <c r="DZ66" s="446" t="n"/>
      <c r="EA66" s="446" t="n"/>
      <c r="EB66" s="446" t="n"/>
      <c r="EC66" s="446" t="n"/>
      <c r="ED66" s="446" t="n"/>
      <c r="EE66" s="446" t="n"/>
      <c r="EF66" s="446" t="n"/>
      <c r="EG66" s="446" t="n"/>
      <c r="EH66" s="446" t="n"/>
      <c r="EI66" s="446" t="n"/>
      <c r="EJ66" s="446" t="n"/>
      <c r="EK66" s="446" t="n"/>
      <c r="EL66" s="446" t="n"/>
      <c r="EM66" s="446" t="n"/>
      <c r="EN66" s="446" t="n"/>
      <c r="EO66" s="446" t="n"/>
      <c r="EP66" s="446" t="n"/>
      <c r="EQ66" s="446" t="n"/>
      <c r="ER66" s="446" t="n"/>
      <c r="ES66" s="446" t="n"/>
      <c r="ET66" s="446" t="n"/>
      <c r="EU66" s="446" t="n"/>
      <c r="EV66" s="446" t="n"/>
      <c r="EW66" s="446" t="n"/>
      <c r="EX66" s="446" t="n"/>
      <c r="EY66" s="446" t="n"/>
      <c r="EZ66" s="446" t="n"/>
      <c r="FA66" s="271" t="n"/>
      <c r="FB66" s="271" t="n"/>
      <c r="FC66" s="271" t="n"/>
      <c r="FD66" s="271" t="n"/>
      <c r="FE66" s="271" t="n"/>
      <c r="FF66" s="271" t="n"/>
      <c r="FG66" s="271" t="n"/>
      <c r="FH66" s="271" t="n"/>
      <c r="FI66" s="271" t="n"/>
      <c r="FJ66" s="271" t="n"/>
      <c r="FK66" s="271" t="n"/>
      <c r="FL66" s="271" t="n"/>
      <c r="FM66" s="271" t="n"/>
      <c r="FN66" s="271" t="n"/>
      <c r="FO66" s="271" t="n"/>
      <c r="FP66" s="271" t="n"/>
      <c r="FQ66" s="271" t="n"/>
      <c r="FR66" s="271" t="n"/>
      <c r="FS66" s="271" t="n"/>
      <c r="FT66" s="271" t="n"/>
      <c r="FU66" s="271" t="n"/>
      <c r="FV66" s="271" t="n"/>
      <c r="FW66" s="271" t="n"/>
      <c r="FX66" s="271" t="n"/>
      <c r="FY66" s="271" t="n"/>
      <c r="FZ66" s="271" t="n"/>
      <c r="GA66" s="271" t="n"/>
      <c r="GB66" s="271" t="n"/>
      <c r="GC66" s="271" t="n"/>
      <c r="GD66" s="271" t="n"/>
      <c r="GE66" s="271" t="n"/>
      <c r="GF66" s="271" t="n"/>
      <c r="GG66" s="271" t="n"/>
      <c r="GH66" s="271" t="n"/>
      <c r="GI66" s="271" t="n"/>
      <c r="GJ66" s="271" t="n"/>
      <c r="GK66" s="271" t="n"/>
      <c r="GL66" s="271" t="n"/>
      <c r="GM66" s="271" t="n"/>
      <c r="GN66" s="271" t="n"/>
      <c r="GO66" s="271" t="n"/>
      <c r="GP66" s="271" t="n"/>
      <c r="GQ66" s="271" t="n"/>
      <c r="GR66" s="271" t="n"/>
      <c r="GS66" s="271" t="n"/>
      <c r="GT66" s="271" t="n"/>
      <c r="GU66" s="271" t="n"/>
      <c r="GV66" s="271" t="n"/>
      <c r="GW66" s="271" t="n"/>
      <c r="GX66" s="271" t="n"/>
      <c r="GY66" s="271" t="n"/>
      <c r="GZ66" s="271" t="n"/>
      <c r="HA66" s="271" t="n"/>
      <c r="HB66" s="271" t="n"/>
      <c r="HC66" s="271" t="n"/>
      <c r="HD66" s="271" t="n"/>
      <c r="HE66" s="271" t="n"/>
      <c r="HF66" s="271" t="n"/>
      <c r="HG66" s="271" t="n"/>
      <c r="HH66" s="271" t="n"/>
      <c r="HI66" s="271" t="n"/>
      <c r="HJ66" s="271" t="n"/>
      <c r="HK66" s="271" t="n"/>
      <c r="HL66" s="271" t="n"/>
    </row>
    <row r="67" ht="13.5" customFormat="1" customHeight="1" s="447">
      <c r="G67" s="447" t="inlineStr">
        <is>
          <t>Начальник ОФЭиАУ НИОКР</t>
        </is>
      </c>
      <c r="CB67" s="447" t="inlineStr">
        <is>
          <t>Руководитель договора</t>
        </is>
      </c>
      <c r="FS67" s="449" t="inlineStr">
        <is>
          <t xml:space="preserve">Военный представитель </t>
        </is>
      </c>
      <c r="FT67" s="449" t="n"/>
      <c r="FU67" s="449" t="n"/>
      <c r="FV67" s="449" t="n"/>
      <c r="FW67" s="449" t="n"/>
      <c r="FX67" s="449" t="n"/>
      <c r="FY67" s="449" t="n"/>
      <c r="FZ67" s="449" t="n"/>
      <c r="GA67" s="449" t="n"/>
      <c r="GB67" s="449" t="n"/>
      <c r="GC67" s="449" t="n"/>
      <c r="GD67" s="449" t="n"/>
      <c r="GE67" s="449" t="n"/>
      <c r="GF67" s="449" t="n"/>
      <c r="GG67" s="449" t="n"/>
      <c r="GH67" s="449" t="n"/>
      <c r="GI67" s="449" t="n"/>
      <c r="GJ67" s="449" t="n"/>
      <c r="GK67" s="449" t="n"/>
      <c r="GL67" s="449" t="n"/>
      <c r="GM67" s="449" t="n"/>
      <c r="GN67" s="449" t="n"/>
      <c r="GO67" s="449" t="n"/>
      <c r="GP67" s="449" t="n"/>
      <c r="GQ67" s="449" t="n"/>
      <c r="GR67" s="449" t="n"/>
      <c r="GS67" s="449" t="n"/>
      <c r="GT67" s="449" t="n"/>
      <c r="GU67" s="449" t="n"/>
      <c r="GV67" s="449" t="n"/>
      <c r="GW67" s="449" t="n"/>
      <c r="GX67" s="449" t="n"/>
      <c r="GY67" s="449" t="n"/>
      <c r="GZ67" s="449" t="n"/>
      <c r="HA67" s="449" t="n"/>
      <c r="HB67" s="449" t="n"/>
      <c r="HC67" s="449" t="n"/>
      <c r="HD67" s="449" t="n"/>
      <c r="HE67" s="449" t="n"/>
      <c r="HF67" s="449" t="n"/>
      <c r="HG67" s="449" t="n"/>
      <c r="HH67" s="449" t="n"/>
      <c r="HI67" s="449" t="n"/>
      <c r="HJ67" s="449" t="n"/>
      <c r="HK67" s="449" t="n"/>
      <c r="HL67" s="449" t="n"/>
      <c r="HM67" s="449" t="n"/>
      <c r="HN67" s="449" t="n"/>
    </row>
    <row r="68" ht="23.25" customFormat="1" customHeight="1" s="447">
      <c r="G68" s="447" t="inlineStr">
        <is>
          <t>_____________________ Н.О. Васецкая</t>
        </is>
      </c>
      <c r="CB68" s="447" t="inlineStr">
        <is>
          <t>_____________________ А.И. Боровков</t>
        </is>
      </c>
      <c r="FS68" s="946" t="n"/>
      <c r="FT68" s="1409" t="n"/>
      <c r="FU68" s="1409" t="n"/>
      <c r="FV68" s="1409" t="n"/>
      <c r="FW68" s="1409" t="n"/>
      <c r="FX68" s="1409" t="n"/>
      <c r="FY68" s="1409" t="n"/>
      <c r="FZ68" s="1409" t="n"/>
      <c r="GA68" s="1409" t="n"/>
      <c r="GB68" s="1409" t="n"/>
      <c r="GC68" s="1409" t="n"/>
      <c r="GD68" s="1409" t="n"/>
      <c r="GE68" s="1409" t="n"/>
      <c r="GF68" s="1409" t="n"/>
      <c r="GG68" s="1409" t="n"/>
      <c r="GH68" s="1409" t="n"/>
      <c r="GI68" s="1409" t="n"/>
      <c r="GJ68" s="1409" t="n"/>
      <c r="GK68" s="1409" t="n"/>
      <c r="GL68" s="446" t="n"/>
      <c r="GM68" s="446" t="n"/>
      <c r="GN68" s="948" t="n"/>
      <c r="GO68" s="1409" t="n"/>
      <c r="GP68" s="1409" t="n"/>
      <c r="GQ68" s="1409" t="n"/>
      <c r="GR68" s="1409" t="n"/>
      <c r="GS68" s="1409" t="n"/>
      <c r="GT68" s="1409" t="n"/>
      <c r="GU68" s="1409" t="n"/>
      <c r="GV68" s="1409" t="n"/>
      <c r="GW68" s="1409" t="n"/>
      <c r="GX68" s="1409" t="n"/>
      <c r="GY68" s="1409" t="n"/>
      <c r="GZ68" s="1409" t="n"/>
      <c r="HA68" s="1409" t="n"/>
      <c r="HB68" s="446" t="n"/>
      <c r="HC68" s="446" t="n"/>
      <c r="HD68" s="946" t="n"/>
      <c r="HE68" s="1409" t="n"/>
      <c r="HF68" s="1409" t="n"/>
      <c r="HG68" s="1409" t="n"/>
      <c r="HH68" s="1409" t="n"/>
      <c r="HI68" s="1409" t="n"/>
      <c r="HJ68" s="1409" t="n"/>
      <c r="HK68" s="1409" t="n"/>
      <c r="HL68" s="1409" t="n"/>
      <c r="HM68" s="1409" t="n"/>
      <c r="HN68" s="1409" t="n"/>
      <c r="HO68" s="1409" t="n"/>
      <c r="HP68" s="1409" t="n"/>
      <c r="HQ68" s="1409" t="n"/>
      <c r="HR68" s="1409" t="n"/>
      <c r="HS68" s="1409" t="n"/>
      <c r="HT68" s="1409" t="n"/>
      <c r="HU68" s="1409" t="n"/>
      <c r="HV68" s="1409" t="n"/>
      <c r="HW68" s="1409" t="n"/>
      <c r="HX68" s="1409" t="n"/>
      <c r="HY68" s="1409" t="n"/>
      <c r="HZ68" s="1409" t="n"/>
      <c r="IA68" s="1409" t="n"/>
    </row>
    <row r="69" ht="12" customFormat="1" customHeight="1" s="446">
      <c r="F69" s="446" t="n"/>
      <c r="G69" s="446" t="inlineStr">
        <is>
          <t xml:space="preserve">  (подпись)                                               (Ф.И.О.)</t>
        </is>
      </c>
      <c r="H69" s="446" t="n"/>
      <c r="K69" s="446" t="n"/>
      <c r="L69" s="446" t="n"/>
      <c r="M69" s="446" t="n"/>
      <c r="BP69" s="446" t="n"/>
      <c r="BQ69" s="446" t="n"/>
      <c r="BR69" s="446" t="n"/>
      <c r="BS69" s="446" t="n"/>
      <c r="BT69" s="446" t="n"/>
      <c r="BU69" s="446" t="n"/>
      <c r="BV69" s="446" t="n"/>
      <c r="BW69" s="446" t="n"/>
      <c r="BX69" s="446" t="n"/>
      <c r="BY69" s="446" t="n"/>
      <c r="BZ69" s="446" t="n"/>
      <c r="CA69" s="446" t="n"/>
      <c r="CB69" s="446" t="inlineStr">
        <is>
          <t xml:space="preserve">  (подпись)                                                  (Ф.И.О.)</t>
        </is>
      </c>
      <c r="DY69" s="446" t="n"/>
      <c r="DZ69" s="446" t="n"/>
      <c r="EA69" s="446" t="n"/>
      <c r="EB69" s="446" t="n"/>
      <c r="EC69" s="446" t="n"/>
      <c r="ED69" s="446" t="n"/>
      <c r="EE69" s="446" t="n"/>
      <c r="EF69" s="446" t="n"/>
      <c r="EG69" s="446" t="n"/>
      <c r="EH69" s="446" t="n"/>
      <c r="EI69" s="446" t="n"/>
      <c r="EJ69" s="446" t="n"/>
      <c r="EK69" s="446" t="n"/>
      <c r="EL69" s="446" t="n"/>
      <c r="EM69" s="446" t="n"/>
      <c r="EN69" s="446" t="n"/>
      <c r="EO69" s="446" t="n"/>
      <c r="EP69" s="446" t="n"/>
      <c r="EQ69" s="446" t="n"/>
      <c r="ER69" s="446" t="n"/>
      <c r="ES69" s="446" t="n"/>
      <c r="ET69" s="446" t="n"/>
      <c r="EU69" s="446" t="n"/>
      <c r="EV69" s="446" t="n"/>
      <c r="EW69" s="446" t="n"/>
      <c r="EX69" s="446" t="n"/>
      <c r="EY69" s="446" t="n"/>
      <c r="EZ69" s="446" t="n"/>
      <c r="FA69" s="271" t="n"/>
      <c r="FB69" s="271" t="n"/>
      <c r="FC69" s="271" t="n"/>
      <c r="FD69" s="271" t="n"/>
      <c r="FE69" s="271" t="n"/>
      <c r="FF69" s="271" t="n"/>
      <c r="FS69" s="947" t="inlineStr">
        <is>
          <t>(должность)</t>
        </is>
      </c>
      <c r="GL69" s="1340" t="n"/>
      <c r="GM69" s="1340" t="n"/>
      <c r="GN69" s="947" t="inlineStr">
        <is>
          <t>(подпись)</t>
        </is>
      </c>
      <c r="HB69" s="1340" t="n"/>
      <c r="HC69" s="1340" t="n"/>
      <c r="HD69" s="947" t="inlineStr">
        <is>
          <t>(Ф.И.О.)</t>
        </is>
      </c>
    </row>
    <row r="70" ht="15.75" customFormat="1" customHeight="1" s="1340">
      <c r="C70" s="447" t="n"/>
      <c r="D70" s="447" t="n"/>
      <c r="E70" s="447" t="n"/>
      <c r="F70" s="447" t="n"/>
      <c r="BA70" s="447" t="n"/>
      <c r="BB70" s="447" t="n"/>
      <c r="BC70" s="447" t="n"/>
      <c r="BD70" s="447" t="n"/>
      <c r="BE70" s="447" t="n"/>
      <c r="BF70" s="447" t="n"/>
      <c r="BG70" s="447" t="n"/>
      <c r="BH70" s="447" t="n"/>
      <c r="BI70" s="447" t="n"/>
      <c r="BJ70" s="447" t="n"/>
      <c r="BK70" s="447" t="n"/>
      <c r="BL70" s="447" t="n"/>
      <c r="BM70" s="447" t="n"/>
      <c r="BN70" s="447" t="n"/>
      <c r="BO70" s="447" t="n"/>
      <c r="BP70" s="447" t="n"/>
      <c r="BQ70" s="447" t="n"/>
      <c r="BR70" s="447" t="n"/>
      <c r="BS70" s="447" t="n"/>
      <c r="BT70" s="447" t="n"/>
      <c r="BU70" s="447" t="n"/>
      <c r="BV70" s="447" t="n"/>
      <c r="BW70" s="447" t="n"/>
      <c r="BX70" s="447" t="n"/>
      <c r="BY70" s="447" t="n"/>
      <c r="BZ70" s="447" t="n"/>
      <c r="CA70" s="447" t="n"/>
      <c r="DQ70" s="447" t="n"/>
      <c r="DR70" s="446" t="n"/>
      <c r="DS70" s="446" t="n"/>
      <c r="DT70" s="446" t="n"/>
      <c r="DU70" s="446" t="n"/>
      <c r="DV70" s="446" t="n"/>
      <c r="DW70" s="446" t="n"/>
      <c r="DX70" s="446" t="n"/>
      <c r="DY70" s="446" t="n"/>
      <c r="DZ70" s="446" t="n"/>
      <c r="EA70" s="446" t="n"/>
      <c r="EB70" s="446" t="n"/>
      <c r="EC70" s="446" t="n"/>
      <c r="ED70" s="446" t="n"/>
      <c r="EE70" s="446" t="n"/>
      <c r="EF70" s="446" t="n"/>
      <c r="EG70" s="446" t="n"/>
      <c r="EH70" s="446" t="n"/>
      <c r="EI70" s="446" t="n"/>
      <c r="EJ70" s="446" t="n"/>
      <c r="EK70" s="446" t="n"/>
      <c r="EL70" s="446" t="n"/>
      <c r="EM70" s="446" t="n"/>
      <c r="EN70" s="446" t="n"/>
      <c r="EO70" s="446" t="n"/>
      <c r="EP70" s="446" t="n"/>
      <c r="EQ70" s="446" t="n"/>
      <c r="ER70" s="446" t="n"/>
      <c r="ES70" s="446" t="n"/>
      <c r="ET70" s="446" t="n"/>
      <c r="EU70" s="446" t="n"/>
      <c r="EV70" s="446" t="n"/>
      <c r="EW70" s="446" t="n"/>
      <c r="EX70" s="446" t="n"/>
      <c r="EY70" s="446" t="n"/>
      <c r="EZ70" s="446" t="n"/>
      <c r="FR70" s="443" t="n"/>
      <c r="FS70" s="447" t="inlineStr">
        <is>
          <t>«____» __________________ 2026 г.</t>
        </is>
      </c>
      <c r="FT70" s="447" t="n"/>
    </row>
    <row r="71" ht="15.75" customFormat="1" customHeight="1" s="446">
      <c r="F71" s="446" t="n"/>
      <c r="G71" s="447" t="inlineStr">
        <is>
          <t>«____» __________________ 2026 г.</t>
        </is>
      </c>
      <c r="H71" s="447" t="n"/>
      <c r="I71" s="447" t="n"/>
      <c r="J71" s="447" t="n"/>
      <c r="K71" s="447" t="n"/>
      <c r="L71" s="447" t="n"/>
      <c r="M71" s="447" t="n"/>
      <c r="N71" s="447" t="n"/>
      <c r="O71" s="447" t="n"/>
      <c r="P71" s="447" t="n"/>
      <c r="Q71" s="447" t="n"/>
      <c r="R71" s="447" t="n"/>
      <c r="S71" s="447" t="n"/>
      <c r="T71" s="447" t="n"/>
      <c r="U71" s="447" t="n"/>
      <c r="V71" s="447" t="n"/>
      <c r="W71" s="447" t="n"/>
      <c r="X71" s="447" t="n"/>
      <c r="Y71" s="447" t="n"/>
      <c r="Z71" s="447" t="n"/>
      <c r="AA71" s="447" t="n"/>
      <c r="AB71" s="447" t="n"/>
      <c r="AC71" s="447" t="n"/>
      <c r="AD71" s="447" t="n"/>
      <c r="AE71" s="447" t="n"/>
      <c r="AF71" s="447" t="n"/>
      <c r="AG71" s="447" t="n"/>
      <c r="AH71" s="447" t="n"/>
      <c r="AI71" s="447" t="n"/>
      <c r="AJ71" s="447" t="n"/>
      <c r="AK71" s="447" t="n"/>
      <c r="AL71" s="447" t="n"/>
      <c r="AM71" s="447" t="n"/>
      <c r="AN71" s="447" t="n"/>
      <c r="AO71" s="447" t="n"/>
      <c r="AP71" s="447" t="n"/>
      <c r="AQ71" s="447" t="n"/>
      <c r="AR71" s="447" t="n"/>
      <c r="AS71" s="447" t="n"/>
      <c r="AT71" s="447" t="n"/>
      <c r="AU71" s="447" t="n"/>
      <c r="AV71" s="447" t="n"/>
      <c r="AW71" s="447" t="n"/>
      <c r="AX71" s="447" t="n"/>
      <c r="AY71" s="447" t="n"/>
      <c r="AZ71" s="447" t="n"/>
      <c r="BA71" s="446" t="n"/>
      <c r="BB71" s="446" t="n"/>
      <c r="BC71" s="446" t="n"/>
      <c r="BD71" s="446" t="n"/>
      <c r="BE71" s="446" t="n"/>
      <c r="BF71" s="446" t="n"/>
      <c r="BG71" s="446" t="n"/>
      <c r="BH71" s="446" t="n"/>
      <c r="BI71" s="446" t="n"/>
      <c r="BJ71" s="446" t="n"/>
      <c r="BK71" s="446" t="n"/>
      <c r="BL71" s="446" t="n"/>
      <c r="BM71" s="446" t="n"/>
      <c r="BN71" s="446" t="n"/>
      <c r="BO71" s="446" t="n"/>
      <c r="BP71" s="446" t="n"/>
      <c r="BQ71" s="446" t="n"/>
      <c r="BR71" s="446" t="n"/>
      <c r="BS71" s="446" t="n"/>
      <c r="BT71" s="446" t="n"/>
      <c r="BU71" s="446" t="n"/>
      <c r="BV71" s="446" t="n"/>
      <c r="BW71" s="446" t="n"/>
      <c r="BX71" s="446" t="n"/>
      <c r="BY71" s="446" t="n"/>
      <c r="BZ71" s="446" t="n"/>
      <c r="CA71" s="446" t="n"/>
      <c r="CB71" s="447" t="inlineStr">
        <is>
          <t>«____» __________________ 2026 г.</t>
        </is>
      </c>
      <c r="CC71" s="447" t="n"/>
      <c r="CD71" s="447" t="n"/>
      <c r="CE71" s="447" t="n"/>
      <c r="CF71" s="447" t="n"/>
      <c r="CG71" s="447" t="n"/>
      <c r="CH71" s="447" t="n"/>
      <c r="CI71" s="447" t="n"/>
      <c r="CJ71" s="447" t="n"/>
      <c r="CK71" s="447" t="n"/>
      <c r="CL71" s="447" t="n"/>
      <c r="CM71" s="447" t="n"/>
      <c r="CN71" s="447" t="n"/>
      <c r="CO71" s="447" t="n"/>
      <c r="CP71" s="447" t="n"/>
      <c r="CQ71" s="447" t="n"/>
      <c r="CR71" s="447" t="n"/>
      <c r="CS71" s="447" t="n"/>
      <c r="CT71" s="447" t="n"/>
      <c r="CU71" s="447" t="n"/>
      <c r="CV71" s="447" t="n"/>
      <c r="CW71" s="447" t="n"/>
      <c r="CX71" s="447" t="n"/>
      <c r="CY71" s="447" t="n"/>
      <c r="CZ71" s="447" t="n"/>
      <c r="DA71" s="447" t="n"/>
      <c r="DB71" s="447" t="n"/>
      <c r="DC71" s="447" t="n"/>
      <c r="DD71" s="447" t="n"/>
      <c r="DE71" s="447" t="n"/>
      <c r="DF71" s="447" t="n"/>
      <c r="DG71" s="447" t="n"/>
      <c r="DH71" s="447" t="n"/>
      <c r="DI71" s="447" t="n"/>
      <c r="DJ71" s="447" t="n"/>
      <c r="DK71" s="447" t="n"/>
      <c r="DL71" s="447" t="n"/>
      <c r="DM71" s="447" t="n"/>
      <c r="DN71" s="447" t="n"/>
      <c r="DO71" s="447" t="n"/>
      <c r="DP71" s="447" t="n"/>
      <c r="DQ71" s="446" t="n"/>
      <c r="DR71" s="446" t="n"/>
      <c r="DS71" s="446" t="n"/>
      <c r="DT71" s="446" t="n"/>
      <c r="DU71" s="446" t="n"/>
      <c r="DV71" s="446" t="n"/>
      <c r="DW71" s="446" t="n"/>
      <c r="DX71" s="446" t="n"/>
      <c r="DY71" s="446" t="n"/>
      <c r="DZ71" s="446" t="n"/>
      <c r="EA71" s="446" t="n"/>
      <c r="EB71" s="446" t="n"/>
      <c r="EC71" s="446" t="n"/>
      <c r="ED71" s="446" t="n"/>
      <c r="EE71" s="446" t="n"/>
      <c r="EF71" s="446" t="n"/>
      <c r="EG71" s="446" t="n"/>
      <c r="EH71" s="446" t="n"/>
      <c r="EI71" s="446" t="n"/>
      <c r="EJ71" s="446" t="n"/>
      <c r="EK71" s="446" t="n"/>
      <c r="EL71" s="446" t="n"/>
      <c r="EM71" s="446" t="n"/>
      <c r="EN71" s="446" t="n"/>
      <c r="EO71" s="446" t="n"/>
      <c r="EP71" s="446" t="n"/>
      <c r="EQ71" s="446" t="n"/>
      <c r="ER71" s="446" t="n"/>
      <c r="ES71" s="446" t="n"/>
      <c r="ET71" s="446" t="n"/>
      <c r="EU71" s="446" t="n"/>
      <c r="EV71" s="446" t="n"/>
      <c r="EW71" s="446" t="n"/>
      <c r="EX71" s="446" t="n"/>
      <c r="EY71" s="446" t="n"/>
      <c r="EZ71" s="446" t="n"/>
      <c r="FR71" s="448" t="n"/>
      <c r="FS71" s="446" t="inlineStr">
        <is>
          <t>М.П. (при наличии)</t>
        </is>
      </c>
      <c r="FU71" s="447" t="n"/>
      <c r="FV71" s="447" t="n"/>
      <c r="FW71" s="447" t="n"/>
      <c r="FX71" s="447" t="n"/>
      <c r="FY71" s="447" t="n"/>
      <c r="FZ71" s="447" t="n"/>
      <c r="GA71" s="447" t="n"/>
      <c r="GB71" s="447" t="n"/>
      <c r="GC71" s="447" t="n"/>
      <c r="GD71" s="447" t="n"/>
      <c r="GE71" s="447" t="n"/>
      <c r="GF71" s="447" t="n"/>
      <c r="GG71" s="447" t="n"/>
      <c r="GH71" s="447" t="n"/>
      <c r="GI71" s="447" t="n"/>
      <c r="GJ71" s="447" t="n"/>
      <c r="GK71" s="447" t="n"/>
      <c r="GL71" s="447" t="n"/>
      <c r="GM71" s="447" t="n"/>
      <c r="GN71" s="447" t="n"/>
      <c r="GO71" s="447" t="n"/>
      <c r="GP71" s="447" t="n"/>
      <c r="GQ71" s="447" t="n"/>
      <c r="GR71" s="447" t="n"/>
      <c r="GS71" s="447" t="n"/>
      <c r="GT71" s="447" t="n"/>
      <c r="GU71" s="447" t="n"/>
      <c r="GV71" s="447" t="n"/>
      <c r="GW71" s="447" t="n"/>
      <c r="GX71" s="447" t="n"/>
      <c r="GY71" s="447" t="n"/>
      <c r="GZ71" s="447" t="n"/>
      <c r="HA71" s="447" t="n"/>
      <c r="HB71" s="447" t="n"/>
      <c r="HC71" s="447" t="n"/>
      <c r="HD71" s="447" t="n"/>
      <c r="HE71" s="447" t="n"/>
      <c r="HF71" s="447" t="n"/>
      <c r="HG71" s="447" t="n"/>
      <c r="HH71" s="446" t="n"/>
      <c r="HI71" s="446" t="n"/>
    </row>
    <row r="72" ht="12" customFormat="1" customHeight="1" s="446">
      <c r="A72" s="442" t="n"/>
      <c r="B72" s="442" t="n"/>
      <c r="C72" s="442" t="n"/>
      <c r="D72" s="442" t="n"/>
      <c r="E72" s="442" t="n"/>
      <c r="F72" s="446" t="n"/>
      <c r="G72" s="446" t="n"/>
      <c r="H72" s="446" t="n"/>
      <c r="I72" s="446" t="n"/>
      <c r="J72" s="446" t="n"/>
      <c r="K72" s="446" t="n"/>
      <c r="L72" s="446" t="n"/>
      <c r="M72" s="446" t="n"/>
      <c r="N72" s="446" t="n"/>
      <c r="O72" s="446" t="n"/>
      <c r="P72" s="446" t="n"/>
      <c r="Q72" s="446" t="n"/>
      <c r="R72" s="446" t="n"/>
      <c r="S72" s="446" t="n"/>
      <c r="T72" s="446" t="n"/>
      <c r="U72" s="446" t="n"/>
      <c r="V72" s="446" t="n"/>
      <c r="W72" s="446" t="n"/>
      <c r="X72" s="446" t="n"/>
      <c r="Y72" s="446" t="n"/>
      <c r="Z72" s="446" t="n"/>
      <c r="AA72" s="446" t="n"/>
      <c r="AB72" s="446" t="n"/>
      <c r="AC72" s="446" t="n"/>
      <c r="AD72" s="446" t="n"/>
      <c r="AE72" s="446" t="n"/>
      <c r="AF72" s="446" t="n"/>
      <c r="AG72" s="446" t="n"/>
      <c r="AH72" s="446" t="n"/>
      <c r="AI72" s="446" t="n"/>
      <c r="AJ72" s="446" t="n"/>
      <c r="AK72" s="446" t="n"/>
      <c r="AL72" s="446" t="n"/>
      <c r="AM72" s="446" t="n"/>
      <c r="AN72" s="446" t="n"/>
      <c r="AO72" s="446" t="n"/>
      <c r="AP72" s="446" t="n"/>
      <c r="AQ72" s="446" t="n"/>
      <c r="AR72" s="446" t="n"/>
      <c r="AS72" s="446" t="n"/>
      <c r="AT72" s="446" t="n"/>
      <c r="AU72" s="446" t="n"/>
      <c r="AV72" s="446" t="n"/>
      <c r="AW72" s="446" t="n"/>
      <c r="AX72" s="446" t="n"/>
      <c r="AY72" s="446" t="n"/>
      <c r="AZ72" s="446" t="n"/>
      <c r="BA72" s="446" t="n"/>
      <c r="BB72" s="446" t="n"/>
      <c r="BC72" s="446" t="n"/>
      <c r="BD72" s="446" t="n"/>
      <c r="BE72" s="446" t="n"/>
      <c r="BF72" s="446" t="n"/>
      <c r="BG72" s="446" t="n"/>
      <c r="BH72" s="446" t="n"/>
      <c r="BI72" s="446" t="n"/>
      <c r="BJ72" s="446" t="n"/>
      <c r="BK72" s="446" t="n"/>
      <c r="BL72" s="446" t="n"/>
      <c r="BM72" s="446" t="n"/>
      <c r="BN72" s="446" t="n"/>
      <c r="BO72" s="446" t="n"/>
      <c r="BP72" s="446" t="n"/>
      <c r="BQ72" s="446" t="n"/>
      <c r="BR72" s="446" t="n"/>
      <c r="BS72" s="446" t="n"/>
      <c r="BT72" s="446" t="n"/>
      <c r="BU72" s="446" t="n"/>
      <c r="BV72" s="446" t="n"/>
      <c r="BW72" s="446" t="n"/>
      <c r="BX72" s="446" t="n"/>
      <c r="BY72" s="446" t="n"/>
      <c r="BZ72" s="446" t="n"/>
      <c r="CA72" s="446" t="n"/>
      <c r="CB72" s="446" t="n"/>
      <c r="CC72" s="446" t="n"/>
      <c r="CD72" s="446" t="n"/>
      <c r="CE72" s="446" t="n"/>
      <c r="CF72" s="446" t="n"/>
      <c r="CG72" s="446" t="n"/>
      <c r="CH72" s="446" t="n"/>
      <c r="CI72" s="446" t="n"/>
      <c r="CJ72" s="446" t="n"/>
      <c r="CK72" s="446" t="n"/>
      <c r="CL72" s="446" t="n"/>
      <c r="CM72" s="446" t="n"/>
      <c r="CN72" s="446" t="n"/>
      <c r="CO72" s="446" t="n"/>
      <c r="CP72" s="446" t="n"/>
      <c r="CQ72" s="446" t="n"/>
      <c r="CR72" s="446" t="n"/>
      <c r="CS72" s="446" t="n"/>
      <c r="CT72" s="446" t="n"/>
      <c r="CU72" s="446" t="n"/>
      <c r="CV72" s="446" t="n"/>
      <c r="CW72" s="446" t="n"/>
      <c r="CX72" s="446" t="n"/>
      <c r="CY72" s="446" t="n"/>
      <c r="CZ72" s="446" t="n"/>
      <c r="DA72" s="446" t="n"/>
      <c r="DB72" s="446" t="n"/>
      <c r="DC72" s="446" t="n"/>
      <c r="DD72" s="446" t="n"/>
      <c r="DE72" s="446" t="n"/>
      <c r="DF72" s="446" t="n"/>
      <c r="DG72" s="446" t="n"/>
      <c r="DH72" s="446" t="n"/>
      <c r="DI72" s="446" t="n"/>
      <c r="DJ72" s="446" t="n"/>
      <c r="DK72" s="446" t="n"/>
      <c r="DL72" s="446" t="n"/>
      <c r="DM72" s="446" t="n"/>
      <c r="DN72" s="446" t="n"/>
      <c r="DO72" s="446" t="n"/>
      <c r="DP72" s="446" t="n"/>
      <c r="DQ72" s="446" t="n"/>
      <c r="DR72" s="446" t="n"/>
      <c r="DS72" s="446" t="n"/>
      <c r="DT72" s="446" t="n"/>
      <c r="DU72" s="446" t="n"/>
      <c r="DV72" s="446" t="n"/>
      <c r="DW72" s="446" t="n"/>
      <c r="DX72" s="446" t="n"/>
      <c r="DY72" s="446" t="n"/>
      <c r="DZ72" s="446" t="n"/>
      <c r="EA72" s="446" t="n"/>
      <c r="EB72" s="446" t="n"/>
      <c r="EC72" s="446" t="n"/>
      <c r="ED72" s="446" t="n"/>
      <c r="EE72" s="446" t="n"/>
      <c r="EF72" s="446" t="n"/>
      <c r="EG72" s="446" t="n"/>
      <c r="EH72" s="446" t="n"/>
      <c r="EI72" s="446" t="n"/>
      <c r="EJ72" s="446" t="n"/>
      <c r="EK72" s="446" t="n"/>
      <c r="EL72" s="446" t="n"/>
      <c r="EM72" s="446" t="n"/>
      <c r="EN72" s="446" t="n"/>
      <c r="EO72" s="446" t="n"/>
      <c r="EP72" s="446" t="n"/>
      <c r="EQ72" s="446" t="n"/>
      <c r="ER72" s="446" t="n"/>
      <c r="ES72" s="446" t="n"/>
      <c r="ET72" s="446" t="n"/>
      <c r="EU72" s="446" t="n"/>
      <c r="EV72" s="446" t="n"/>
      <c r="EW72" s="446" t="n"/>
      <c r="EX72" s="446" t="n"/>
      <c r="EY72" s="446" t="n"/>
      <c r="EZ72" s="446" t="n"/>
      <c r="FA72" s="271" t="n"/>
      <c r="FB72" s="271" t="n"/>
      <c r="FC72" s="271" t="n"/>
      <c r="FD72" s="271" t="n"/>
      <c r="FE72" s="271" t="n"/>
      <c r="FF72" s="271" t="n"/>
      <c r="FG72" s="271" t="n"/>
      <c r="FH72" s="271" t="n"/>
      <c r="FI72" s="271" t="n"/>
      <c r="FJ72" s="271" t="n"/>
      <c r="FK72" s="271" t="n"/>
      <c r="FL72" s="271" t="n"/>
      <c r="FM72" s="271" t="n"/>
      <c r="FN72" s="271" t="n"/>
      <c r="FO72" s="271" t="n"/>
      <c r="FP72" s="271" t="n"/>
      <c r="FQ72" s="271" t="n"/>
      <c r="FR72" s="271" t="n"/>
      <c r="FU72" s="271" t="n"/>
      <c r="FV72" s="271" t="n"/>
      <c r="FW72" s="271" t="n"/>
      <c r="FX72" s="271" t="n"/>
      <c r="FY72" s="271" t="n"/>
      <c r="FZ72" s="271" t="n"/>
      <c r="GA72" s="271" t="n"/>
      <c r="GB72" s="271" t="n"/>
      <c r="GC72" s="271" t="n"/>
      <c r="GD72" s="271" t="n"/>
      <c r="GE72" s="271" t="n"/>
      <c r="GF72" s="271" t="n"/>
      <c r="GG72" s="271" t="n"/>
      <c r="GH72" s="271" t="n"/>
      <c r="GI72" s="271" t="n"/>
      <c r="GJ72" s="271" t="n"/>
      <c r="GK72" s="271" t="n"/>
      <c r="GL72" s="271" t="n"/>
      <c r="GM72" s="271" t="n"/>
      <c r="GN72" s="271" t="n"/>
      <c r="GO72" s="271" t="n"/>
      <c r="GP72" s="271" t="n"/>
      <c r="GQ72" s="271" t="n"/>
      <c r="GR72" s="271" t="n"/>
      <c r="GS72" s="271" t="n"/>
      <c r="GT72" s="271" t="n"/>
      <c r="GU72" s="271" t="n"/>
      <c r="GV72" s="271" t="n"/>
      <c r="GW72" s="271" t="n"/>
      <c r="GX72" s="271" t="n"/>
      <c r="GY72" s="271" t="n"/>
      <c r="GZ72" s="271" t="n"/>
      <c r="HA72" s="271" t="n"/>
      <c r="HB72" s="271" t="n"/>
      <c r="HC72" s="271" t="n"/>
      <c r="HD72" s="271" t="n"/>
      <c r="HE72" s="271" t="n"/>
      <c r="HF72" s="271" t="n"/>
      <c r="HG72" s="271" t="n"/>
      <c r="HH72" s="271" t="n"/>
      <c r="HI72" s="271" t="n"/>
      <c r="HJ72" s="271" t="n"/>
      <c r="HK72" s="271" t="n"/>
      <c r="HL72" s="271" t="n"/>
    </row>
    <row r="77">
      <c r="FA77" s="1440" t="n"/>
    </row>
  </sheetData>
  <mergeCells count="608">
    <mergeCell ref="BK41:CB41"/>
    <mergeCell ref="CU17:DJ17"/>
    <mergeCell ref="HM53:IB53"/>
    <mergeCell ref="GH49:GW49"/>
    <mergeCell ref="HM47:IB47"/>
    <mergeCell ref="EC45:ES45"/>
    <mergeCell ref="GH24:GW24"/>
    <mergeCell ref="CU57:DJ57"/>
    <mergeCell ref="EC38:ES38"/>
    <mergeCell ref="FF27:FR27"/>
    <mergeCell ref="GX58:HL59"/>
    <mergeCell ref="GX45:HL45"/>
    <mergeCell ref="DK65:EB65"/>
    <mergeCell ref="GX20:HL20"/>
    <mergeCell ref="EC65:ES65"/>
    <mergeCell ref="EC40:ES40"/>
    <mergeCell ref="ET32:FE32"/>
    <mergeCell ref="BK43:CB43"/>
    <mergeCell ref="EC27:ES27"/>
    <mergeCell ref="A20:F20"/>
    <mergeCell ref="GX47:HL47"/>
    <mergeCell ref="A38:F38"/>
    <mergeCell ref="CC18:CT18"/>
    <mergeCell ref="GX22:HL22"/>
    <mergeCell ref="FS18:GG18"/>
    <mergeCell ref="A40:F40"/>
    <mergeCell ref="G28:BJ28"/>
    <mergeCell ref="A64:F64"/>
    <mergeCell ref="A51:F51"/>
    <mergeCell ref="GH39:GW39"/>
    <mergeCell ref="CC42:CT42"/>
    <mergeCell ref="G30:BJ30"/>
    <mergeCell ref="GX63:HL63"/>
    <mergeCell ref="CC29:CT29"/>
    <mergeCell ref="GX38:HL38"/>
    <mergeCell ref="ET50:FE50"/>
    <mergeCell ref="GH37:GW37"/>
    <mergeCell ref="FS21:GG21"/>
    <mergeCell ref="CC44:CT44"/>
    <mergeCell ref="FF22:FR22"/>
    <mergeCell ref="EC20:ES20"/>
    <mergeCell ref="GX40:HL40"/>
    <mergeCell ref="ET52:FE52"/>
    <mergeCell ref="HM43:IB43"/>
    <mergeCell ref="CC37:CT37"/>
    <mergeCell ref="GN68:HA68"/>
    <mergeCell ref="EC22:ES22"/>
    <mergeCell ref="ET45:FE45"/>
    <mergeCell ref="BK56:CB56"/>
    <mergeCell ref="A33:F33"/>
    <mergeCell ref="BK14:HV14"/>
    <mergeCell ref="GX35:HL35"/>
    <mergeCell ref="ET47:FE47"/>
    <mergeCell ref="BK64:CB64"/>
    <mergeCell ref="FS69:GK69"/>
    <mergeCell ref="A35:F35"/>
    <mergeCell ref="BK51:CB51"/>
    <mergeCell ref="GH50:GW50"/>
    <mergeCell ref="FF48:FR48"/>
    <mergeCell ref="EC46:ES46"/>
    <mergeCell ref="A28:F28"/>
    <mergeCell ref="GX53:HL53"/>
    <mergeCell ref="CU25:DJ25"/>
    <mergeCell ref="GH52:GW52"/>
    <mergeCell ref="EC48:ES48"/>
    <mergeCell ref="A30:F30"/>
    <mergeCell ref="GH27:GW27"/>
    <mergeCell ref="G18:BJ18"/>
    <mergeCell ref="ET63:FE63"/>
    <mergeCell ref="FF43:FR43"/>
    <mergeCell ref="CC17:CT17"/>
    <mergeCell ref="G34:BJ34"/>
    <mergeCell ref="FS26:GG26"/>
    <mergeCell ref="HM21:IB21"/>
    <mergeCell ref="GX48:HL48"/>
    <mergeCell ref="CC19:CT19"/>
    <mergeCell ref="EC43:ES43"/>
    <mergeCell ref="A54:F54"/>
    <mergeCell ref="FF17:FR17"/>
    <mergeCell ref="ET58:FE59"/>
    <mergeCell ref="G29:BJ29"/>
    <mergeCell ref="CU38:DJ38"/>
    <mergeCell ref="A56:F56"/>
    <mergeCell ref="BK8:HV8"/>
    <mergeCell ref="CC20:CT20"/>
    <mergeCell ref="FF19:FR19"/>
    <mergeCell ref="G44:BJ44"/>
    <mergeCell ref="GH45:GW45"/>
    <mergeCell ref="G31:BJ31"/>
    <mergeCell ref="HM18:IB18"/>
    <mergeCell ref="GH63:GW63"/>
    <mergeCell ref="DK40:EB40"/>
    <mergeCell ref="CC45:CT45"/>
    <mergeCell ref="EC34:ES34"/>
    <mergeCell ref="FF33:FR33"/>
    <mergeCell ref="DK25:EB25"/>
    <mergeCell ref="BK24:CB24"/>
    <mergeCell ref="FF20:FR20"/>
    <mergeCell ref="CU30:DJ30"/>
    <mergeCell ref="GX41:HL41"/>
    <mergeCell ref="FS37:GG37"/>
    <mergeCell ref="ET53:FE53"/>
    <mergeCell ref="DK30:EB30"/>
    <mergeCell ref="FS24:GG24"/>
    <mergeCell ref="GN69:HA69"/>
    <mergeCell ref="CC47:CT47"/>
    <mergeCell ref="EC36:ES36"/>
    <mergeCell ref="GX43:HL43"/>
    <mergeCell ref="GX18:HL18"/>
    <mergeCell ref="A34:F34"/>
    <mergeCell ref="CC38:CT38"/>
    <mergeCell ref="FS38:GG38"/>
    <mergeCell ref="A49:F49"/>
    <mergeCell ref="BK65:CB65"/>
    <mergeCell ref="CC51:CT51"/>
    <mergeCell ref="G49:BJ49"/>
    <mergeCell ref="A36:F36"/>
    <mergeCell ref="HD69:IA69"/>
    <mergeCell ref="DK31:EB31"/>
    <mergeCell ref="G24:BJ24"/>
    <mergeCell ref="FS65:GG65"/>
    <mergeCell ref="A65:F65"/>
    <mergeCell ref="CU43:DJ43"/>
    <mergeCell ref="G26:BJ26"/>
    <mergeCell ref="GH53:GW53"/>
    <mergeCell ref="FF51:FR51"/>
    <mergeCell ref="BK16:FE16"/>
    <mergeCell ref="CC40:CT40"/>
    <mergeCell ref="CU28:DJ28"/>
    <mergeCell ref="CC27:CT27"/>
    <mergeCell ref="DK63:EB63"/>
    <mergeCell ref="DK34:EB34"/>
    <mergeCell ref="EC51:ES51"/>
    <mergeCell ref="FS27:GG27"/>
    <mergeCell ref="CC58:CT59"/>
    <mergeCell ref="GX54:HL54"/>
    <mergeCell ref="DK49:EB49"/>
    <mergeCell ref="DF4:DW4"/>
    <mergeCell ref="EC49:ES49"/>
    <mergeCell ref="DK36:EB36"/>
    <mergeCell ref="HM24:IB24"/>
    <mergeCell ref="CC41:CT41"/>
    <mergeCell ref="EC37:ES37"/>
    <mergeCell ref="CC35:CT35"/>
    <mergeCell ref="GX56:HL56"/>
    <mergeCell ref="BK10:HV10"/>
    <mergeCell ref="CC22:CT22"/>
    <mergeCell ref="DK29:EB29"/>
    <mergeCell ref="BK7:HV7"/>
    <mergeCell ref="G39:BJ39"/>
    <mergeCell ref="ET43:FE43"/>
    <mergeCell ref="HM26:IB26"/>
    <mergeCell ref="ET18:FE18"/>
    <mergeCell ref="A16:F17"/>
    <mergeCell ref="DK44:EB44"/>
    <mergeCell ref="GH46:GW46"/>
    <mergeCell ref="GH21:GW21"/>
    <mergeCell ref="CU54:DJ54"/>
    <mergeCell ref="FF41:FR41"/>
    <mergeCell ref="G37:BJ37"/>
    <mergeCell ref="FF35:FR35"/>
    <mergeCell ref="HM55:IB55"/>
    <mergeCell ref="GH48:GW48"/>
    <mergeCell ref="HM27:IB27"/>
    <mergeCell ref="CU56:DJ56"/>
    <mergeCell ref="FF64:FR64"/>
    <mergeCell ref="FF36:FR36"/>
    <mergeCell ref="ET21:FE21"/>
    <mergeCell ref="FS46:GG46"/>
    <mergeCell ref="FS40:GG40"/>
    <mergeCell ref="EC64:ES64"/>
    <mergeCell ref="A50:F50"/>
    <mergeCell ref="G50:BJ50"/>
    <mergeCell ref="HM37:IB37"/>
    <mergeCell ref="CC54:CT54"/>
    <mergeCell ref="DK24:EB24"/>
    <mergeCell ref="CU34:DJ34"/>
    <mergeCell ref="G52:BJ52"/>
    <mergeCell ref="CU49:DJ49"/>
    <mergeCell ref="G27:BJ27"/>
    <mergeCell ref="G58:BJ59"/>
    <mergeCell ref="HM38:IB38"/>
    <mergeCell ref="FF54:FR54"/>
    <mergeCell ref="CU42:DJ42"/>
    <mergeCell ref="EC17:ES17"/>
    <mergeCell ref="FF29:FR29"/>
    <mergeCell ref="GX37:HL37"/>
    <mergeCell ref="CU29:DJ29"/>
    <mergeCell ref="BK20:CB20"/>
    <mergeCell ref="EC57:ES57"/>
    <mergeCell ref="CU44:DJ44"/>
    <mergeCell ref="CC43:CT43"/>
    <mergeCell ref="DK23:EB23"/>
    <mergeCell ref="GX64:HL64"/>
    <mergeCell ref="DK50:EB50"/>
    <mergeCell ref="CU31:DJ31"/>
    <mergeCell ref="BK22:CB22"/>
    <mergeCell ref="ET26:FE26"/>
    <mergeCell ref="GX57:HL57"/>
    <mergeCell ref="DK52:EB52"/>
    <mergeCell ref="FS34:GG34"/>
    <mergeCell ref="GH29:GW29"/>
    <mergeCell ref="DK39:EB39"/>
    <mergeCell ref="GH23:GW23"/>
    <mergeCell ref="GX65:HL65"/>
    <mergeCell ref="ET55:FE55"/>
    <mergeCell ref="G55:BJ55"/>
    <mergeCell ref="G47:BJ47"/>
    <mergeCell ref="G46:BJ46"/>
    <mergeCell ref="G40:BJ40"/>
    <mergeCell ref="GH64:GW64"/>
    <mergeCell ref="FS48:GG48"/>
    <mergeCell ref="GX27:HL27"/>
    <mergeCell ref="FF42:FR42"/>
    <mergeCell ref="BK33:CB33"/>
    <mergeCell ref="DK21:EB21"/>
    <mergeCell ref="GX25:HL25"/>
    <mergeCell ref="ET37:FE37"/>
    <mergeCell ref="ET24:FE24"/>
    <mergeCell ref="CC56:CT56"/>
    <mergeCell ref="BK35:CB35"/>
    <mergeCell ref="FS43:GG43"/>
    <mergeCell ref="BK34:CB34"/>
    <mergeCell ref="FS51:GG51"/>
    <mergeCell ref="HM46:IB46"/>
    <mergeCell ref="G53:BJ53"/>
    <mergeCell ref="GH42:GW42"/>
    <mergeCell ref="HM40:IB40"/>
    <mergeCell ref="CC57:CT57"/>
    <mergeCell ref="FF56:FR56"/>
    <mergeCell ref="CU50:DJ50"/>
    <mergeCell ref="DK27:EB27"/>
    <mergeCell ref="BK36:CB36"/>
    <mergeCell ref="A3:IB3"/>
    <mergeCell ref="GH17:GW17"/>
    <mergeCell ref="BK30:CB30"/>
    <mergeCell ref="EC19:ES19"/>
    <mergeCell ref="HM48:IB48"/>
    <mergeCell ref="FF16:IB16"/>
    <mergeCell ref="CU52:DJ52"/>
    <mergeCell ref="CU39:DJ39"/>
    <mergeCell ref="A46:F46"/>
    <mergeCell ref="EC33:ES33"/>
    <mergeCell ref="ET17:FE17"/>
    <mergeCell ref="A26:F26"/>
    <mergeCell ref="FS68:GK68"/>
    <mergeCell ref="ET27:FE27"/>
    <mergeCell ref="DK53:EB53"/>
    <mergeCell ref="ET19:FE19"/>
    <mergeCell ref="G21:BJ21"/>
    <mergeCell ref="DK55:EB55"/>
    <mergeCell ref="GH32:GW32"/>
    <mergeCell ref="CU65:DJ65"/>
    <mergeCell ref="GH26:GW26"/>
    <mergeCell ref="G48:BJ48"/>
    <mergeCell ref="G23:BJ23"/>
    <mergeCell ref="CC39:CT39"/>
    <mergeCell ref="FS39:GG39"/>
    <mergeCell ref="HM34:IB34"/>
    <mergeCell ref="CU63:DJ63"/>
    <mergeCell ref="BK54:CB54"/>
    <mergeCell ref="FF50:FR50"/>
    <mergeCell ref="DK42:EB42"/>
    <mergeCell ref="HM64:IB64"/>
    <mergeCell ref="A39:F39"/>
    <mergeCell ref="GX33:HL33"/>
    <mergeCell ref="HD68:IA68"/>
    <mergeCell ref="HM36:IB36"/>
    <mergeCell ref="CC64:CT64"/>
    <mergeCell ref="ET38:FE38"/>
    <mergeCell ref="BK49:CB49"/>
    <mergeCell ref="CU58:DJ59"/>
    <mergeCell ref="HM65:IB65"/>
    <mergeCell ref="DK37:EB37"/>
    <mergeCell ref="GX28:HL28"/>
    <mergeCell ref="GH44:GW44"/>
    <mergeCell ref="ET40:FE40"/>
    <mergeCell ref="BK57:CB57"/>
    <mergeCell ref="CC65:CT65"/>
    <mergeCell ref="A62:F63"/>
    <mergeCell ref="GH19:GW19"/>
    <mergeCell ref="ET51:FE51"/>
    <mergeCell ref="GX30:HL30"/>
    <mergeCell ref="A21:F21"/>
    <mergeCell ref="A57:F57"/>
    <mergeCell ref="EC25:ES25"/>
    <mergeCell ref="BK52:CB52"/>
    <mergeCell ref="EC41:ES41"/>
    <mergeCell ref="EC35:ES35"/>
    <mergeCell ref="CU53:DJ53"/>
    <mergeCell ref="A23:F23"/>
    <mergeCell ref="BK39:CB39"/>
    <mergeCell ref="GH20:GW20"/>
    <mergeCell ref="FF63:FR63"/>
    <mergeCell ref="GH22:GW22"/>
    <mergeCell ref="CU55:DJ55"/>
    <mergeCell ref="A52:F52"/>
    <mergeCell ref="HM49:IB49"/>
    <mergeCell ref="ET33:FE33"/>
    <mergeCell ref="GH51:GW51"/>
    <mergeCell ref="FS64:GG64"/>
    <mergeCell ref="ET20:FE20"/>
    <mergeCell ref="ET35:FE35"/>
    <mergeCell ref="FF25:FR25"/>
    <mergeCell ref="ET22:FE22"/>
    <mergeCell ref="BK21:CB21"/>
    <mergeCell ref="GH38:GW38"/>
    <mergeCell ref="CC53:CT53"/>
    <mergeCell ref="ET64:FE64"/>
    <mergeCell ref="BK32:CB32"/>
    <mergeCell ref="BK26:CB26"/>
    <mergeCell ref="G64:BJ64"/>
    <mergeCell ref="G51:BJ51"/>
    <mergeCell ref="BK13:HV13"/>
    <mergeCell ref="CC55:CT55"/>
    <mergeCell ref="GX34:HL34"/>
    <mergeCell ref="EC54:ES54"/>
    <mergeCell ref="ET46:FE46"/>
    <mergeCell ref="GH33:GW33"/>
    <mergeCell ref="FS17:GG17"/>
    <mergeCell ref="A55:F55"/>
    <mergeCell ref="EC29:ES29"/>
    <mergeCell ref="A47:F47"/>
    <mergeCell ref="GX36:HL36"/>
    <mergeCell ref="ET48:FE48"/>
    <mergeCell ref="FS19:GG19"/>
    <mergeCell ref="EC31:ES31"/>
    <mergeCell ref="CC25:CT25"/>
    <mergeCell ref="G42:BJ42"/>
    <mergeCell ref="A29:F29"/>
    <mergeCell ref="A44:F44"/>
    <mergeCell ref="GH47:GW47"/>
    <mergeCell ref="DK51:EB51"/>
    <mergeCell ref="A31:F31"/>
    <mergeCell ref="G19:BJ19"/>
    <mergeCell ref="A24:F24"/>
    <mergeCell ref="CU21:DJ21"/>
    <mergeCell ref="HM57:IB57"/>
    <mergeCell ref="CU23:DJ23"/>
    <mergeCell ref="EC42:ES42"/>
    <mergeCell ref="ET34:FE34"/>
    <mergeCell ref="HM17:IB17"/>
    <mergeCell ref="BK42:CB42"/>
    <mergeCell ref="GX49:HL49"/>
    <mergeCell ref="G32:BJ32"/>
    <mergeCell ref="GH40:GW40"/>
    <mergeCell ref="ET36:FE36"/>
    <mergeCell ref="HM19:IB19"/>
    <mergeCell ref="CC30:CT30"/>
    <mergeCell ref="GH58:GW59"/>
    <mergeCell ref="CU18:DJ18"/>
    <mergeCell ref="A42:F42"/>
    <mergeCell ref="FF34:FR34"/>
    <mergeCell ref="FF28:FR28"/>
    <mergeCell ref="ET65:FE65"/>
    <mergeCell ref="GX50:HL50"/>
    <mergeCell ref="DK64:EB64"/>
    <mergeCell ref="EC56:ES56"/>
    <mergeCell ref="GH41:GW41"/>
    <mergeCell ref="HM20:IB20"/>
    <mergeCell ref="GH35:GW35"/>
    <mergeCell ref="BK48:CB48"/>
    <mergeCell ref="FF30:FR30"/>
    <mergeCell ref="FF57:FR57"/>
    <mergeCell ref="FF32:FR32"/>
    <mergeCell ref="GH43:GW43"/>
    <mergeCell ref="EC39:ES39"/>
    <mergeCell ref="A48:F48"/>
    <mergeCell ref="CC33:CT33"/>
    <mergeCell ref="FS33:GG33"/>
    <mergeCell ref="FS20:GG20"/>
    <mergeCell ref="EC32:ES32"/>
    <mergeCell ref="GX39:HL39"/>
    <mergeCell ref="FS35:GG35"/>
    <mergeCell ref="FS22:GG22"/>
    <mergeCell ref="CC34:CT34"/>
    <mergeCell ref="CC28:CT28"/>
    <mergeCell ref="G45:BJ45"/>
    <mergeCell ref="ET49:FE49"/>
    <mergeCell ref="G20:BJ20"/>
    <mergeCell ref="BK53:CB53"/>
    <mergeCell ref="G22:BJ22"/>
    <mergeCell ref="GH54:GW54"/>
    <mergeCell ref="FF52:FR52"/>
    <mergeCell ref="EC50:ES50"/>
    <mergeCell ref="EC44:ES44"/>
    <mergeCell ref="FF39:FR39"/>
    <mergeCell ref="CU37:DJ37"/>
    <mergeCell ref="CU24:DJ24"/>
    <mergeCell ref="FF18:FR18"/>
    <mergeCell ref="EC52:ES52"/>
    <mergeCell ref="DX4:EA4"/>
    <mergeCell ref="DK45:EB45"/>
    <mergeCell ref="CU26:DJ26"/>
    <mergeCell ref="FF47:FR47"/>
    <mergeCell ref="DK32:EB32"/>
    <mergeCell ref="G38:BJ38"/>
    <mergeCell ref="DK26:EB26"/>
    <mergeCell ref="CC31:CT31"/>
    <mergeCell ref="GX52:HL52"/>
    <mergeCell ref="BK6:HV6"/>
    <mergeCell ref="CC23:CT23"/>
    <mergeCell ref="FS23:GG23"/>
    <mergeCell ref="EC47:ES47"/>
    <mergeCell ref="HM22:IB22"/>
    <mergeCell ref="GH18:GW18"/>
    <mergeCell ref="FF65:FR65"/>
    <mergeCell ref="A45:F45"/>
    <mergeCell ref="G33:BJ33"/>
    <mergeCell ref="FF31:FR31"/>
    <mergeCell ref="HM51:IB51"/>
    <mergeCell ref="FS41:GG41"/>
    <mergeCell ref="G35:BJ35"/>
    <mergeCell ref="EC63:ES63"/>
    <mergeCell ref="CU19:DJ19"/>
    <mergeCell ref="CC49:CT49"/>
    <mergeCell ref="DK19:EB19"/>
    <mergeCell ref="BK28:CB28"/>
    <mergeCell ref="CC36:CT36"/>
    <mergeCell ref="FF58:FR59"/>
    <mergeCell ref="FS36:GG36"/>
    <mergeCell ref="ET57:FE57"/>
    <mergeCell ref="HM33:IB33"/>
    <mergeCell ref="CC50:CT50"/>
    <mergeCell ref="FF49:FR49"/>
    <mergeCell ref="DK20:EB20"/>
    <mergeCell ref="BK29:CB29"/>
    <mergeCell ref="BK23:CB23"/>
    <mergeCell ref="FF24:FR24"/>
    <mergeCell ref="GX46:HL46"/>
    <mergeCell ref="HM41:IB41"/>
    <mergeCell ref="GH56:GW56"/>
    <mergeCell ref="HM35:IB35"/>
    <mergeCell ref="CU45:DJ45"/>
    <mergeCell ref="DK22:EB22"/>
    <mergeCell ref="CU32:DJ32"/>
    <mergeCell ref="FF26:FR26"/>
    <mergeCell ref="FF53:FR53"/>
    <mergeCell ref="BK62:FE62"/>
    <mergeCell ref="FF44:FR44"/>
    <mergeCell ref="CU47:DJ47"/>
    <mergeCell ref="FS54:GG54"/>
    <mergeCell ref="HM39:IB39"/>
    <mergeCell ref="GH57:GW57"/>
    <mergeCell ref="FF55:FR55"/>
    <mergeCell ref="DK47:EB47"/>
    <mergeCell ref="FS29:GG29"/>
    <mergeCell ref="EC53:ES53"/>
    <mergeCell ref="ET25:FE25"/>
    <mergeCell ref="CU40:DJ40"/>
    <mergeCell ref="FF62:IB62"/>
    <mergeCell ref="DK46:EB46"/>
    <mergeCell ref="FS56:GG56"/>
    <mergeCell ref="CU27:DJ27"/>
    <mergeCell ref="FS31:GG31"/>
    <mergeCell ref="EC55:ES55"/>
    <mergeCell ref="FS49:GG49"/>
    <mergeCell ref="DK48:EB48"/>
    <mergeCell ref="G54:BJ54"/>
    <mergeCell ref="CC24:CT24"/>
    <mergeCell ref="BK9:HV9"/>
    <mergeCell ref="G41:BJ41"/>
    <mergeCell ref="HM28:IB28"/>
    <mergeCell ref="GX55:HL55"/>
    <mergeCell ref="CC32:CT32"/>
    <mergeCell ref="BK18:CB18"/>
    <mergeCell ref="CC63:CT63"/>
    <mergeCell ref="G56:BJ56"/>
    <mergeCell ref="FS32:GG32"/>
    <mergeCell ref="CC26:CT26"/>
    <mergeCell ref="G43:BJ43"/>
    <mergeCell ref="HM30:IB30"/>
    <mergeCell ref="FF37:FR37"/>
    <mergeCell ref="A32:F32"/>
    <mergeCell ref="HM29:IB29"/>
    <mergeCell ref="G36:BJ36"/>
    <mergeCell ref="HM23:IB23"/>
    <mergeCell ref="DK58:EB59"/>
    <mergeCell ref="DK18:EB18"/>
    <mergeCell ref="CU20:DJ20"/>
    <mergeCell ref="EC58:ES59"/>
    <mergeCell ref="FF38:FR38"/>
    <mergeCell ref="DK17:EB17"/>
    <mergeCell ref="CU35:DJ35"/>
    <mergeCell ref="FS42:GG42"/>
    <mergeCell ref="GX21:HL21"/>
    <mergeCell ref="CU22:DJ22"/>
    <mergeCell ref="DK35:EB35"/>
    <mergeCell ref="BK44:CB44"/>
    <mergeCell ref="CC52:CT52"/>
    <mergeCell ref="BK31:CB31"/>
    <mergeCell ref="FS50:GG50"/>
    <mergeCell ref="FS44:GG44"/>
    <mergeCell ref="GX23:HL23"/>
    <mergeCell ref="DK43:EB43"/>
    <mergeCell ref="BK45:CB45"/>
    <mergeCell ref="A41:F41"/>
    <mergeCell ref="EC28:ES28"/>
    <mergeCell ref="CU46:DJ46"/>
    <mergeCell ref="ET39:FE39"/>
    <mergeCell ref="FS45:GG45"/>
    <mergeCell ref="GH65:GW65"/>
    <mergeCell ref="A27:F27"/>
    <mergeCell ref="EC30:ES30"/>
    <mergeCell ref="CU48:DJ48"/>
    <mergeCell ref="A18:F18"/>
    <mergeCell ref="G62:BJ63"/>
    <mergeCell ref="GX51:HL51"/>
    <mergeCell ref="HM42:IB42"/>
    <mergeCell ref="FS57:GG57"/>
    <mergeCell ref="CU33:DJ33"/>
    <mergeCell ref="A22:F22"/>
    <mergeCell ref="BK11:HV11"/>
    <mergeCell ref="ET28:FE28"/>
    <mergeCell ref="HM54:IB54"/>
    <mergeCell ref="DK54:EB54"/>
    <mergeCell ref="DK41:EB41"/>
    <mergeCell ref="BK50:CB50"/>
    <mergeCell ref="GH25:GW25"/>
    <mergeCell ref="CC46:CT46"/>
    <mergeCell ref="FF45:FR45"/>
    <mergeCell ref="G16:BJ17"/>
    <mergeCell ref="HM56:IB56"/>
    <mergeCell ref="G57:BJ57"/>
    <mergeCell ref="DK56:EB56"/>
    <mergeCell ref="BK19:CB19"/>
    <mergeCell ref="BK12:HV12"/>
    <mergeCell ref="HM31:IB31"/>
    <mergeCell ref="ET23:FE23"/>
    <mergeCell ref="CC48:CT48"/>
    <mergeCell ref="FF46:FR46"/>
    <mergeCell ref="DK38:EB38"/>
    <mergeCell ref="FF40:FR40"/>
    <mergeCell ref="GX29:HL29"/>
    <mergeCell ref="FS25:GG25"/>
    <mergeCell ref="ET41:FE41"/>
    <mergeCell ref="HM32:IB32"/>
    <mergeCell ref="EC18:ES18"/>
    <mergeCell ref="CU36:DJ36"/>
    <mergeCell ref="FS52:GG52"/>
    <mergeCell ref="GX31:HL31"/>
    <mergeCell ref="GH55:GW55"/>
    <mergeCell ref="DK33:EB33"/>
    <mergeCell ref="GX24:HL24"/>
    <mergeCell ref="BK47:CB47"/>
    <mergeCell ref="A58:F59"/>
    <mergeCell ref="FS53:GG53"/>
    <mergeCell ref="FS47:GG47"/>
    <mergeCell ref="GX26:HL26"/>
    <mergeCell ref="A53:F53"/>
    <mergeCell ref="BK38:CB38"/>
    <mergeCell ref="HM63:IB63"/>
    <mergeCell ref="EC21:ES21"/>
    <mergeCell ref="HM50:IB50"/>
    <mergeCell ref="HM44:IB44"/>
    <mergeCell ref="A19:F19"/>
    <mergeCell ref="EC23:ES23"/>
    <mergeCell ref="CU41:DJ41"/>
    <mergeCell ref="BK63:CB63"/>
    <mergeCell ref="CU51:DJ51"/>
    <mergeCell ref="ET30:FE30"/>
    <mergeCell ref="GX42:HL42"/>
    <mergeCell ref="FS63:GG63"/>
    <mergeCell ref="ET54:FE54"/>
    <mergeCell ref="HM45:IB45"/>
    <mergeCell ref="GX17:HL17"/>
    <mergeCell ref="ET29:FE29"/>
    <mergeCell ref="EC24:ES24"/>
    <mergeCell ref="DK28:EB28"/>
    <mergeCell ref="BK37:CB37"/>
    <mergeCell ref="GX44:HL44"/>
    <mergeCell ref="BK27:CB27"/>
    <mergeCell ref="G65:BJ65"/>
    <mergeCell ref="ET56:FE56"/>
    <mergeCell ref="BK58:CB59"/>
    <mergeCell ref="GX19:HL19"/>
    <mergeCell ref="ET31:FE31"/>
    <mergeCell ref="FF21:FR21"/>
    <mergeCell ref="FS58:GG59"/>
    <mergeCell ref="DK57:EB57"/>
    <mergeCell ref="A37:F37"/>
    <mergeCell ref="GH34:GW34"/>
    <mergeCell ref="GH28:GW28"/>
    <mergeCell ref="G25:BJ25"/>
    <mergeCell ref="FF23:FR23"/>
    <mergeCell ref="GH36:GW36"/>
    <mergeCell ref="GH30:GW30"/>
    <mergeCell ref="EC26:ES26"/>
    <mergeCell ref="A43:F43"/>
    <mergeCell ref="GX32:HL32"/>
    <mergeCell ref="FS28:GG28"/>
    <mergeCell ref="GH31:GW31"/>
    <mergeCell ref="CU64:DJ64"/>
    <mergeCell ref="BK55:CB55"/>
    <mergeCell ref="BK17:CB17"/>
    <mergeCell ref="CC21:CT21"/>
    <mergeCell ref="FS55:GG55"/>
    <mergeCell ref="ET42:FE42"/>
    <mergeCell ref="FS30:GG30"/>
    <mergeCell ref="HM25:IB25"/>
    <mergeCell ref="BK46:CB46"/>
    <mergeCell ref="BK40:CB40"/>
    <mergeCell ref="CZ4:DE4"/>
    <mergeCell ref="BK25:CB25"/>
    <mergeCell ref="HM52:IB52"/>
    <mergeCell ref="ET44:FE44"/>
    <mergeCell ref="HM58:IB59"/>
    <mergeCell ref="A25:F25"/>
  </mergeCells>
  <pageMargins left="1.574803149606299" right="0" top="0" bottom="0" header="0" footer="0"/>
  <pageSetup orientation="landscape" paperSize="9" scale="53"/>
</worksheet>
</file>

<file path=xl/worksheets/sheet4.xml><?xml version="1.0" encoding="utf-8"?>
<worksheet xmlns="http://schemas.openxmlformats.org/spreadsheetml/2006/main">
  <sheetPr>
    <tabColor theme="9" tint="0.7999816888943144"/>
    <outlinePr summaryBelow="1" summaryRight="1"/>
    <pageSetUpPr/>
  </sheetPr>
  <dimension ref="A1:AY57"/>
  <sheetViews>
    <sheetView view="pageBreakPreview" topLeftCell="A10" zoomScale="70" zoomScaleNormal="100" zoomScaleSheetLayoutView="70" workbookViewId="0">
      <selection activeCell="C13" sqref="C13:C22"/>
    </sheetView>
  </sheetViews>
  <sheetFormatPr baseColWidth="8" defaultColWidth="0.85546875" defaultRowHeight="12.75"/>
  <cols>
    <col width="4.28515625" customWidth="1" style="22" min="1" max="1"/>
    <col width="56.140625" customWidth="1" style="22" min="2" max="2"/>
    <col width="15.5703125" customWidth="1" style="22" min="3" max="3"/>
    <col width="14.85546875" customWidth="1" style="22" min="4" max="4"/>
    <col width="33.7109375" customWidth="1" style="22" min="5" max="5"/>
    <col width="16.28515625" customWidth="1" style="22" min="6" max="6"/>
    <col width="15.28515625" customWidth="1" style="22" min="7" max="7"/>
    <col width="16.28515625" customWidth="1" style="22" min="8" max="8"/>
    <col width="8.140625" customWidth="1" style="22" min="9" max="9"/>
    <col width="7.5703125" customWidth="1" style="22" min="10" max="10"/>
    <col width="8.85546875" customWidth="1" style="22" min="11" max="11"/>
    <col width="12.5703125" customWidth="1" style="22" min="12" max="12"/>
    <col width="11.140625" customWidth="1" style="22" min="13" max="13"/>
    <col width="6.140625" customWidth="1" style="22" min="14" max="14"/>
    <col width="0.85546875" customWidth="1" style="22" min="15" max="256"/>
    <col width="4.28515625" customWidth="1" style="22" min="257" max="257"/>
    <col width="38.7109375" customWidth="1" style="22" min="258" max="258"/>
    <col width="15.5703125" customWidth="1" style="22" min="259" max="259"/>
    <col width="13" customWidth="1" style="22" min="260" max="260"/>
    <col width="27.7109375" customWidth="1" style="22" min="261" max="261"/>
    <col width="16.28515625" customWidth="1" style="22" min="262" max="262"/>
    <col width="15.28515625" customWidth="1" style="22" min="263" max="263"/>
    <col width="13.7109375" customWidth="1" style="22" min="264" max="264"/>
    <col width="6.85546875" customWidth="1" style="22" min="265" max="265"/>
    <col width="7" customWidth="1" style="22" min="266" max="266"/>
    <col width="6.7109375" customWidth="1" style="22" min="267" max="267"/>
    <col width="14.7109375" customWidth="1" style="22" min="268" max="268"/>
    <col width="4" customWidth="1" style="22" min="269" max="269"/>
    <col width="6.140625" customWidth="1" style="22" min="270" max="270"/>
    <col width="0.85546875" customWidth="1" style="22" min="271" max="512"/>
    <col width="4.28515625" customWidth="1" style="22" min="513" max="513"/>
    <col width="38.7109375" customWidth="1" style="22" min="514" max="514"/>
    <col width="15.5703125" customWidth="1" style="22" min="515" max="515"/>
    <col width="13" customWidth="1" style="22" min="516" max="516"/>
    <col width="27.7109375" customWidth="1" style="22" min="517" max="517"/>
    <col width="16.28515625" customWidth="1" style="22" min="518" max="518"/>
    <col width="15.28515625" customWidth="1" style="22" min="519" max="519"/>
    <col width="13.7109375" customWidth="1" style="22" min="520" max="520"/>
    <col width="6.85546875" customWidth="1" style="22" min="521" max="521"/>
    <col width="7" customWidth="1" style="22" min="522" max="522"/>
    <col width="6.7109375" customWidth="1" style="22" min="523" max="523"/>
    <col width="14.7109375" customWidth="1" style="22" min="524" max="524"/>
    <col width="4" customWidth="1" style="22" min="525" max="525"/>
    <col width="6.140625" customWidth="1" style="22" min="526" max="526"/>
    <col width="0.85546875" customWidth="1" style="22" min="527" max="768"/>
    <col width="4.28515625" customWidth="1" style="22" min="769" max="769"/>
    <col width="38.7109375" customWidth="1" style="22" min="770" max="770"/>
    <col width="15.5703125" customWidth="1" style="22" min="771" max="771"/>
    <col width="13" customWidth="1" style="22" min="772" max="772"/>
    <col width="27.7109375" customWidth="1" style="22" min="773" max="773"/>
    <col width="16.28515625" customWidth="1" style="22" min="774" max="774"/>
    <col width="15.28515625" customWidth="1" style="22" min="775" max="775"/>
    <col width="13.7109375" customWidth="1" style="22" min="776" max="776"/>
    <col width="6.85546875" customWidth="1" style="22" min="777" max="777"/>
    <col width="7" customWidth="1" style="22" min="778" max="778"/>
    <col width="6.7109375" customWidth="1" style="22" min="779" max="779"/>
    <col width="14.7109375" customWidth="1" style="22" min="780" max="780"/>
    <col width="4" customWidth="1" style="22" min="781" max="781"/>
    <col width="6.140625" customWidth="1" style="22" min="782" max="782"/>
    <col width="0.85546875" customWidth="1" style="22" min="783" max="1024"/>
    <col width="4.28515625" customWidth="1" style="22" min="1025" max="1025"/>
    <col width="38.7109375" customWidth="1" style="22" min="1026" max="1026"/>
    <col width="15.5703125" customWidth="1" style="22" min="1027" max="1027"/>
    <col width="13" customWidth="1" style="22" min="1028" max="1028"/>
    <col width="27.7109375" customWidth="1" style="22" min="1029" max="1029"/>
    <col width="16.28515625" customWidth="1" style="22" min="1030" max="1030"/>
    <col width="15.28515625" customWidth="1" style="22" min="1031" max="1031"/>
    <col width="13.7109375" customWidth="1" style="22" min="1032" max="1032"/>
    <col width="6.85546875" customWidth="1" style="22" min="1033" max="1033"/>
    <col width="7" customWidth="1" style="22" min="1034" max="1034"/>
    <col width="6.7109375" customWidth="1" style="22" min="1035" max="1035"/>
    <col width="14.7109375" customWidth="1" style="22" min="1036" max="1036"/>
    <col width="4" customWidth="1" style="22" min="1037" max="1037"/>
    <col width="6.140625" customWidth="1" style="22" min="1038" max="1038"/>
    <col width="0.85546875" customWidth="1" style="22" min="1039" max="1280"/>
    <col width="4.28515625" customWidth="1" style="22" min="1281" max="1281"/>
    <col width="38.7109375" customWidth="1" style="22" min="1282" max="1282"/>
    <col width="15.5703125" customWidth="1" style="22" min="1283" max="1283"/>
    <col width="13" customWidth="1" style="22" min="1284" max="1284"/>
    <col width="27.7109375" customWidth="1" style="22" min="1285" max="1285"/>
    <col width="16.28515625" customWidth="1" style="22" min="1286" max="1286"/>
    <col width="15.28515625" customWidth="1" style="22" min="1287" max="1287"/>
    <col width="13.7109375" customWidth="1" style="22" min="1288" max="1288"/>
    <col width="6.85546875" customWidth="1" style="22" min="1289" max="1289"/>
    <col width="7" customWidth="1" style="22" min="1290" max="1290"/>
    <col width="6.7109375" customWidth="1" style="22" min="1291" max="1291"/>
    <col width="14.7109375" customWidth="1" style="22" min="1292" max="1292"/>
    <col width="4" customWidth="1" style="22" min="1293" max="1293"/>
    <col width="6.140625" customWidth="1" style="22" min="1294" max="1294"/>
    <col width="0.85546875" customWidth="1" style="22" min="1295" max="1536"/>
    <col width="4.28515625" customWidth="1" style="22" min="1537" max="1537"/>
    <col width="38.7109375" customWidth="1" style="22" min="1538" max="1538"/>
    <col width="15.5703125" customWidth="1" style="22" min="1539" max="1539"/>
    <col width="13" customWidth="1" style="22" min="1540" max="1540"/>
    <col width="27.7109375" customWidth="1" style="22" min="1541" max="1541"/>
    <col width="16.28515625" customWidth="1" style="22" min="1542" max="1542"/>
    <col width="15.28515625" customWidth="1" style="22" min="1543" max="1543"/>
    <col width="13.7109375" customWidth="1" style="22" min="1544" max="1544"/>
    <col width="6.85546875" customWidth="1" style="22" min="1545" max="1545"/>
    <col width="7" customWidth="1" style="22" min="1546" max="1546"/>
    <col width="6.7109375" customWidth="1" style="22" min="1547" max="1547"/>
    <col width="14.7109375" customWidth="1" style="22" min="1548" max="1548"/>
    <col width="4" customWidth="1" style="22" min="1549" max="1549"/>
    <col width="6.140625" customWidth="1" style="22" min="1550" max="1550"/>
    <col width="0.85546875" customWidth="1" style="22" min="1551" max="1792"/>
    <col width="4.28515625" customWidth="1" style="22" min="1793" max="1793"/>
    <col width="38.7109375" customWidth="1" style="22" min="1794" max="1794"/>
    <col width="15.5703125" customWidth="1" style="22" min="1795" max="1795"/>
    <col width="13" customWidth="1" style="22" min="1796" max="1796"/>
    <col width="27.7109375" customWidth="1" style="22" min="1797" max="1797"/>
    <col width="16.28515625" customWidth="1" style="22" min="1798" max="1798"/>
    <col width="15.28515625" customWidth="1" style="22" min="1799" max="1799"/>
    <col width="13.7109375" customWidth="1" style="22" min="1800" max="1800"/>
    <col width="6.85546875" customWidth="1" style="22" min="1801" max="1801"/>
    <col width="7" customWidth="1" style="22" min="1802" max="1802"/>
    <col width="6.7109375" customWidth="1" style="22" min="1803" max="1803"/>
    <col width="14.7109375" customWidth="1" style="22" min="1804" max="1804"/>
    <col width="4" customWidth="1" style="22" min="1805" max="1805"/>
    <col width="6.140625" customWidth="1" style="22" min="1806" max="1806"/>
    <col width="0.85546875" customWidth="1" style="22" min="1807" max="2048"/>
    <col width="4.28515625" customWidth="1" style="22" min="2049" max="2049"/>
    <col width="38.7109375" customWidth="1" style="22" min="2050" max="2050"/>
    <col width="15.5703125" customWidth="1" style="22" min="2051" max="2051"/>
    <col width="13" customWidth="1" style="22" min="2052" max="2052"/>
    <col width="27.7109375" customWidth="1" style="22" min="2053" max="2053"/>
    <col width="16.28515625" customWidth="1" style="22" min="2054" max="2054"/>
    <col width="15.28515625" customWidth="1" style="22" min="2055" max="2055"/>
    <col width="13.7109375" customWidth="1" style="22" min="2056" max="2056"/>
    <col width="6.85546875" customWidth="1" style="22" min="2057" max="2057"/>
    <col width="7" customWidth="1" style="22" min="2058" max="2058"/>
    <col width="6.7109375" customWidth="1" style="22" min="2059" max="2059"/>
    <col width="14.7109375" customWidth="1" style="22" min="2060" max="2060"/>
    <col width="4" customWidth="1" style="22" min="2061" max="2061"/>
    <col width="6.140625" customWidth="1" style="22" min="2062" max="2062"/>
    <col width="0.85546875" customWidth="1" style="22" min="2063" max="2304"/>
    <col width="4.28515625" customWidth="1" style="22" min="2305" max="2305"/>
    <col width="38.7109375" customWidth="1" style="22" min="2306" max="2306"/>
    <col width="15.5703125" customWidth="1" style="22" min="2307" max="2307"/>
    <col width="13" customWidth="1" style="22" min="2308" max="2308"/>
    <col width="27.7109375" customWidth="1" style="22" min="2309" max="2309"/>
    <col width="16.28515625" customWidth="1" style="22" min="2310" max="2310"/>
    <col width="15.28515625" customWidth="1" style="22" min="2311" max="2311"/>
    <col width="13.7109375" customWidth="1" style="22" min="2312" max="2312"/>
    <col width="6.85546875" customWidth="1" style="22" min="2313" max="2313"/>
    <col width="7" customWidth="1" style="22" min="2314" max="2314"/>
    <col width="6.7109375" customWidth="1" style="22" min="2315" max="2315"/>
    <col width="14.7109375" customWidth="1" style="22" min="2316" max="2316"/>
    <col width="4" customWidth="1" style="22" min="2317" max="2317"/>
    <col width="6.140625" customWidth="1" style="22" min="2318" max="2318"/>
    <col width="0.85546875" customWidth="1" style="22" min="2319" max="2560"/>
    <col width="4.28515625" customWidth="1" style="22" min="2561" max="2561"/>
    <col width="38.7109375" customWidth="1" style="22" min="2562" max="2562"/>
    <col width="15.5703125" customWidth="1" style="22" min="2563" max="2563"/>
    <col width="13" customWidth="1" style="22" min="2564" max="2564"/>
    <col width="27.7109375" customWidth="1" style="22" min="2565" max="2565"/>
    <col width="16.28515625" customWidth="1" style="22" min="2566" max="2566"/>
    <col width="15.28515625" customWidth="1" style="22" min="2567" max="2567"/>
    <col width="13.7109375" customWidth="1" style="22" min="2568" max="2568"/>
    <col width="6.85546875" customWidth="1" style="22" min="2569" max="2569"/>
    <col width="7" customWidth="1" style="22" min="2570" max="2570"/>
    <col width="6.7109375" customWidth="1" style="22" min="2571" max="2571"/>
    <col width="14.7109375" customWidth="1" style="22" min="2572" max="2572"/>
    <col width="4" customWidth="1" style="22" min="2573" max="2573"/>
    <col width="6.140625" customWidth="1" style="22" min="2574" max="2574"/>
    <col width="0.85546875" customWidth="1" style="22" min="2575" max="2816"/>
    <col width="4.28515625" customWidth="1" style="22" min="2817" max="2817"/>
    <col width="38.7109375" customWidth="1" style="22" min="2818" max="2818"/>
    <col width="15.5703125" customWidth="1" style="22" min="2819" max="2819"/>
    <col width="13" customWidth="1" style="22" min="2820" max="2820"/>
    <col width="27.7109375" customWidth="1" style="22" min="2821" max="2821"/>
    <col width="16.28515625" customWidth="1" style="22" min="2822" max="2822"/>
    <col width="15.28515625" customWidth="1" style="22" min="2823" max="2823"/>
    <col width="13.7109375" customWidth="1" style="22" min="2824" max="2824"/>
    <col width="6.85546875" customWidth="1" style="22" min="2825" max="2825"/>
    <col width="7" customWidth="1" style="22" min="2826" max="2826"/>
    <col width="6.7109375" customWidth="1" style="22" min="2827" max="2827"/>
    <col width="14.7109375" customWidth="1" style="22" min="2828" max="2828"/>
    <col width="4" customWidth="1" style="22" min="2829" max="2829"/>
    <col width="6.140625" customWidth="1" style="22" min="2830" max="2830"/>
    <col width="0.85546875" customWidth="1" style="22" min="2831" max="3072"/>
    <col width="4.28515625" customWidth="1" style="22" min="3073" max="3073"/>
    <col width="38.7109375" customWidth="1" style="22" min="3074" max="3074"/>
    <col width="15.5703125" customWidth="1" style="22" min="3075" max="3075"/>
    <col width="13" customWidth="1" style="22" min="3076" max="3076"/>
    <col width="27.7109375" customWidth="1" style="22" min="3077" max="3077"/>
    <col width="16.28515625" customWidth="1" style="22" min="3078" max="3078"/>
    <col width="15.28515625" customWidth="1" style="22" min="3079" max="3079"/>
    <col width="13.7109375" customWidth="1" style="22" min="3080" max="3080"/>
    <col width="6.85546875" customWidth="1" style="22" min="3081" max="3081"/>
    <col width="7" customWidth="1" style="22" min="3082" max="3082"/>
    <col width="6.7109375" customWidth="1" style="22" min="3083" max="3083"/>
    <col width="14.7109375" customWidth="1" style="22" min="3084" max="3084"/>
    <col width="4" customWidth="1" style="22" min="3085" max="3085"/>
    <col width="6.140625" customWidth="1" style="22" min="3086" max="3086"/>
    <col width="0.85546875" customWidth="1" style="22" min="3087" max="3328"/>
    <col width="4.28515625" customWidth="1" style="22" min="3329" max="3329"/>
    <col width="38.7109375" customWidth="1" style="22" min="3330" max="3330"/>
    <col width="15.5703125" customWidth="1" style="22" min="3331" max="3331"/>
    <col width="13" customWidth="1" style="22" min="3332" max="3332"/>
    <col width="27.7109375" customWidth="1" style="22" min="3333" max="3333"/>
    <col width="16.28515625" customWidth="1" style="22" min="3334" max="3334"/>
    <col width="15.28515625" customWidth="1" style="22" min="3335" max="3335"/>
    <col width="13.7109375" customWidth="1" style="22" min="3336" max="3336"/>
    <col width="6.85546875" customWidth="1" style="22" min="3337" max="3337"/>
    <col width="7" customWidth="1" style="22" min="3338" max="3338"/>
    <col width="6.7109375" customWidth="1" style="22" min="3339" max="3339"/>
    <col width="14.7109375" customWidth="1" style="22" min="3340" max="3340"/>
    <col width="4" customWidth="1" style="22" min="3341" max="3341"/>
    <col width="6.140625" customWidth="1" style="22" min="3342" max="3342"/>
    <col width="0.85546875" customWidth="1" style="22" min="3343" max="3584"/>
    <col width="4.28515625" customWidth="1" style="22" min="3585" max="3585"/>
    <col width="38.7109375" customWidth="1" style="22" min="3586" max="3586"/>
    <col width="15.5703125" customWidth="1" style="22" min="3587" max="3587"/>
    <col width="13" customWidth="1" style="22" min="3588" max="3588"/>
    <col width="27.7109375" customWidth="1" style="22" min="3589" max="3589"/>
    <col width="16.28515625" customWidth="1" style="22" min="3590" max="3590"/>
    <col width="15.28515625" customWidth="1" style="22" min="3591" max="3591"/>
    <col width="13.7109375" customWidth="1" style="22" min="3592" max="3592"/>
    <col width="6.85546875" customWidth="1" style="22" min="3593" max="3593"/>
    <col width="7" customWidth="1" style="22" min="3594" max="3594"/>
    <col width="6.7109375" customWidth="1" style="22" min="3595" max="3595"/>
    <col width="14.7109375" customWidth="1" style="22" min="3596" max="3596"/>
    <col width="4" customWidth="1" style="22" min="3597" max="3597"/>
    <col width="6.140625" customWidth="1" style="22" min="3598" max="3598"/>
    <col width="0.85546875" customWidth="1" style="22" min="3599" max="3840"/>
    <col width="4.28515625" customWidth="1" style="22" min="3841" max="3841"/>
    <col width="38.7109375" customWidth="1" style="22" min="3842" max="3842"/>
    <col width="15.5703125" customWidth="1" style="22" min="3843" max="3843"/>
    <col width="13" customWidth="1" style="22" min="3844" max="3844"/>
    <col width="27.7109375" customWidth="1" style="22" min="3845" max="3845"/>
    <col width="16.28515625" customWidth="1" style="22" min="3846" max="3846"/>
    <col width="15.28515625" customWidth="1" style="22" min="3847" max="3847"/>
    <col width="13.7109375" customWidth="1" style="22" min="3848" max="3848"/>
    <col width="6.85546875" customWidth="1" style="22" min="3849" max="3849"/>
    <col width="7" customWidth="1" style="22" min="3850" max="3850"/>
    <col width="6.7109375" customWidth="1" style="22" min="3851" max="3851"/>
    <col width="14.7109375" customWidth="1" style="22" min="3852" max="3852"/>
    <col width="4" customWidth="1" style="22" min="3853" max="3853"/>
    <col width="6.140625" customWidth="1" style="22" min="3854" max="3854"/>
    <col width="0.85546875" customWidth="1" style="22" min="3855" max="4096"/>
    <col width="4.28515625" customWidth="1" style="22" min="4097" max="4097"/>
    <col width="38.7109375" customWidth="1" style="22" min="4098" max="4098"/>
    <col width="15.5703125" customWidth="1" style="22" min="4099" max="4099"/>
    <col width="13" customWidth="1" style="22" min="4100" max="4100"/>
    <col width="27.7109375" customWidth="1" style="22" min="4101" max="4101"/>
    <col width="16.28515625" customWidth="1" style="22" min="4102" max="4102"/>
    <col width="15.28515625" customWidth="1" style="22" min="4103" max="4103"/>
    <col width="13.7109375" customWidth="1" style="22" min="4104" max="4104"/>
    <col width="6.85546875" customWidth="1" style="22" min="4105" max="4105"/>
    <col width="7" customWidth="1" style="22" min="4106" max="4106"/>
    <col width="6.7109375" customWidth="1" style="22" min="4107" max="4107"/>
    <col width="14.7109375" customWidth="1" style="22" min="4108" max="4108"/>
    <col width="4" customWidth="1" style="22" min="4109" max="4109"/>
    <col width="6.140625" customWidth="1" style="22" min="4110" max="4110"/>
    <col width="0.85546875" customWidth="1" style="22" min="4111" max="4352"/>
    <col width="4.28515625" customWidth="1" style="22" min="4353" max="4353"/>
    <col width="38.7109375" customWidth="1" style="22" min="4354" max="4354"/>
    <col width="15.5703125" customWidth="1" style="22" min="4355" max="4355"/>
    <col width="13" customWidth="1" style="22" min="4356" max="4356"/>
    <col width="27.7109375" customWidth="1" style="22" min="4357" max="4357"/>
    <col width="16.28515625" customWidth="1" style="22" min="4358" max="4358"/>
    <col width="15.28515625" customWidth="1" style="22" min="4359" max="4359"/>
    <col width="13.7109375" customWidth="1" style="22" min="4360" max="4360"/>
    <col width="6.85546875" customWidth="1" style="22" min="4361" max="4361"/>
    <col width="7" customWidth="1" style="22" min="4362" max="4362"/>
    <col width="6.7109375" customWidth="1" style="22" min="4363" max="4363"/>
    <col width="14.7109375" customWidth="1" style="22" min="4364" max="4364"/>
    <col width="4" customWidth="1" style="22" min="4365" max="4365"/>
    <col width="6.140625" customWidth="1" style="22" min="4366" max="4366"/>
    <col width="0.85546875" customWidth="1" style="22" min="4367" max="4608"/>
    <col width="4.28515625" customWidth="1" style="22" min="4609" max="4609"/>
    <col width="38.7109375" customWidth="1" style="22" min="4610" max="4610"/>
    <col width="15.5703125" customWidth="1" style="22" min="4611" max="4611"/>
    <col width="13" customWidth="1" style="22" min="4612" max="4612"/>
    <col width="27.7109375" customWidth="1" style="22" min="4613" max="4613"/>
    <col width="16.28515625" customWidth="1" style="22" min="4614" max="4614"/>
    <col width="15.28515625" customWidth="1" style="22" min="4615" max="4615"/>
    <col width="13.7109375" customWidth="1" style="22" min="4616" max="4616"/>
    <col width="6.85546875" customWidth="1" style="22" min="4617" max="4617"/>
    <col width="7" customWidth="1" style="22" min="4618" max="4618"/>
    <col width="6.7109375" customWidth="1" style="22" min="4619" max="4619"/>
    <col width="14.7109375" customWidth="1" style="22" min="4620" max="4620"/>
    <col width="4" customWidth="1" style="22" min="4621" max="4621"/>
    <col width="6.140625" customWidth="1" style="22" min="4622" max="4622"/>
    <col width="0.85546875" customWidth="1" style="22" min="4623" max="4864"/>
    <col width="4.28515625" customWidth="1" style="22" min="4865" max="4865"/>
    <col width="38.7109375" customWidth="1" style="22" min="4866" max="4866"/>
    <col width="15.5703125" customWidth="1" style="22" min="4867" max="4867"/>
    <col width="13" customWidth="1" style="22" min="4868" max="4868"/>
    <col width="27.7109375" customWidth="1" style="22" min="4869" max="4869"/>
    <col width="16.28515625" customWidth="1" style="22" min="4870" max="4870"/>
    <col width="15.28515625" customWidth="1" style="22" min="4871" max="4871"/>
    <col width="13.7109375" customWidth="1" style="22" min="4872" max="4872"/>
    <col width="6.85546875" customWidth="1" style="22" min="4873" max="4873"/>
    <col width="7" customWidth="1" style="22" min="4874" max="4874"/>
    <col width="6.7109375" customWidth="1" style="22" min="4875" max="4875"/>
    <col width="14.7109375" customWidth="1" style="22" min="4876" max="4876"/>
    <col width="4" customWidth="1" style="22" min="4877" max="4877"/>
    <col width="6.140625" customWidth="1" style="22" min="4878" max="4878"/>
    <col width="0.85546875" customWidth="1" style="22" min="4879" max="5120"/>
    <col width="4.28515625" customWidth="1" style="22" min="5121" max="5121"/>
    <col width="38.7109375" customWidth="1" style="22" min="5122" max="5122"/>
    <col width="15.5703125" customWidth="1" style="22" min="5123" max="5123"/>
    <col width="13" customWidth="1" style="22" min="5124" max="5124"/>
    <col width="27.7109375" customWidth="1" style="22" min="5125" max="5125"/>
    <col width="16.28515625" customWidth="1" style="22" min="5126" max="5126"/>
    <col width="15.28515625" customWidth="1" style="22" min="5127" max="5127"/>
    <col width="13.7109375" customWidth="1" style="22" min="5128" max="5128"/>
    <col width="6.85546875" customWidth="1" style="22" min="5129" max="5129"/>
    <col width="7" customWidth="1" style="22" min="5130" max="5130"/>
    <col width="6.7109375" customWidth="1" style="22" min="5131" max="5131"/>
    <col width="14.7109375" customWidth="1" style="22" min="5132" max="5132"/>
    <col width="4" customWidth="1" style="22" min="5133" max="5133"/>
    <col width="6.140625" customWidth="1" style="22" min="5134" max="5134"/>
    <col width="0.85546875" customWidth="1" style="22" min="5135" max="5376"/>
    <col width="4.28515625" customWidth="1" style="22" min="5377" max="5377"/>
    <col width="38.7109375" customWidth="1" style="22" min="5378" max="5378"/>
    <col width="15.5703125" customWidth="1" style="22" min="5379" max="5379"/>
    <col width="13" customWidth="1" style="22" min="5380" max="5380"/>
    <col width="27.7109375" customWidth="1" style="22" min="5381" max="5381"/>
    <col width="16.28515625" customWidth="1" style="22" min="5382" max="5382"/>
    <col width="15.28515625" customWidth="1" style="22" min="5383" max="5383"/>
    <col width="13.7109375" customWidth="1" style="22" min="5384" max="5384"/>
    <col width="6.85546875" customWidth="1" style="22" min="5385" max="5385"/>
    <col width="7" customWidth="1" style="22" min="5386" max="5386"/>
    <col width="6.7109375" customWidth="1" style="22" min="5387" max="5387"/>
    <col width="14.7109375" customWidth="1" style="22" min="5388" max="5388"/>
    <col width="4" customWidth="1" style="22" min="5389" max="5389"/>
    <col width="6.140625" customWidth="1" style="22" min="5390" max="5390"/>
    <col width="0.85546875" customWidth="1" style="22" min="5391" max="5632"/>
    <col width="4.28515625" customWidth="1" style="22" min="5633" max="5633"/>
    <col width="38.7109375" customWidth="1" style="22" min="5634" max="5634"/>
    <col width="15.5703125" customWidth="1" style="22" min="5635" max="5635"/>
    <col width="13" customWidth="1" style="22" min="5636" max="5636"/>
    <col width="27.7109375" customWidth="1" style="22" min="5637" max="5637"/>
    <col width="16.28515625" customWidth="1" style="22" min="5638" max="5638"/>
    <col width="15.28515625" customWidth="1" style="22" min="5639" max="5639"/>
    <col width="13.7109375" customWidth="1" style="22" min="5640" max="5640"/>
    <col width="6.85546875" customWidth="1" style="22" min="5641" max="5641"/>
    <col width="7" customWidth="1" style="22" min="5642" max="5642"/>
    <col width="6.7109375" customWidth="1" style="22" min="5643" max="5643"/>
    <col width="14.7109375" customWidth="1" style="22" min="5644" max="5644"/>
    <col width="4" customWidth="1" style="22" min="5645" max="5645"/>
    <col width="6.140625" customWidth="1" style="22" min="5646" max="5646"/>
    <col width="0.85546875" customWidth="1" style="22" min="5647" max="5888"/>
    <col width="4.28515625" customWidth="1" style="22" min="5889" max="5889"/>
    <col width="38.7109375" customWidth="1" style="22" min="5890" max="5890"/>
    <col width="15.5703125" customWidth="1" style="22" min="5891" max="5891"/>
    <col width="13" customWidth="1" style="22" min="5892" max="5892"/>
    <col width="27.7109375" customWidth="1" style="22" min="5893" max="5893"/>
    <col width="16.28515625" customWidth="1" style="22" min="5894" max="5894"/>
    <col width="15.28515625" customWidth="1" style="22" min="5895" max="5895"/>
    <col width="13.7109375" customWidth="1" style="22" min="5896" max="5896"/>
    <col width="6.85546875" customWidth="1" style="22" min="5897" max="5897"/>
    <col width="7" customWidth="1" style="22" min="5898" max="5898"/>
    <col width="6.7109375" customWidth="1" style="22" min="5899" max="5899"/>
    <col width="14.7109375" customWidth="1" style="22" min="5900" max="5900"/>
    <col width="4" customWidth="1" style="22" min="5901" max="5901"/>
    <col width="6.140625" customWidth="1" style="22" min="5902" max="5902"/>
    <col width="0.85546875" customWidth="1" style="22" min="5903" max="6144"/>
    <col width="4.28515625" customWidth="1" style="22" min="6145" max="6145"/>
    <col width="38.7109375" customWidth="1" style="22" min="6146" max="6146"/>
    <col width="15.5703125" customWidth="1" style="22" min="6147" max="6147"/>
    <col width="13" customWidth="1" style="22" min="6148" max="6148"/>
    <col width="27.7109375" customWidth="1" style="22" min="6149" max="6149"/>
    <col width="16.28515625" customWidth="1" style="22" min="6150" max="6150"/>
    <col width="15.28515625" customWidth="1" style="22" min="6151" max="6151"/>
    <col width="13.7109375" customWidth="1" style="22" min="6152" max="6152"/>
    <col width="6.85546875" customWidth="1" style="22" min="6153" max="6153"/>
    <col width="7" customWidth="1" style="22" min="6154" max="6154"/>
    <col width="6.7109375" customWidth="1" style="22" min="6155" max="6155"/>
    <col width="14.7109375" customWidth="1" style="22" min="6156" max="6156"/>
    <col width="4" customWidth="1" style="22" min="6157" max="6157"/>
    <col width="6.140625" customWidth="1" style="22" min="6158" max="6158"/>
    <col width="0.85546875" customWidth="1" style="22" min="6159" max="6400"/>
    <col width="4.28515625" customWidth="1" style="22" min="6401" max="6401"/>
    <col width="38.7109375" customWidth="1" style="22" min="6402" max="6402"/>
    <col width="15.5703125" customWidth="1" style="22" min="6403" max="6403"/>
    <col width="13" customWidth="1" style="22" min="6404" max="6404"/>
    <col width="27.7109375" customWidth="1" style="22" min="6405" max="6405"/>
    <col width="16.28515625" customWidth="1" style="22" min="6406" max="6406"/>
    <col width="15.28515625" customWidth="1" style="22" min="6407" max="6407"/>
    <col width="13.7109375" customWidth="1" style="22" min="6408" max="6408"/>
    <col width="6.85546875" customWidth="1" style="22" min="6409" max="6409"/>
    <col width="7" customWidth="1" style="22" min="6410" max="6410"/>
    <col width="6.7109375" customWidth="1" style="22" min="6411" max="6411"/>
    <col width="14.7109375" customWidth="1" style="22" min="6412" max="6412"/>
    <col width="4" customWidth="1" style="22" min="6413" max="6413"/>
    <col width="6.140625" customWidth="1" style="22" min="6414" max="6414"/>
    <col width="0.85546875" customWidth="1" style="22" min="6415" max="6656"/>
    <col width="4.28515625" customWidth="1" style="22" min="6657" max="6657"/>
    <col width="38.7109375" customWidth="1" style="22" min="6658" max="6658"/>
    <col width="15.5703125" customWidth="1" style="22" min="6659" max="6659"/>
    <col width="13" customWidth="1" style="22" min="6660" max="6660"/>
    <col width="27.7109375" customWidth="1" style="22" min="6661" max="6661"/>
    <col width="16.28515625" customWidth="1" style="22" min="6662" max="6662"/>
    <col width="15.28515625" customWidth="1" style="22" min="6663" max="6663"/>
    <col width="13.7109375" customWidth="1" style="22" min="6664" max="6664"/>
    <col width="6.85546875" customWidth="1" style="22" min="6665" max="6665"/>
    <col width="7" customWidth="1" style="22" min="6666" max="6666"/>
    <col width="6.7109375" customWidth="1" style="22" min="6667" max="6667"/>
    <col width="14.7109375" customWidth="1" style="22" min="6668" max="6668"/>
    <col width="4" customWidth="1" style="22" min="6669" max="6669"/>
    <col width="6.140625" customWidth="1" style="22" min="6670" max="6670"/>
    <col width="0.85546875" customWidth="1" style="22" min="6671" max="6912"/>
    <col width="4.28515625" customWidth="1" style="22" min="6913" max="6913"/>
    <col width="38.7109375" customWidth="1" style="22" min="6914" max="6914"/>
    <col width="15.5703125" customWidth="1" style="22" min="6915" max="6915"/>
    <col width="13" customWidth="1" style="22" min="6916" max="6916"/>
    <col width="27.7109375" customWidth="1" style="22" min="6917" max="6917"/>
    <col width="16.28515625" customWidth="1" style="22" min="6918" max="6918"/>
    <col width="15.28515625" customWidth="1" style="22" min="6919" max="6919"/>
    <col width="13.7109375" customWidth="1" style="22" min="6920" max="6920"/>
    <col width="6.85546875" customWidth="1" style="22" min="6921" max="6921"/>
    <col width="7" customWidth="1" style="22" min="6922" max="6922"/>
    <col width="6.7109375" customWidth="1" style="22" min="6923" max="6923"/>
    <col width="14.7109375" customWidth="1" style="22" min="6924" max="6924"/>
    <col width="4" customWidth="1" style="22" min="6925" max="6925"/>
    <col width="6.140625" customWidth="1" style="22" min="6926" max="6926"/>
    <col width="0.85546875" customWidth="1" style="22" min="6927" max="7168"/>
    <col width="4.28515625" customWidth="1" style="22" min="7169" max="7169"/>
    <col width="38.7109375" customWidth="1" style="22" min="7170" max="7170"/>
    <col width="15.5703125" customWidth="1" style="22" min="7171" max="7171"/>
    <col width="13" customWidth="1" style="22" min="7172" max="7172"/>
    <col width="27.7109375" customWidth="1" style="22" min="7173" max="7173"/>
    <col width="16.28515625" customWidth="1" style="22" min="7174" max="7174"/>
    <col width="15.28515625" customWidth="1" style="22" min="7175" max="7175"/>
    <col width="13.7109375" customWidth="1" style="22" min="7176" max="7176"/>
    <col width="6.85546875" customWidth="1" style="22" min="7177" max="7177"/>
    <col width="7" customWidth="1" style="22" min="7178" max="7178"/>
    <col width="6.7109375" customWidth="1" style="22" min="7179" max="7179"/>
    <col width="14.7109375" customWidth="1" style="22" min="7180" max="7180"/>
    <col width="4" customWidth="1" style="22" min="7181" max="7181"/>
    <col width="6.140625" customWidth="1" style="22" min="7182" max="7182"/>
    <col width="0.85546875" customWidth="1" style="22" min="7183" max="7424"/>
    <col width="4.28515625" customWidth="1" style="22" min="7425" max="7425"/>
    <col width="38.7109375" customWidth="1" style="22" min="7426" max="7426"/>
    <col width="15.5703125" customWidth="1" style="22" min="7427" max="7427"/>
    <col width="13" customWidth="1" style="22" min="7428" max="7428"/>
    <col width="27.7109375" customWidth="1" style="22" min="7429" max="7429"/>
    <col width="16.28515625" customWidth="1" style="22" min="7430" max="7430"/>
    <col width="15.28515625" customWidth="1" style="22" min="7431" max="7431"/>
    <col width="13.7109375" customWidth="1" style="22" min="7432" max="7432"/>
    <col width="6.85546875" customWidth="1" style="22" min="7433" max="7433"/>
    <col width="7" customWidth="1" style="22" min="7434" max="7434"/>
    <col width="6.7109375" customWidth="1" style="22" min="7435" max="7435"/>
    <col width="14.7109375" customWidth="1" style="22" min="7436" max="7436"/>
    <col width="4" customWidth="1" style="22" min="7437" max="7437"/>
    <col width="6.140625" customWidth="1" style="22" min="7438" max="7438"/>
    <col width="0.85546875" customWidth="1" style="22" min="7439" max="7680"/>
    <col width="4.28515625" customWidth="1" style="22" min="7681" max="7681"/>
    <col width="38.7109375" customWidth="1" style="22" min="7682" max="7682"/>
    <col width="15.5703125" customWidth="1" style="22" min="7683" max="7683"/>
    <col width="13" customWidth="1" style="22" min="7684" max="7684"/>
    <col width="27.7109375" customWidth="1" style="22" min="7685" max="7685"/>
    <col width="16.28515625" customWidth="1" style="22" min="7686" max="7686"/>
    <col width="15.28515625" customWidth="1" style="22" min="7687" max="7687"/>
    <col width="13.7109375" customWidth="1" style="22" min="7688" max="7688"/>
    <col width="6.85546875" customWidth="1" style="22" min="7689" max="7689"/>
    <col width="7" customWidth="1" style="22" min="7690" max="7690"/>
    <col width="6.7109375" customWidth="1" style="22" min="7691" max="7691"/>
    <col width="14.7109375" customWidth="1" style="22" min="7692" max="7692"/>
    <col width="4" customWidth="1" style="22" min="7693" max="7693"/>
    <col width="6.140625" customWidth="1" style="22" min="7694" max="7694"/>
    <col width="0.85546875" customWidth="1" style="22" min="7695" max="7936"/>
    <col width="4.28515625" customWidth="1" style="22" min="7937" max="7937"/>
    <col width="38.7109375" customWidth="1" style="22" min="7938" max="7938"/>
    <col width="15.5703125" customWidth="1" style="22" min="7939" max="7939"/>
    <col width="13" customWidth="1" style="22" min="7940" max="7940"/>
    <col width="27.7109375" customWidth="1" style="22" min="7941" max="7941"/>
    <col width="16.28515625" customWidth="1" style="22" min="7942" max="7942"/>
    <col width="15.28515625" customWidth="1" style="22" min="7943" max="7943"/>
    <col width="13.7109375" customWidth="1" style="22" min="7944" max="7944"/>
    <col width="6.85546875" customWidth="1" style="22" min="7945" max="7945"/>
    <col width="7" customWidth="1" style="22" min="7946" max="7946"/>
    <col width="6.7109375" customWidth="1" style="22" min="7947" max="7947"/>
    <col width="14.7109375" customWidth="1" style="22" min="7948" max="7948"/>
    <col width="4" customWidth="1" style="22" min="7949" max="7949"/>
    <col width="6.140625" customWidth="1" style="22" min="7950" max="7950"/>
    <col width="0.85546875" customWidth="1" style="22" min="7951" max="8192"/>
    <col width="4.28515625" customWidth="1" style="22" min="8193" max="8193"/>
    <col width="38.7109375" customWidth="1" style="22" min="8194" max="8194"/>
    <col width="15.5703125" customWidth="1" style="22" min="8195" max="8195"/>
    <col width="13" customWidth="1" style="22" min="8196" max="8196"/>
    <col width="27.7109375" customWidth="1" style="22" min="8197" max="8197"/>
    <col width="16.28515625" customWidth="1" style="22" min="8198" max="8198"/>
    <col width="15.28515625" customWidth="1" style="22" min="8199" max="8199"/>
    <col width="13.7109375" customWidth="1" style="22" min="8200" max="8200"/>
    <col width="6.85546875" customWidth="1" style="22" min="8201" max="8201"/>
    <col width="7" customWidth="1" style="22" min="8202" max="8202"/>
    <col width="6.7109375" customWidth="1" style="22" min="8203" max="8203"/>
    <col width="14.7109375" customWidth="1" style="22" min="8204" max="8204"/>
    <col width="4" customWidth="1" style="22" min="8205" max="8205"/>
    <col width="6.140625" customWidth="1" style="22" min="8206" max="8206"/>
    <col width="0.85546875" customWidth="1" style="22" min="8207" max="8448"/>
    <col width="4.28515625" customWidth="1" style="22" min="8449" max="8449"/>
    <col width="38.7109375" customWidth="1" style="22" min="8450" max="8450"/>
    <col width="15.5703125" customWidth="1" style="22" min="8451" max="8451"/>
    <col width="13" customWidth="1" style="22" min="8452" max="8452"/>
    <col width="27.7109375" customWidth="1" style="22" min="8453" max="8453"/>
    <col width="16.28515625" customWidth="1" style="22" min="8454" max="8454"/>
    <col width="15.28515625" customWidth="1" style="22" min="8455" max="8455"/>
    <col width="13.7109375" customWidth="1" style="22" min="8456" max="8456"/>
    <col width="6.85546875" customWidth="1" style="22" min="8457" max="8457"/>
    <col width="7" customWidth="1" style="22" min="8458" max="8458"/>
    <col width="6.7109375" customWidth="1" style="22" min="8459" max="8459"/>
    <col width="14.7109375" customWidth="1" style="22" min="8460" max="8460"/>
    <col width="4" customWidth="1" style="22" min="8461" max="8461"/>
    <col width="6.140625" customWidth="1" style="22" min="8462" max="8462"/>
    <col width="0.85546875" customWidth="1" style="22" min="8463" max="8704"/>
    <col width="4.28515625" customWidth="1" style="22" min="8705" max="8705"/>
    <col width="38.7109375" customWidth="1" style="22" min="8706" max="8706"/>
    <col width="15.5703125" customWidth="1" style="22" min="8707" max="8707"/>
    <col width="13" customWidth="1" style="22" min="8708" max="8708"/>
    <col width="27.7109375" customWidth="1" style="22" min="8709" max="8709"/>
    <col width="16.28515625" customWidth="1" style="22" min="8710" max="8710"/>
    <col width="15.28515625" customWidth="1" style="22" min="8711" max="8711"/>
    <col width="13.7109375" customWidth="1" style="22" min="8712" max="8712"/>
    <col width="6.85546875" customWidth="1" style="22" min="8713" max="8713"/>
    <col width="7" customWidth="1" style="22" min="8714" max="8714"/>
    <col width="6.7109375" customWidth="1" style="22" min="8715" max="8715"/>
    <col width="14.7109375" customWidth="1" style="22" min="8716" max="8716"/>
    <col width="4" customWidth="1" style="22" min="8717" max="8717"/>
    <col width="6.140625" customWidth="1" style="22" min="8718" max="8718"/>
    <col width="0.85546875" customWidth="1" style="22" min="8719" max="8960"/>
    <col width="4.28515625" customWidth="1" style="22" min="8961" max="8961"/>
    <col width="38.7109375" customWidth="1" style="22" min="8962" max="8962"/>
    <col width="15.5703125" customWidth="1" style="22" min="8963" max="8963"/>
    <col width="13" customWidth="1" style="22" min="8964" max="8964"/>
    <col width="27.7109375" customWidth="1" style="22" min="8965" max="8965"/>
    <col width="16.28515625" customWidth="1" style="22" min="8966" max="8966"/>
    <col width="15.28515625" customWidth="1" style="22" min="8967" max="8967"/>
    <col width="13.7109375" customWidth="1" style="22" min="8968" max="8968"/>
    <col width="6.85546875" customWidth="1" style="22" min="8969" max="8969"/>
    <col width="7" customWidth="1" style="22" min="8970" max="8970"/>
    <col width="6.7109375" customWidth="1" style="22" min="8971" max="8971"/>
    <col width="14.7109375" customWidth="1" style="22" min="8972" max="8972"/>
    <col width="4" customWidth="1" style="22" min="8973" max="8973"/>
    <col width="6.140625" customWidth="1" style="22" min="8974" max="8974"/>
    <col width="0.85546875" customWidth="1" style="22" min="8975" max="9216"/>
    <col width="4.28515625" customWidth="1" style="22" min="9217" max="9217"/>
    <col width="38.7109375" customWidth="1" style="22" min="9218" max="9218"/>
    <col width="15.5703125" customWidth="1" style="22" min="9219" max="9219"/>
    <col width="13" customWidth="1" style="22" min="9220" max="9220"/>
    <col width="27.7109375" customWidth="1" style="22" min="9221" max="9221"/>
    <col width="16.28515625" customWidth="1" style="22" min="9222" max="9222"/>
    <col width="15.28515625" customWidth="1" style="22" min="9223" max="9223"/>
    <col width="13.7109375" customWidth="1" style="22" min="9224" max="9224"/>
    <col width="6.85546875" customWidth="1" style="22" min="9225" max="9225"/>
    <col width="7" customWidth="1" style="22" min="9226" max="9226"/>
    <col width="6.7109375" customWidth="1" style="22" min="9227" max="9227"/>
    <col width="14.7109375" customWidth="1" style="22" min="9228" max="9228"/>
    <col width="4" customWidth="1" style="22" min="9229" max="9229"/>
    <col width="6.140625" customWidth="1" style="22" min="9230" max="9230"/>
    <col width="0.85546875" customWidth="1" style="22" min="9231" max="9472"/>
    <col width="4.28515625" customWidth="1" style="22" min="9473" max="9473"/>
    <col width="38.7109375" customWidth="1" style="22" min="9474" max="9474"/>
    <col width="15.5703125" customWidth="1" style="22" min="9475" max="9475"/>
    <col width="13" customWidth="1" style="22" min="9476" max="9476"/>
    <col width="27.7109375" customWidth="1" style="22" min="9477" max="9477"/>
    <col width="16.28515625" customWidth="1" style="22" min="9478" max="9478"/>
    <col width="15.28515625" customWidth="1" style="22" min="9479" max="9479"/>
    <col width="13.7109375" customWidth="1" style="22" min="9480" max="9480"/>
    <col width="6.85546875" customWidth="1" style="22" min="9481" max="9481"/>
    <col width="7" customWidth="1" style="22" min="9482" max="9482"/>
    <col width="6.7109375" customWidth="1" style="22" min="9483" max="9483"/>
    <col width="14.7109375" customWidth="1" style="22" min="9484" max="9484"/>
    <col width="4" customWidth="1" style="22" min="9485" max="9485"/>
    <col width="6.140625" customWidth="1" style="22" min="9486" max="9486"/>
    <col width="0.85546875" customWidth="1" style="22" min="9487" max="9728"/>
    <col width="4.28515625" customWidth="1" style="22" min="9729" max="9729"/>
    <col width="38.7109375" customWidth="1" style="22" min="9730" max="9730"/>
    <col width="15.5703125" customWidth="1" style="22" min="9731" max="9731"/>
    <col width="13" customWidth="1" style="22" min="9732" max="9732"/>
    <col width="27.7109375" customWidth="1" style="22" min="9733" max="9733"/>
    <col width="16.28515625" customWidth="1" style="22" min="9734" max="9734"/>
    <col width="15.28515625" customWidth="1" style="22" min="9735" max="9735"/>
    <col width="13.7109375" customWidth="1" style="22" min="9736" max="9736"/>
    <col width="6.85546875" customWidth="1" style="22" min="9737" max="9737"/>
    <col width="7" customWidth="1" style="22" min="9738" max="9738"/>
    <col width="6.7109375" customWidth="1" style="22" min="9739" max="9739"/>
    <col width="14.7109375" customWidth="1" style="22" min="9740" max="9740"/>
    <col width="4" customWidth="1" style="22" min="9741" max="9741"/>
    <col width="6.140625" customWidth="1" style="22" min="9742" max="9742"/>
    <col width="0.85546875" customWidth="1" style="22" min="9743" max="9984"/>
    <col width="4.28515625" customWidth="1" style="22" min="9985" max="9985"/>
    <col width="38.7109375" customWidth="1" style="22" min="9986" max="9986"/>
    <col width="15.5703125" customWidth="1" style="22" min="9987" max="9987"/>
    <col width="13" customWidth="1" style="22" min="9988" max="9988"/>
    <col width="27.7109375" customWidth="1" style="22" min="9989" max="9989"/>
    <col width="16.28515625" customWidth="1" style="22" min="9990" max="9990"/>
    <col width="15.28515625" customWidth="1" style="22" min="9991" max="9991"/>
    <col width="13.7109375" customWidth="1" style="22" min="9992" max="9992"/>
    <col width="6.85546875" customWidth="1" style="22" min="9993" max="9993"/>
    <col width="7" customWidth="1" style="22" min="9994" max="9994"/>
    <col width="6.7109375" customWidth="1" style="22" min="9995" max="9995"/>
    <col width="14.7109375" customWidth="1" style="22" min="9996" max="9996"/>
    <col width="4" customWidth="1" style="22" min="9997" max="9997"/>
    <col width="6.140625" customWidth="1" style="22" min="9998" max="9998"/>
    <col width="0.85546875" customWidth="1" style="22" min="9999" max="10240"/>
    <col width="4.28515625" customWidth="1" style="22" min="10241" max="10241"/>
    <col width="38.7109375" customWidth="1" style="22" min="10242" max="10242"/>
    <col width="15.5703125" customWidth="1" style="22" min="10243" max="10243"/>
    <col width="13" customWidth="1" style="22" min="10244" max="10244"/>
    <col width="27.7109375" customWidth="1" style="22" min="10245" max="10245"/>
    <col width="16.28515625" customWidth="1" style="22" min="10246" max="10246"/>
    <col width="15.28515625" customWidth="1" style="22" min="10247" max="10247"/>
    <col width="13.7109375" customWidth="1" style="22" min="10248" max="10248"/>
    <col width="6.85546875" customWidth="1" style="22" min="10249" max="10249"/>
    <col width="7" customWidth="1" style="22" min="10250" max="10250"/>
    <col width="6.7109375" customWidth="1" style="22" min="10251" max="10251"/>
    <col width="14.7109375" customWidth="1" style="22" min="10252" max="10252"/>
    <col width="4" customWidth="1" style="22" min="10253" max="10253"/>
    <col width="6.140625" customWidth="1" style="22" min="10254" max="10254"/>
    <col width="0.85546875" customWidth="1" style="22" min="10255" max="10496"/>
    <col width="4.28515625" customWidth="1" style="22" min="10497" max="10497"/>
    <col width="38.7109375" customWidth="1" style="22" min="10498" max="10498"/>
    <col width="15.5703125" customWidth="1" style="22" min="10499" max="10499"/>
    <col width="13" customWidth="1" style="22" min="10500" max="10500"/>
    <col width="27.7109375" customWidth="1" style="22" min="10501" max="10501"/>
    <col width="16.28515625" customWidth="1" style="22" min="10502" max="10502"/>
    <col width="15.28515625" customWidth="1" style="22" min="10503" max="10503"/>
    <col width="13.7109375" customWidth="1" style="22" min="10504" max="10504"/>
    <col width="6.85546875" customWidth="1" style="22" min="10505" max="10505"/>
    <col width="7" customWidth="1" style="22" min="10506" max="10506"/>
    <col width="6.7109375" customWidth="1" style="22" min="10507" max="10507"/>
    <col width="14.7109375" customWidth="1" style="22" min="10508" max="10508"/>
    <col width="4" customWidth="1" style="22" min="10509" max="10509"/>
    <col width="6.140625" customWidth="1" style="22" min="10510" max="10510"/>
    <col width="0.85546875" customWidth="1" style="22" min="10511" max="10752"/>
    <col width="4.28515625" customWidth="1" style="22" min="10753" max="10753"/>
    <col width="38.7109375" customWidth="1" style="22" min="10754" max="10754"/>
    <col width="15.5703125" customWidth="1" style="22" min="10755" max="10755"/>
    <col width="13" customWidth="1" style="22" min="10756" max="10756"/>
    <col width="27.7109375" customWidth="1" style="22" min="10757" max="10757"/>
    <col width="16.28515625" customWidth="1" style="22" min="10758" max="10758"/>
    <col width="15.28515625" customWidth="1" style="22" min="10759" max="10759"/>
    <col width="13.7109375" customWidth="1" style="22" min="10760" max="10760"/>
    <col width="6.85546875" customWidth="1" style="22" min="10761" max="10761"/>
    <col width="7" customWidth="1" style="22" min="10762" max="10762"/>
    <col width="6.7109375" customWidth="1" style="22" min="10763" max="10763"/>
    <col width="14.7109375" customWidth="1" style="22" min="10764" max="10764"/>
    <col width="4" customWidth="1" style="22" min="10765" max="10765"/>
    <col width="6.140625" customWidth="1" style="22" min="10766" max="10766"/>
    <col width="0.85546875" customWidth="1" style="22" min="10767" max="11008"/>
    <col width="4.28515625" customWidth="1" style="22" min="11009" max="11009"/>
    <col width="38.7109375" customWidth="1" style="22" min="11010" max="11010"/>
    <col width="15.5703125" customWidth="1" style="22" min="11011" max="11011"/>
    <col width="13" customWidth="1" style="22" min="11012" max="11012"/>
    <col width="27.7109375" customWidth="1" style="22" min="11013" max="11013"/>
    <col width="16.28515625" customWidth="1" style="22" min="11014" max="11014"/>
    <col width="15.28515625" customWidth="1" style="22" min="11015" max="11015"/>
    <col width="13.7109375" customWidth="1" style="22" min="11016" max="11016"/>
    <col width="6.85546875" customWidth="1" style="22" min="11017" max="11017"/>
    <col width="7" customWidth="1" style="22" min="11018" max="11018"/>
    <col width="6.7109375" customWidth="1" style="22" min="11019" max="11019"/>
    <col width="14.7109375" customWidth="1" style="22" min="11020" max="11020"/>
    <col width="4" customWidth="1" style="22" min="11021" max="11021"/>
    <col width="6.140625" customWidth="1" style="22" min="11022" max="11022"/>
    <col width="0.85546875" customWidth="1" style="22" min="11023" max="11264"/>
    <col width="4.28515625" customWidth="1" style="22" min="11265" max="11265"/>
    <col width="38.7109375" customWidth="1" style="22" min="11266" max="11266"/>
    <col width="15.5703125" customWidth="1" style="22" min="11267" max="11267"/>
    <col width="13" customWidth="1" style="22" min="11268" max="11268"/>
    <col width="27.7109375" customWidth="1" style="22" min="11269" max="11269"/>
    <col width="16.28515625" customWidth="1" style="22" min="11270" max="11270"/>
    <col width="15.28515625" customWidth="1" style="22" min="11271" max="11271"/>
    <col width="13.7109375" customWidth="1" style="22" min="11272" max="11272"/>
    <col width="6.85546875" customWidth="1" style="22" min="11273" max="11273"/>
    <col width="7" customWidth="1" style="22" min="11274" max="11274"/>
    <col width="6.7109375" customWidth="1" style="22" min="11275" max="11275"/>
    <col width="14.7109375" customWidth="1" style="22" min="11276" max="11276"/>
    <col width="4" customWidth="1" style="22" min="11277" max="11277"/>
    <col width="6.140625" customWidth="1" style="22" min="11278" max="11278"/>
    <col width="0.85546875" customWidth="1" style="22" min="11279" max="11520"/>
    <col width="4.28515625" customWidth="1" style="22" min="11521" max="11521"/>
    <col width="38.7109375" customWidth="1" style="22" min="11522" max="11522"/>
    <col width="15.5703125" customWidth="1" style="22" min="11523" max="11523"/>
    <col width="13" customWidth="1" style="22" min="11524" max="11524"/>
    <col width="27.7109375" customWidth="1" style="22" min="11525" max="11525"/>
    <col width="16.28515625" customWidth="1" style="22" min="11526" max="11526"/>
    <col width="15.28515625" customWidth="1" style="22" min="11527" max="11527"/>
    <col width="13.7109375" customWidth="1" style="22" min="11528" max="11528"/>
    <col width="6.85546875" customWidth="1" style="22" min="11529" max="11529"/>
    <col width="7" customWidth="1" style="22" min="11530" max="11530"/>
    <col width="6.7109375" customWidth="1" style="22" min="11531" max="11531"/>
    <col width="14.7109375" customWidth="1" style="22" min="11532" max="11532"/>
    <col width="4" customWidth="1" style="22" min="11533" max="11533"/>
    <col width="6.140625" customWidth="1" style="22" min="11534" max="11534"/>
    <col width="0.85546875" customWidth="1" style="22" min="11535" max="11776"/>
    <col width="4.28515625" customWidth="1" style="22" min="11777" max="11777"/>
    <col width="38.7109375" customWidth="1" style="22" min="11778" max="11778"/>
    <col width="15.5703125" customWidth="1" style="22" min="11779" max="11779"/>
    <col width="13" customWidth="1" style="22" min="11780" max="11780"/>
    <col width="27.7109375" customWidth="1" style="22" min="11781" max="11781"/>
    <col width="16.28515625" customWidth="1" style="22" min="11782" max="11782"/>
    <col width="15.28515625" customWidth="1" style="22" min="11783" max="11783"/>
    <col width="13.7109375" customWidth="1" style="22" min="11784" max="11784"/>
    <col width="6.85546875" customWidth="1" style="22" min="11785" max="11785"/>
    <col width="7" customWidth="1" style="22" min="11786" max="11786"/>
    <col width="6.7109375" customWidth="1" style="22" min="11787" max="11787"/>
    <col width="14.7109375" customWidth="1" style="22" min="11788" max="11788"/>
    <col width="4" customWidth="1" style="22" min="11789" max="11789"/>
    <col width="6.140625" customWidth="1" style="22" min="11790" max="11790"/>
    <col width="0.85546875" customWidth="1" style="22" min="11791" max="12032"/>
    <col width="4.28515625" customWidth="1" style="22" min="12033" max="12033"/>
    <col width="38.7109375" customWidth="1" style="22" min="12034" max="12034"/>
    <col width="15.5703125" customWidth="1" style="22" min="12035" max="12035"/>
    <col width="13" customWidth="1" style="22" min="12036" max="12036"/>
    <col width="27.7109375" customWidth="1" style="22" min="12037" max="12037"/>
    <col width="16.28515625" customWidth="1" style="22" min="12038" max="12038"/>
    <col width="15.28515625" customWidth="1" style="22" min="12039" max="12039"/>
    <col width="13.7109375" customWidth="1" style="22" min="12040" max="12040"/>
    <col width="6.85546875" customWidth="1" style="22" min="12041" max="12041"/>
    <col width="7" customWidth="1" style="22" min="12042" max="12042"/>
    <col width="6.7109375" customWidth="1" style="22" min="12043" max="12043"/>
    <col width="14.7109375" customWidth="1" style="22" min="12044" max="12044"/>
    <col width="4" customWidth="1" style="22" min="12045" max="12045"/>
    <col width="6.140625" customWidth="1" style="22" min="12046" max="12046"/>
    <col width="0.85546875" customWidth="1" style="22" min="12047" max="12288"/>
    <col width="4.28515625" customWidth="1" style="22" min="12289" max="12289"/>
    <col width="38.7109375" customWidth="1" style="22" min="12290" max="12290"/>
    <col width="15.5703125" customWidth="1" style="22" min="12291" max="12291"/>
    <col width="13" customWidth="1" style="22" min="12292" max="12292"/>
    <col width="27.7109375" customWidth="1" style="22" min="12293" max="12293"/>
    <col width="16.28515625" customWidth="1" style="22" min="12294" max="12294"/>
    <col width="15.28515625" customWidth="1" style="22" min="12295" max="12295"/>
    <col width="13.7109375" customWidth="1" style="22" min="12296" max="12296"/>
    <col width="6.85546875" customWidth="1" style="22" min="12297" max="12297"/>
    <col width="7" customWidth="1" style="22" min="12298" max="12298"/>
    <col width="6.7109375" customWidth="1" style="22" min="12299" max="12299"/>
    <col width="14.7109375" customWidth="1" style="22" min="12300" max="12300"/>
    <col width="4" customWidth="1" style="22" min="12301" max="12301"/>
    <col width="6.140625" customWidth="1" style="22" min="12302" max="12302"/>
    <col width="0.85546875" customWidth="1" style="22" min="12303" max="12544"/>
    <col width="4.28515625" customWidth="1" style="22" min="12545" max="12545"/>
    <col width="38.7109375" customWidth="1" style="22" min="12546" max="12546"/>
    <col width="15.5703125" customWidth="1" style="22" min="12547" max="12547"/>
    <col width="13" customWidth="1" style="22" min="12548" max="12548"/>
    <col width="27.7109375" customWidth="1" style="22" min="12549" max="12549"/>
    <col width="16.28515625" customWidth="1" style="22" min="12550" max="12550"/>
    <col width="15.28515625" customWidth="1" style="22" min="12551" max="12551"/>
    <col width="13.7109375" customWidth="1" style="22" min="12552" max="12552"/>
    <col width="6.85546875" customWidth="1" style="22" min="12553" max="12553"/>
    <col width="7" customWidth="1" style="22" min="12554" max="12554"/>
    <col width="6.7109375" customWidth="1" style="22" min="12555" max="12555"/>
    <col width="14.7109375" customWidth="1" style="22" min="12556" max="12556"/>
    <col width="4" customWidth="1" style="22" min="12557" max="12557"/>
    <col width="6.140625" customWidth="1" style="22" min="12558" max="12558"/>
    <col width="0.85546875" customWidth="1" style="22" min="12559" max="12800"/>
    <col width="4.28515625" customWidth="1" style="22" min="12801" max="12801"/>
    <col width="38.7109375" customWidth="1" style="22" min="12802" max="12802"/>
    <col width="15.5703125" customWidth="1" style="22" min="12803" max="12803"/>
    <col width="13" customWidth="1" style="22" min="12804" max="12804"/>
    <col width="27.7109375" customWidth="1" style="22" min="12805" max="12805"/>
    <col width="16.28515625" customWidth="1" style="22" min="12806" max="12806"/>
    <col width="15.28515625" customWidth="1" style="22" min="12807" max="12807"/>
    <col width="13.7109375" customWidth="1" style="22" min="12808" max="12808"/>
    <col width="6.85546875" customWidth="1" style="22" min="12809" max="12809"/>
    <col width="7" customWidth="1" style="22" min="12810" max="12810"/>
    <col width="6.7109375" customWidth="1" style="22" min="12811" max="12811"/>
    <col width="14.7109375" customWidth="1" style="22" min="12812" max="12812"/>
    <col width="4" customWidth="1" style="22" min="12813" max="12813"/>
    <col width="6.140625" customWidth="1" style="22" min="12814" max="12814"/>
    <col width="0.85546875" customWidth="1" style="22" min="12815" max="13056"/>
    <col width="4.28515625" customWidth="1" style="22" min="13057" max="13057"/>
    <col width="38.7109375" customWidth="1" style="22" min="13058" max="13058"/>
    <col width="15.5703125" customWidth="1" style="22" min="13059" max="13059"/>
    <col width="13" customWidth="1" style="22" min="13060" max="13060"/>
    <col width="27.7109375" customWidth="1" style="22" min="13061" max="13061"/>
    <col width="16.28515625" customWidth="1" style="22" min="13062" max="13062"/>
    <col width="15.28515625" customWidth="1" style="22" min="13063" max="13063"/>
    <col width="13.7109375" customWidth="1" style="22" min="13064" max="13064"/>
    <col width="6.85546875" customWidth="1" style="22" min="13065" max="13065"/>
    <col width="7" customWidth="1" style="22" min="13066" max="13066"/>
    <col width="6.7109375" customWidth="1" style="22" min="13067" max="13067"/>
    <col width="14.7109375" customWidth="1" style="22" min="13068" max="13068"/>
    <col width="4" customWidth="1" style="22" min="13069" max="13069"/>
    <col width="6.140625" customWidth="1" style="22" min="13070" max="13070"/>
    <col width="0.85546875" customWidth="1" style="22" min="13071" max="13312"/>
    <col width="4.28515625" customWidth="1" style="22" min="13313" max="13313"/>
    <col width="38.7109375" customWidth="1" style="22" min="13314" max="13314"/>
    <col width="15.5703125" customWidth="1" style="22" min="13315" max="13315"/>
    <col width="13" customWidth="1" style="22" min="13316" max="13316"/>
    <col width="27.7109375" customWidth="1" style="22" min="13317" max="13317"/>
    <col width="16.28515625" customWidth="1" style="22" min="13318" max="13318"/>
    <col width="15.28515625" customWidth="1" style="22" min="13319" max="13319"/>
    <col width="13.7109375" customWidth="1" style="22" min="13320" max="13320"/>
    <col width="6.85546875" customWidth="1" style="22" min="13321" max="13321"/>
    <col width="7" customWidth="1" style="22" min="13322" max="13322"/>
    <col width="6.7109375" customWidth="1" style="22" min="13323" max="13323"/>
    <col width="14.7109375" customWidth="1" style="22" min="13324" max="13324"/>
    <col width="4" customWidth="1" style="22" min="13325" max="13325"/>
    <col width="6.140625" customWidth="1" style="22" min="13326" max="13326"/>
    <col width="0.85546875" customWidth="1" style="22" min="13327" max="13568"/>
    <col width="4.28515625" customWidth="1" style="22" min="13569" max="13569"/>
    <col width="38.7109375" customWidth="1" style="22" min="13570" max="13570"/>
    <col width="15.5703125" customWidth="1" style="22" min="13571" max="13571"/>
    <col width="13" customWidth="1" style="22" min="13572" max="13572"/>
    <col width="27.7109375" customWidth="1" style="22" min="13573" max="13573"/>
    <col width="16.28515625" customWidth="1" style="22" min="13574" max="13574"/>
    <col width="15.28515625" customWidth="1" style="22" min="13575" max="13575"/>
    <col width="13.7109375" customWidth="1" style="22" min="13576" max="13576"/>
    <col width="6.85546875" customWidth="1" style="22" min="13577" max="13577"/>
    <col width="7" customWidth="1" style="22" min="13578" max="13578"/>
    <col width="6.7109375" customWidth="1" style="22" min="13579" max="13579"/>
    <col width="14.7109375" customWidth="1" style="22" min="13580" max="13580"/>
    <col width="4" customWidth="1" style="22" min="13581" max="13581"/>
    <col width="6.140625" customWidth="1" style="22" min="13582" max="13582"/>
    <col width="0.85546875" customWidth="1" style="22" min="13583" max="13824"/>
    <col width="4.28515625" customWidth="1" style="22" min="13825" max="13825"/>
    <col width="38.7109375" customWidth="1" style="22" min="13826" max="13826"/>
    <col width="15.5703125" customWidth="1" style="22" min="13827" max="13827"/>
    <col width="13" customWidth="1" style="22" min="13828" max="13828"/>
    <col width="27.7109375" customWidth="1" style="22" min="13829" max="13829"/>
    <col width="16.28515625" customWidth="1" style="22" min="13830" max="13830"/>
    <col width="15.28515625" customWidth="1" style="22" min="13831" max="13831"/>
    <col width="13.7109375" customWidth="1" style="22" min="13832" max="13832"/>
    <col width="6.85546875" customWidth="1" style="22" min="13833" max="13833"/>
    <col width="7" customWidth="1" style="22" min="13834" max="13834"/>
    <col width="6.7109375" customWidth="1" style="22" min="13835" max="13835"/>
    <col width="14.7109375" customWidth="1" style="22" min="13836" max="13836"/>
    <col width="4" customWidth="1" style="22" min="13837" max="13837"/>
    <col width="6.140625" customWidth="1" style="22" min="13838" max="13838"/>
    <col width="0.85546875" customWidth="1" style="22" min="13839" max="14080"/>
    <col width="4.28515625" customWidth="1" style="22" min="14081" max="14081"/>
    <col width="38.7109375" customWidth="1" style="22" min="14082" max="14082"/>
    <col width="15.5703125" customWidth="1" style="22" min="14083" max="14083"/>
    <col width="13" customWidth="1" style="22" min="14084" max="14084"/>
    <col width="27.7109375" customWidth="1" style="22" min="14085" max="14085"/>
    <col width="16.28515625" customWidth="1" style="22" min="14086" max="14086"/>
    <col width="15.28515625" customWidth="1" style="22" min="14087" max="14087"/>
    <col width="13.7109375" customWidth="1" style="22" min="14088" max="14088"/>
    <col width="6.85546875" customWidth="1" style="22" min="14089" max="14089"/>
    <col width="7" customWidth="1" style="22" min="14090" max="14090"/>
    <col width="6.7109375" customWidth="1" style="22" min="14091" max="14091"/>
    <col width="14.7109375" customWidth="1" style="22" min="14092" max="14092"/>
    <col width="4" customWidth="1" style="22" min="14093" max="14093"/>
    <col width="6.140625" customWidth="1" style="22" min="14094" max="14094"/>
    <col width="0.85546875" customWidth="1" style="22" min="14095" max="14336"/>
    <col width="4.28515625" customWidth="1" style="22" min="14337" max="14337"/>
    <col width="38.7109375" customWidth="1" style="22" min="14338" max="14338"/>
    <col width="15.5703125" customWidth="1" style="22" min="14339" max="14339"/>
    <col width="13" customWidth="1" style="22" min="14340" max="14340"/>
    <col width="27.7109375" customWidth="1" style="22" min="14341" max="14341"/>
    <col width="16.28515625" customWidth="1" style="22" min="14342" max="14342"/>
    <col width="15.28515625" customWidth="1" style="22" min="14343" max="14343"/>
    <col width="13.7109375" customWidth="1" style="22" min="14344" max="14344"/>
    <col width="6.85546875" customWidth="1" style="22" min="14345" max="14345"/>
    <col width="7" customWidth="1" style="22" min="14346" max="14346"/>
    <col width="6.7109375" customWidth="1" style="22" min="14347" max="14347"/>
    <col width="14.7109375" customWidth="1" style="22" min="14348" max="14348"/>
    <col width="4" customWidth="1" style="22" min="14349" max="14349"/>
    <col width="6.140625" customWidth="1" style="22" min="14350" max="14350"/>
    <col width="0.85546875" customWidth="1" style="22" min="14351" max="14592"/>
    <col width="4.28515625" customWidth="1" style="22" min="14593" max="14593"/>
    <col width="38.7109375" customWidth="1" style="22" min="14594" max="14594"/>
    <col width="15.5703125" customWidth="1" style="22" min="14595" max="14595"/>
    <col width="13" customWidth="1" style="22" min="14596" max="14596"/>
    <col width="27.7109375" customWidth="1" style="22" min="14597" max="14597"/>
    <col width="16.28515625" customWidth="1" style="22" min="14598" max="14598"/>
    <col width="15.28515625" customWidth="1" style="22" min="14599" max="14599"/>
    <col width="13.7109375" customWidth="1" style="22" min="14600" max="14600"/>
    <col width="6.85546875" customWidth="1" style="22" min="14601" max="14601"/>
    <col width="7" customWidth="1" style="22" min="14602" max="14602"/>
    <col width="6.7109375" customWidth="1" style="22" min="14603" max="14603"/>
    <col width="14.7109375" customWidth="1" style="22" min="14604" max="14604"/>
    <col width="4" customWidth="1" style="22" min="14605" max="14605"/>
    <col width="6.140625" customWidth="1" style="22" min="14606" max="14606"/>
    <col width="0.85546875" customWidth="1" style="22" min="14607" max="14848"/>
    <col width="4.28515625" customWidth="1" style="22" min="14849" max="14849"/>
    <col width="38.7109375" customWidth="1" style="22" min="14850" max="14850"/>
    <col width="15.5703125" customWidth="1" style="22" min="14851" max="14851"/>
    <col width="13" customWidth="1" style="22" min="14852" max="14852"/>
    <col width="27.7109375" customWidth="1" style="22" min="14853" max="14853"/>
    <col width="16.28515625" customWidth="1" style="22" min="14854" max="14854"/>
    <col width="15.28515625" customWidth="1" style="22" min="14855" max="14855"/>
    <col width="13.7109375" customWidth="1" style="22" min="14856" max="14856"/>
    <col width="6.85546875" customWidth="1" style="22" min="14857" max="14857"/>
    <col width="7" customWidth="1" style="22" min="14858" max="14858"/>
    <col width="6.7109375" customWidth="1" style="22" min="14859" max="14859"/>
    <col width="14.7109375" customWidth="1" style="22" min="14860" max="14860"/>
    <col width="4" customWidth="1" style="22" min="14861" max="14861"/>
    <col width="6.140625" customWidth="1" style="22" min="14862" max="14862"/>
    <col width="0.85546875" customWidth="1" style="22" min="14863" max="15104"/>
    <col width="4.28515625" customWidth="1" style="22" min="15105" max="15105"/>
    <col width="38.7109375" customWidth="1" style="22" min="15106" max="15106"/>
    <col width="15.5703125" customWidth="1" style="22" min="15107" max="15107"/>
    <col width="13" customWidth="1" style="22" min="15108" max="15108"/>
    <col width="27.7109375" customWidth="1" style="22" min="15109" max="15109"/>
    <col width="16.28515625" customWidth="1" style="22" min="15110" max="15110"/>
    <col width="15.28515625" customWidth="1" style="22" min="15111" max="15111"/>
    <col width="13.7109375" customWidth="1" style="22" min="15112" max="15112"/>
    <col width="6.85546875" customWidth="1" style="22" min="15113" max="15113"/>
    <col width="7" customWidth="1" style="22" min="15114" max="15114"/>
    <col width="6.7109375" customWidth="1" style="22" min="15115" max="15115"/>
    <col width="14.7109375" customWidth="1" style="22" min="15116" max="15116"/>
    <col width="4" customWidth="1" style="22" min="15117" max="15117"/>
    <col width="6.140625" customWidth="1" style="22" min="15118" max="15118"/>
    <col width="0.85546875" customWidth="1" style="22" min="15119" max="15360"/>
    <col width="4.28515625" customWidth="1" style="22" min="15361" max="15361"/>
    <col width="38.7109375" customWidth="1" style="22" min="15362" max="15362"/>
    <col width="15.5703125" customWidth="1" style="22" min="15363" max="15363"/>
    <col width="13" customWidth="1" style="22" min="15364" max="15364"/>
    <col width="27.7109375" customWidth="1" style="22" min="15365" max="15365"/>
    <col width="16.28515625" customWidth="1" style="22" min="15366" max="15366"/>
    <col width="15.28515625" customWidth="1" style="22" min="15367" max="15367"/>
    <col width="13.7109375" customWidth="1" style="22" min="15368" max="15368"/>
    <col width="6.85546875" customWidth="1" style="22" min="15369" max="15369"/>
    <col width="7" customWidth="1" style="22" min="15370" max="15370"/>
    <col width="6.7109375" customWidth="1" style="22" min="15371" max="15371"/>
    <col width="14.7109375" customWidth="1" style="22" min="15372" max="15372"/>
    <col width="4" customWidth="1" style="22" min="15373" max="15373"/>
    <col width="6.140625" customWidth="1" style="22" min="15374" max="15374"/>
    <col width="0.85546875" customWidth="1" style="22" min="15375" max="15616"/>
    <col width="4.28515625" customWidth="1" style="22" min="15617" max="15617"/>
    <col width="38.7109375" customWidth="1" style="22" min="15618" max="15618"/>
    <col width="15.5703125" customWidth="1" style="22" min="15619" max="15619"/>
    <col width="13" customWidth="1" style="22" min="15620" max="15620"/>
    <col width="27.7109375" customWidth="1" style="22" min="15621" max="15621"/>
    <col width="16.28515625" customWidth="1" style="22" min="15622" max="15622"/>
    <col width="15.28515625" customWidth="1" style="22" min="15623" max="15623"/>
    <col width="13.7109375" customWidth="1" style="22" min="15624" max="15624"/>
    <col width="6.85546875" customWidth="1" style="22" min="15625" max="15625"/>
    <col width="7" customWidth="1" style="22" min="15626" max="15626"/>
    <col width="6.7109375" customWidth="1" style="22" min="15627" max="15627"/>
    <col width="14.7109375" customWidth="1" style="22" min="15628" max="15628"/>
    <col width="4" customWidth="1" style="22" min="15629" max="15629"/>
    <col width="6.140625" customWidth="1" style="22" min="15630" max="15630"/>
    <col width="0.85546875" customWidth="1" style="22" min="15631" max="15872"/>
    <col width="4.28515625" customWidth="1" style="22" min="15873" max="15873"/>
    <col width="38.7109375" customWidth="1" style="22" min="15874" max="15874"/>
    <col width="15.5703125" customWidth="1" style="22" min="15875" max="15875"/>
    <col width="13" customWidth="1" style="22" min="15876" max="15876"/>
    <col width="27.7109375" customWidth="1" style="22" min="15877" max="15877"/>
    <col width="16.28515625" customWidth="1" style="22" min="15878" max="15878"/>
    <col width="15.28515625" customWidth="1" style="22" min="15879" max="15879"/>
    <col width="13.7109375" customWidth="1" style="22" min="15880" max="15880"/>
    <col width="6.85546875" customWidth="1" style="22" min="15881" max="15881"/>
    <col width="7" customWidth="1" style="22" min="15882" max="15882"/>
    <col width="6.7109375" customWidth="1" style="22" min="15883" max="15883"/>
    <col width="14.7109375" customWidth="1" style="22" min="15884" max="15884"/>
    <col width="4" customWidth="1" style="22" min="15885" max="15885"/>
    <col width="6.140625" customWidth="1" style="22" min="15886" max="15886"/>
    <col width="0.85546875" customWidth="1" style="22" min="15887" max="16128"/>
    <col width="4.28515625" customWidth="1" style="22" min="16129" max="16129"/>
    <col width="38.7109375" customWidth="1" style="22" min="16130" max="16130"/>
    <col width="15.5703125" customWidth="1" style="22" min="16131" max="16131"/>
    <col width="13" customWidth="1" style="22" min="16132" max="16132"/>
    <col width="27.7109375" customWidth="1" style="22" min="16133" max="16133"/>
    <col width="16.28515625" customWidth="1" style="22" min="16134" max="16134"/>
    <col width="15.28515625" customWidth="1" style="22" min="16135" max="16135"/>
    <col width="13.7109375" customWidth="1" style="22" min="16136" max="16136"/>
    <col width="6.85546875" customWidth="1" style="22" min="16137" max="16137"/>
    <col width="7" customWidth="1" style="22" min="16138" max="16138"/>
    <col width="6.7109375" customWidth="1" style="22" min="16139" max="16139"/>
    <col width="14.7109375" customWidth="1" style="22" min="16140" max="16140"/>
    <col width="4" customWidth="1" style="22" min="16141" max="16141"/>
    <col width="6.140625" customWidth="1" style="22" min="16142" max="16142"/>
    <col width="0.85546875" customWidth="1" style="22" min="16143" max="16384"/>
  </cols>
  <sheetData>
    <row r="1" ht="22.5" customHeight="1" s="794">
      <c r="A1" s="962" t="n"/>
      <c r="B1" s="1441" t="n"/>
      <c r="C1" s="1441" t="n"/>
      <c r="K1" s="963" t="inlineStr">
        <is>
          <t>Форма № 9 (9д) НИР (ОКР)</t>
        </is>
      </c>
    </row>
    <row r="3" ht="16.5" customHeight="1" s="794">
      <c r="A3" s="854" t="inlineStr">
        <is>
          <t>РАСШИФРОВКА</t>
        </is>
      </c>
    </row>
    <row r="4" ht="41.25" customFormat="1" customHeight="1" s="48">
      <c r="A4" s="49" t="n"/>
      <c r="B4" s="187" t="inlineStr">
        <is>
          <t>основной заработной платы на</t>
        </is>
      </c>
      <c r="C4" s="980" t="inlineStr">
        <is>
          <t>НИР «Радар-26», шифр C_GOZ-26, договор № ГОЗ-0412/26</t>
        </is>
      </c>
      <c r="D4" s="1409" t="n"/>
      <c r="E4" s="1409" t="n"/>
      <c r="F4" s="1409" t="n"/>
      <c r="G4" s="1409" t="n"/>
      <c r="H4" s="1409" t="n"/>
      <c r="I4" s="1409" t="n"/>
      <c r="J4" s="1409" t="n"/>
      <c r="K4" s="1409" t="n"/>
      <c r="L4" s="1409" t="n"/>
      <c r="M4" s="1409" t="n"/>
      <c r="N4" s="1409" t="n"/>
    </row>
    <row r="5" ht="12" customFormat="1" customHeight="1" s="23">
      <c r="C5" s="981" t="inlineStr">
        <is>
          <t xml:space="preserve"> (НИР, ОКР, ее наименование, шифр или код)</t>
        </is>
      </c>
      <c r="D5" s="1416" t="n"/>
      <c r="E5" s="1416" t="n"/>
      <c r="F5" s="1416" t="n"/>
      <c r="G5" s="1416" t="n"/>
      <c r="H5" s="1416" t="n"/>
      <c r="I5" s="1416" t="n"/>
      <c r="J5" s="1416" t="n"/>
      <c r="K5" s="1416" t="n"/>
      <c r="L5" s="1416" t="n"/>
      <c r="M5" s="1416" t="n"/>
    </row>
    <row r="6" ht="21" customHeight="1" s="794">
      <c r="A6" s="969" t="n"/>
      <c r="C6" s="66" t="n"/>
    </row>
    <row r="7" ht="11.25" customHeight="1" s="794"/>
    <row r="8" ht="21" customHeight="1" s="794">
      <c r="A8" s="634" t="inlineStr">
        <is>
          <t>№ п/п</t>
        </is>
      </c>
      <c r="B8" s="975" t="inlineStr">
        <is>
          <t>Наименование
этапа, состав работ по этапу</t>
        </is>
      </c>
      <c r="C8" s="975" t="inlineStr">
        <is>
          <t>Срок выполнения этапа</t>
        </is>
      </c>
      <c r="D8" s="975" t="inlineStr">
        <is>
          <t>Количество привлекаемых специалистов</t>
        </is>
      </c>
      <c r="E8" s="975" t="inlineStr">
        <is>
          <t>Квалификационная группа основных работников, привлекаемых
к выполнению этапа</t>
        </is>
      </c>
      <c r="F8" s="974" t="inlineStr">
        <is>
          <t>Трудоемкость и заработная плата, учтенные при расчете цены</t>
        </is>
      </c>
      <c r="G8" s="1412" t="n"/>
      <c r="H8" s="1412" t="n"/>
      <c r="I8" s="1412" t="n"/>
      <c r="J8" s="1412" t="n"/>
      <c r="K8" s="1412" t="n"/>
      <c r="L8" s="1412" t="n"/>
      <c r="M8" s="1410" t="n"/>
      <c r="N8" s="1442" t="inlineStr">
        <is>
          <t>Примечание</t>
        </is>
      </c>
    </row>
    <row r="9" ht="53.25" customFormat="1" customHeight="1" s="23">
      <c r="A9" s="1418" t="n"/>
      <c r="B9" s="1418" t="n"/>
      <c r="C9" s="1418" t="n"/>
      <c r="D9" s="1418" t="n"/>
      <c r="E9" s="1418" t="n"/>
      <c r="F9" s="975" t="inlineStr">
        <is>
          <t>трудоемкость выполнения работ
(чел./мес.)</t>
        </is>
      </c>
      <c r="G9" s="975" t="inlineStr">
        <is>
          <t>стоимость
чел./мес.
(руб.)</t>
        </is>
      </c>
      <c r="H9" s="975" t="inlineStr">
        <is>
          <t xml:space="preserve">основная заработная плата
(гр.6*гр.7)
</t>
        </is>
      </c>
      <c r="I9" s="978" t="inlineStr">
        <is>
          <t>в том числе доплаты и надбавки, предусмотренные законодательством Российской Федерации, относимые к основной заработной плате</t>
        </is>
      </c>
      <c r="J9" s="1412" t="n"/>
      <c r="K9" s="1412" t="n"/>
      <c r="L9" s="1412" t="n"/>
      <c r="M9" s="1412" t="n"/>
      <c r="N9" s="1418" t="n"/>
    </row>
    <row r="10" ht="159" customFormat="1" customHeight="1" s="23">
      <c r="A10" s="1413" t="n"/>
      <c r="B10" s="1413" t="n"/>
      <c r="C10" s="1413" t="n"/>
      <c r="D10" s="1413" t="n"/>
      <c r="E10" s="1413" t="n"/>
      <c r="F10" s="1413" t="n"/>
      <c r="G10" s="1413" t="n"/>
      <c r="H10" s="1413" t="n"/>
      <c r="I10" s="410" t="inlineStr">
        <is>
          <t>начисления стимулирующего характера5</t>
        </is>
      </c>
      <c r="J10" s="411" t="inlineStr">
        <is>
          <t>начисления, обусловленные
 районным регулированием</t>
        </is>
      </c>
      <c r="K10" s="411" t="inlineStr">
        <is>
          <t>начисления за работу в условиях, отклоняющихся от нормальных</t>
        </is>
      </c>
      <c r="L10" s="411" t="inlineStr">
        <is>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is>
      </c>
      <c r="M10" s="1410" t="n"/>
      <c r="N10" s="1413" t="n"/>
    </row>
    <row r="11" ht="13.5" customFormat="1" customHeight="1" s="23">
      <c r="A11" s="1158" t="n">
        <v>1</v>
      </c>
      <c r="B11" s="412" t="n">
        <v>2</v>
      </c>
      <c r="C11" s="412" t="n">
        <v>3</v>
      </c>
      <c r="D11" s="412" t="n">
        <v>4</v>
      </c>
      <c r="E11" s="412" t="n">
        <v>5</v>
      </c>
      <c r="F11" s="984" t="n">
        <v>6</v>
      </c>
      <c r="G11" s="412" t="n">
        <v>7</v>
      </c>
      <c r="H11" s="412" t="n">
        <v>8</v>
      </c>
      <c r="I11" s="412" t="n">
        <v>9</v>
      </c>
      <c r="J11" s="412" t="n">
        <v>10</v>
      </c>
      <c r="K11" s="984" t="n">
        <v>11</v>
      </c>
      <c r="L11" s="412" t="n">
        <v>12</v>
      </c>
      <c r="M11" s="1410" t="n"/>
      <c r="N11" s="412" t="n">
        <v>13</v>
      </c>
    </row>
    <row r="12" ht="111" customFormat="1" customHeight="1" s="112">
      <c r="A12" s="88" t="inlineStr">
        <is>
          <t>1.</t>
        </is>
      </c>
      <c r="B12" s="835" t="inlineStr">
        <is>
          <t>ТЕМА</t>
        </is>
      </c>
      <c r="C12" s="1408" t="inlineStr">
        <is>
          <t>Дата заключения договора - 01.03.2026</t>
        </is>
      </c>
      <c r="D12" s="768" t="n">
        <v>5</v>
      </c>
      <c r="E12" s="770" t="inlineStr">
        <is>
          <t>Х</t>
        </is>
      </c>
      <c r="F12" s="770" t="n">
        <v>36</v>
      </c>
      <c r="G12" s="1443" t="inlineStr">
        <is>
          <t>Х</t>
        </is>
      </c>
      <c r="H12" s="1443" t="n">
        <v>3624000</v>
      </c>
      <c r="I12" s="768" t="inlineStr">
        <is>
          <t>-</t>
        </is>
      </c>
      <c r="J12" s="768" t="inlineStr">
        <is>
          <t>-</t>
        </is>
      </c>
      <c r="K12" s="768" t="inlineStr">
        <is>
          <t>-</t>
        </is>
      </c>
      <c r="L12" s="768" t="inlineStr">
        <is>
          <t>-</t>
        </is>
      </c>
      <c r="M12" s="1417" t="n"/>
      <c r="N12" s="769" t="inlineStr">
        <is>
          <t>-</t>
        </is>
      </c>
    </row>
    <row r="13" ht="41.25" customFormat="1" customHeight="1" s="112">
      <c r="A13" s="1418" t="n"/>
      <c r="B13" s="835" t="inlineStr">
        <is>
          <t>2026 год, в т.ч.</t>
        </is>
      </c>
      <c r="C13" s="1408" t="inlineStr">
        <is>
          <t>01.03.2026 - 31.12.2026</t>
        </is>
      </c>
      <c r="D13" s="840" t="n">
        <v>5</v>
      </c>
      <c r="E13" s="771" t="inlineStr">
        <is>
          <t>Научные и инженерно-технические работники, всего</t>
        </is>
      </c>
      <c r="F13" s="772" t="n">
        <v>36</v>
      </c>
      <c r="G13" s="1444" t="n">
        <v>100666.67</v>
      </c>
      <c r="H13" s="1445" t="n">
        <v>3624000</v>
      </c>
      <c r="I13" s="233" t="inlineStr">
        <is>
          <t>-</t>
        </is>
      </c>
      <c r="J13" s="233" t="inlineStr">
        <is>
          <t>-</t>
        </is>
      </c>
      <c r="K13" s="233" t="inlineStr">
        <is>
          <t>-</t>
        </is>
      </c>
      <c r="L13" s="233" t="inlineStr">
        <is>
          <t>-</t>
        </is>
      </c>
      <c r="M13" s="1410" t="n"/>
      <c r="N13" s="233" t="inlineStr">
        <is>
          <t>-</t>
        </is>
      </c>
    </row>
    <row r="14" ht="19.5" customFormat="1" customHeight="1" s="112">
      <c r="A14" s="1418" t="n"/>
      <c r="B14" s="1418" t="n"/>
      <c r="C14" s="1418" t="n"/>
      <c r="D14" s="840" t="n"/>
      <c r="E14" s="432" t="inlineStr">
        <is>
          <t>в том числе:</t>
        </is>
      </c>
      <c r="F14" s="431" t="n"/>
      <c r="G14" s="1446" t="n"/>
      <c r="H14" s="1415" t="n"/>
      <c r="I14" s="233" t="inlineStr">
        <is>
          <t>-</t>
        </is>
      </c>
      <c r="J14" s="233" t="inlineStr">
        <is>
          <t>-</t>
        </is>
      </c>
      <c r="K14" s="233" t="inlineStr">
        <is>
          <t>-</t>
        </is>
      </c>
      <c r="L14" s="233" t="inlineStr">
        <is>
          <t>-</t>
        </is>
      </c>
      <c r="M14" s="1410" t="n"/>
      <c r="N14" s="233" t="inlineStr">
        <is>
          <t>-</t>
        </is>
      </c>
    </row>
    <row r="15" ht="29.25" customFormat="1" customHeight="1" s="112">
      <c r="A15" s="1418" t="n"/>
      <c r="B15" s="1418" t="n"/>
      <c r="C15" s="1418" t="n"/>
      <c r="D15" s="814" t="n">
        <v>1</v>
      </c>
      <c r="E15" s="816" t="inlineStr">
        <is>
          <t>Старший научный сотрудник</t>
        </is>
      </c>
      <c r="F15" s="817" t="n">
        <v>8</v>
      </c>
      <c r="G15" s="1447" t="n">
        <v>118000</v>
      </c>
      <c r="H15" s="1448" t="n">
        <v>944000</v>
      </c>
      <c r="I15" s="233" t="inlineStr">
        <is>
          <t>-</t>
        </is>
      </c>
      <c r="J15" s="233" t="inlineStr">
        <is>
          <t>-</t>
        </is>
      </c>
      <c r="K15" s="233" t="inlineStr">
        <is>
          <t>-</t>
        </is>
      </c>
      <c r="L15" s="233" t="inlineStr">
        <is>
          <t>-</t>
        </is>
      </c>
      <c r="M15" s="1410" t="n"/>
      <c r="N15" s="233" t="inlineStr">
        <is>
          <t>-</t>
        </is>
      </c>
    </row>
    <row r="16" ht="29.25" customFormat="1" customHeight="1" s="112">
      <c r="A16" s="1418" t="n"/>
      <c r="B16" s="1418" t="n"/>
      <c r="C16" s="1418" t="n"/>
      <c r="D16" s="814" t="n">
        <v>1</v>
      </c>
      <c r="E16" s="816" t="inlineStr">
        <is>
          <t>Ведущий инженер</t>
        </is>
      </c>
      <c r="F16" s="817" t="n">
        <v>8</v>
      </c>
      <c r="G16" s="1447" t="n">
        <v>110000</v>
      </c>
      <c r="H16" s="1448" t="n">
        <v>880000</v>
      </c>
      <c r="I16" s="233" t="inlineStr">
        <is>
          <t>-</t>
        </is>
      </c>
      <c r="J16" s="233" t="inlineStr">
        <is>
          <t>-</t>
        </is>
      </c>
      <c r="K16" s="233" t="inlineStr">
        <is>
          <t>-</t>
        </is>
      </c>
      <c r="L16" s="233" t="inlineStr">
        <is>
          <t>-</t>
        </is>
      </c>
      <c r="M16" s="1410" t="n"/>
      <c r="N16" s="233" t="inlineStr">
        <is>
          <t>-</t>
        </is>
      </c>
    </row>
    <row r="17" ht="29.25" customFormat="1" customHeight="1" s="112">
      <c r="A17" s="1418" t="n"/>
      <c r="B17" s="1413" t="n"/>
      <c r="C17" s="1413" t="n"/>
      <c r="D17" s="814" t="n">
        <v>3</v>
      </c>
      <c r="E17" s="816" t="inlineStr">
        <is>
          <t>Инженер</t>
        </is>
      </c>
      <c r="F17" s="817" t="n">
        <v>20</v>
      </c>
      <c r="G17" s="1447" t="n">
        <v>90000</v>
      </c>
      <c r="H17" s="1448" t="n">
        <v>1800000</v>
      </c>
      <c r="I17" s="233" t="inlineStr">
        <is>
          <t>-</t>
        </is>
      </c>
      <c r="J17" s="233" t="inlineStr">
        <is>
          <t>-</t>
        </is>
      </c>
      <c r="K17" s="233" t="inlineStr">
        <is>
          <t>-</t>
        </is>
      </c>
      <c r="L17" s="233" t="inlineStr">
        <is>
          <t>-</t>
        </is>
      </c>
      <c r="M17" s="1410" t="n"/>
      <c r="N17" s="233" t="inlineStr">
        <is>
          <t>-</t>
        </is>
      </c>
    </row>
    <row r="18" ht="33" customFormat="1" customHeight="1" s="112">
      <c r="A18" s="1418" t="n"/>
      <c r="B18" s="835" t="inlineStr">
        <is>
          <t>2027 год, в т.ч.</t>
        </is>
      </c>
      <c r="C18" s="1408" t="n"/>
      <c r="D18" s="840">
        <f>SUM(D20:D22)</f>
        <v/>
      </c>
      <c r="E18" s="771" t="inlineStr">
        <is>
          <t>Научные и инженерно-технические работники, всего</t>
        </is>
      </c>
      <c r="F18" s="772">
        <f>SUM(F20:F22)</f>
        <v/>
      </c>
      <c r="G18" s="1444">
        <f>'22 (22д) свед. о норм_27'!D15</f>
        <v/>
      </c>
      <c r="H18" s="1445">
        <f>ROUND(F18*G18,2)</f>
        <v/>
      </c>
      <c r="I18" s="233" t="inlineStr">
        <is>
          <t>-</t>
        </is>
      </c>
      <c r="J18" s="233" t="inlineStr">
        <is>
          <t>-</t>
        </is>
      </c>
      <c r="K18" s="233" t="inlineStr">
        <is>
          <t>-</t>
        </is>
      </c>
      <c r="L18" s="233" t="inlineStr">
        <is>
          <t>-</t>
        </is>
      </c>
      <c r="M18" s="1410" t="n"/>
      <c r="N18" s="233" t="inlineStr">
        <is>
          <t>-</t>
        </is>
      </c>
    </row>
    <row r="19" ht="18.75" customFormat="1" customHeight="1" s="112">
      <c r="A19" s="1418" t="n"/>
      <c r="B19" s="1418" t="n"/>
      <c r="C19" s="1418" t="n"/>
      <c r="D19" s="840" t="n"/>
      <c r="E19" s="432" t="inlineStr">
        <is>
          <t>в том числе:</t>
        </is>
      </c>
      <c r="F19" s="431" t="n"/>
      <c r="G19" s="1446" t="n"/>
      <c r="H19" s="1415" t="n"/>
      <c r="I19" s="233" t="inlineStr">
        <is>
          <t>-</t>
        </is>
      </c>
      <c r="J19" s="233" t="inlineStr">
        <is>
          <t>-</t>
        </is>
      </c>
      <c r="K19" s="233" t="inlineStr">
        <is>
          <t>-</t>
        </is>
      </c>
      <c r="L19" s="233" t="inlineStr">
        <is>
          <t>-</t>
        </is>
      </c>
      <c r="M19" s="1410" t="n"/>
      <c r="N19" s="233" t="inlineStr">
        <is>
          <t>-</t>
        </is>
      </c>
    </row>
    <row r="20" ht="29.25" customFormat="1" customHeight="1" s="112">
      <c r="A20" s="1418" t="n"/>
      <c r="B20" s="1418" t="n"/>
      <c r="C20" s="1418" t="n"/>
      <c r="D20" s="814" t="n"/>
      <c r="E20" s="815" t="inlineStr">
        <is>
          <t>Старший научный сотрудник</t>
        </is>
      </c>
      <c r="F20" s="817" t="n"/>
      <c r="G20" s="1447">
        <f>$G$18</f>
        <v/>
      </c>
      <c r="H20" s="1448">
        <f>ROUND(F20*G20,2)</f>
        <v/>
      </c>
      <c r="I20" s="233" t="inlineStr">
        <is>
          <t>-</t>
        </is>
      </c>
      <c r="J20" s="233" t="inlineStr">
        <is>
          <t>-</t>
        </is>
      </c>
      <c r="K20" s="233" t="inlineStr">
        <is>
          <t>-</t>
        </is>
      </c>
      <c r="L20" s="233" t="inlineStr">
        <is>
          <t>-</t>
        </is>
      </c>
      <c r="M20" s="1410" t="n"/>
      <c r="N20" s="233" t="inlineStr">
        <is>
          <t>-</t>
        </is>
      </c>
    </row>
    <row r="21" ht="29.25" customFormat="1" customHeight="1" s="112">
      <c r="A21" s="1418" t="n"/>
      <c r="B21" s="1418" t="n"/>
      <c r="C21" s="1418" t="n"/>
      <c r="D21" s="814" t="n"/>
      <c r="E21" s="815" t="inlineStr">
        <is>
          <t>Ведущий инженер</t>
        </is>
      </c>
      <c r="F21" s="817" t="n"/>
      <c r="G21" s="1447">
        <f>$G$18</f>
        <v/>
      </c>
      <c r="H21" s="1448">
        <f>ROUND(F21*G21,2)</f>
        <v/>
      </c>
      <c r="I21" s="233" t="inlineStr">
        <is>
          <t>-</t>
        </is>
      </c>
      <c r="J21" s="233" t="inlineStr">
        <is>
          <t>-</t>
        </is>
      </c>
      <c r="K21" s="233" t="inlineStr">
        <is>
          <t>-</t>
        </is>
      </c>
      <c r="L21" s="233" t="inlineStr">
        <is>
          <t>-</t>
        </is>
      </c>
      <c r="M21" s="1410" t="n"/>
      <c r="N21" s="233" t="inlineStr">
        <is>
          <t>-</t>
        </is>
      </c>
    </row>
    <row r="22" ht="29.25" customFormat="1" customHeight="1" s="112">
      <c r="A22" s="1413" t="n"/>
      <c r="B22" s="1413" t="n"/>
      <c r="C22" s="1413" t="n"/>
      <c r="D22" s="814" t="n"/>
      <c r="E22" s="815" t="inlineStr">
        <is>
          <t xml:space="preserve">Инженер </t>
        </is>
      </c>
      <c r="F22" s="817" t="n"/>
      <c r="G22" s="1447">
        <f>$G$18</f>
        <v/>
      </c>
      <c r="H22" s="1448">
        <f>ROUND(F22*G22,2)</f>
        <v/>
      </c>
      <c r="I22" s="233" t="inlineStr">
        <is>
          <t>-</t>
        </is>
      </c>
      <c r="J22" s="233" t="inlineStr">
        <is>
          <t>-</t>
        </is>
      </c>
      <c r="K22" s="233" t="inlineStr">
        <is>
          <t>-</t>
        </is>
      </c>
      <c r="L22" s="233" t="inlineStr">
        <is>
          <t>-</t>
        </is>
      </c>
      <c r="M22" s="1410" t="n"/>
      <c r="N22" s="233" t="inlineStr">
        <is>
          <t>-</t>
        </is>
      </c>
    </row>
    <row r="23" ht="17.45" customFormat="1" customHeight="1" s="112">
      <c r="A23" s="953" t="inlineStr">
        <is>
          <t>ИТОГО:</t>
        </is>
      </c>
      <c r="B23" s="1412" t="n"/>
      <c r="C23" s="1410" t="n"/>
      <c r="D23" s="312">
        <f>D12</f>
        <v/>
      </c>
      <c r="E23" s="313" t="inlineStr">
        <is>
          <t>Х</t>
        </is>
      </c>
      <c r="F23" s="314">
        <f>F12</f>
        <v/>
      </c>
      <c r="G23" s="1444">
        <f>G12</f>
        <v/>
      </c>
      <c r="H23" s="1445">
        <f>H12</f>
        <v/>
      </c>
      <c r="I23" s="233" t="inlineStr">
        <is>
          <t>-</t>
        </is>
      </c>
      <c r="J23" s="233" t="inlineStr">
        <is>
          <t>-</t>
        </is>
      </c>
      <c r="K23" s="233" t="inlineStr">
        <is>
          <t>-</t>
        </is>
      </c>
      <c r="L23" s="233" t="inlineStr">
        <is>
          <t>-</t>
        </is>
      </c>
      <c r="M23" s="1410" t="n"/>
      <c r="N23" s="233" t="inlineStr">
        <is>
          <t>-</t>
        </is>
      </c>
    </row>
    <row r="24" ht="34.5" customFormat="1" customHeight="1" s="23">
      <c r="A24" s="113" t="n"/>
      <c r="B24" s="113" t="n"/>
      <c r="C24" s="113" t="n"/>
      <c r="D24" s="114" t="n"/>
      <c r="E24" s="66" t="n"/>
      <c r="F24" s="116" t="n"/>
      <c r="G24" s="66" t="n"/>
      <c r="H24" s="1449" t="n"/>
      <c r="I24" s="116" t="n"/>
      <c r="J24" s="66" t="n"/>
      <c r="K24" s="66" t="n"/>
      <c r="L24" s="66" t="n"/>
      <c r="M24" s="66" t="n"/>
      <c r="N24" s="34" t="n"/>
    </row>
    <row r="25" ht="24.75" customFormat="1" customHeight="1" s="263">
      <c r="B25" s="983" t="inlineStr">
        <is>
          <t>Начальник ОФЭиАУ НИОКР</t>
        </is>
      </c>
      <c r="E25" s="779" t="n"/>
      <c r="G25" s="983" t="inlineStr">
        <is>
          <t>Руководитель договора</t>
        </is>
      </c>
    </row>
    <row r="26" ht="54.75" customFormat="1" customHeight="1" s="263">
      <c r="B26" s="302" t="inlineStr">
        <is>
          <t>_____________________ Н.О. Васецкая</t>
        </is>
      </c>
      <c r="E26" s="779" t="n"/>
      <c r="G26" s="303" t="inlineStr">
        <is>
          <t>_____________________ А.И. Боровков</t>
        </is>
      </c>
      <c r="H26" s="391" t="n"/>
      <c r="I26" s="414" t="n"/>
      <c r="J26" s="414" t="n"/>
      <c r="K26" s="414" t="n"/>
      <c r="L26" s="414" t="n"/>
      <c r="M26" s="414" t="n"/>
    </row>
    <row r="27" ht="21.75" customHeight="1" s="794">
      <c r="B27" s="63" t="inlineStr">
        <is>
          <t xml:space="preserve">  (подпись)                                               (Ф.И.О.)</t>
        </is>
      </c>
      <c r="E27" s="779" t="n"/>
      <c r="G27" s="63" t="inlineStr">
        <is>
          <t xml:space="preserve">  (подпись)                                                  (Ф.И.О.)</t>
        </is>
      </c>
      <c r="H27" s="49" t="n"/>
      <c r="I27" s="190" t="n"/>
      <c r="J27" s="190" t="n"/>
      <c r="K27" s="190" t="n"/>
      <c r="L27" s="961" t="n"/>
      <c r="M27" s="961" t="n"/>
      <c r="N27" s="23" t="n"/>
    </row>
    <row r="28" ht="21.75" customFormat="1" customHeight="1" s="263">
      <c r="B28" s="303" t="inlineStr">
        <is>
          <t>«____» __________________ 2026 г.</t>
        </is>
      </c>
      <c r="G28" s="303" t="inlineStr">
        <is>
          <t>«____» __________________ 2026 г.</t>
        </is>
      </c>
      <c r="I28" s="415" t="n"/>
      <c r="J28" s="415" t="n"/>
      <c r="K28" s="415" t="n"/>
      <c r="L28" s="416" t="n"/>
      <c r="M28" s="416" t="n"/>
    </row>
    <row r="29" ht="29.25" customHeight="1" s="794">
      <c r="A29" s="31" t="n"/>
      <c r="B29" s="31" t="n"/>
      <c r="C29" s="31" t="n"/>
      <c r="D29" s="31" t="n"/>
      <c r="E29" s="31" t="n"/>
      <c r="G29" s="959" t="n"/>
      <c r="H29" s="959" t="n"/>
      <c r="I29" s="959" t="n"/>
      <c r="J29" s="959" t="n"/>
      <c r="K29" s="959" t="n"/>
      <c r="L29" s="959" t="n"/>
      <c r="M29" s="959" t="n"/>
      <c r="N29" s="24" t="n"/>
    </row>
    <row r="30" ht="29.25" customFormat="1" customHeight="1" s="263">
      <c r="A30" s="417" t="n"/>
      <c r="B30" s="417" t="n"/>
      <c r="C30" s="417" t="n"/>
      <c r="D30" s="417" t="n"/>
      <c r="E30" s="417" t="n"/>
      <c r="G30" s="983" t="inlineStr">
        <is>
          <t>Ответственный исполнитель</t>
        </is>
      </c>
      <c r="M30" s="1311" t="n"/>
      <c r="N30" s="417" t="n"/>
    </row>
    <row r="31" ht="45" customFormat="1" customHeight="1" s="263">
      <c r="E31" s="264" t="n"/>
      <c r="G31" s="303" t="inlineStr">
        <is>
          <t>_____________________ И.Б. Войнов</t>
        </is>
      </c>
      <c r="H31" s="391" t="n"/>
      <c r="I31" s="414" t="n"/>
      <c r="J31" s="414" t="n"/>
      <c r="K31" s="414" t="n"/>
      <c r="L31" s="414" t="n"/>
      <c r="M31" s="390" t="n"/>
      <c r="N31" s="390" t="n"/>
    </row>
    <row r="32" ht="20.25" customHeight="1" s="794">
      <c r="A32" s="29" t="n"/>
      <c r="B32" s="29" t="n"/>
      <c r="C32" s="29" t="n"/>
      <c r="D32" s="29" t="n"/>
      <c r="E32" s="29" t="n"/>
      <c r="F32" s="34" t="n"/>
      <c r="G32" s="63" t="inlineStr">
        <is>
          <t xml:space="preserve">  (подпись)                                                   (Ф.И.О.)</t>
        </is>
      </c>
      <c r="H32" s="49" t="n"/>
      <c r="I32" s="190" t="n"/>
      <c r="J32" s="190" t="n"/>
      <c r="K32" s="190" t="n"/>
      <c r="L32" s="961" t="n"/>
      <c r="M32" s="30" t="n"/>
      <c r="N32" s="24" t="n"/>
    </row>
    <row r="33" ht="27" customFormat="1" customHeight="1" s="263">
      <c r="A33" s="419" t="n"/>
      <c r="B33" s="419" t="n"/>
      <c r="C33" s="419" t="n"/>
      <c r="D33" s="419" t="n"/>
      <c r="E33" s="420" t="n"/>
      <c r="F33" s="1239" t="n"/>
      <c r="G33" s="303" t="inlineStr">
        <is>
          <t>«____» __________________ 2026 г.</t>
        </is>
      </c>
      <c r="I33" s="415" t="n"/>
      <c r="J33" s="415" t="n"/>
      <c r="K33" s="415" t="n"/>
      <c r="L33" s="416" t="n"/>
      <c r="M33" s="390" t="n"/>
      <c r="N33" s="390" t="n"/>
    </row>
    <row r="34" ht="11.25" customHeight="1" s="794">
      <c r="A34" s="481" t="n"/>
      <c r="B34" s="481" t="n"/>
      <c r="C34" s="481" t="n"/>
      <c r="D34" s="481" t="n"/>
      <c r="E34" s="1094" t="n"/>
      <c r="F34" s="1095" t="n"/>
      <c r="G34" s="959" t="n"/>
      <c r="H34" s="959" t="n"/>
      <c r="I34" s="959" t="n"/>
      <c r="J34" s="959" t="n"/>
      <c r="K34" s="959" t="n"/>
      <c r="L34" s="959" t="n"/>
      <c r="M34" s="959" t="n"/>
      <c r="N34" s="24" t="n"/>
    </row>
    <row r="35" hidden="1" ht="42.75" customHeight="1" s="794">
      <c r="A35" s="982" t="inlineStr">
        <is>
          <t xml:space="preserve">    1 Информация заполняется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row>
    <row r="36" hidden="1" ht="57" customHeight="1" s="794">
      <c r="A36" s="954"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O36" s="954" t="n"/>
    </row>
    <row r="37" hidden="1" ht="121.9" customHeight="1" s="794">
      <c r="A37" s="952" t="inlineStr">
        <is>
          <t xml:space="preserve">   3 В случае проведения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графы 6-13 заполняются для отражения затрат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необходимо заполнить в соответствии с графами 6-13, дополнив форму графами после граф, в которых представлены затраты по состоянию на конкретную дату, аналогичными по содержанию графам 6-13 (с последующей корректировкой нумерации граф) для указания планируемых затрат.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6-13 по годам, дополнив форму после графы 13 графами, аналогичными по содержанию графам 6-13 (с последующей корректировкой нумерации граф), на каждый год производства продукции для указания информации. </t>
        </is>
      </c>
      <c r="O37" s="952" t="n"/>
    </row>
    <row r="38" hidden="1" ht="16.5" customHeight="1" s="794">
      <c r="A38" s="952" t="inlineStr">
        <is>
          <t xml:space="preserve">   4 Указывается используемая единица измерения трудоемкости: нормо-час / человеко-час / человеко-день / человеко-месяц.</t>
        </is>
      </c>
      <c r="O38" s="952" t="n"/>
    </row>
    <row r="39" hidden="1" ht="27.75" customFormat="1" customHeight="1" s="23">
      <c r="A39" s="952" t="inlineStr">
        <is>
          <t xml:space="preserve">    5 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is>
      </c>
    </row>
    <row r="40" hidden="1" ht="18" customHeight="1" s="794">
      <c r="A40" s="1099" t="n"/>
      <c r="B40" s="1099" t="n"/>
      <c r="C40" s="1099" t="n"/>
      <c r="D40" s="1099" t="n"/>
      <c r="E40" s="1099" t="n"/>
      <c r="F40" s="1099" t="n"/>
      <c r="G40" s="1099" t="n"/>
      <c r="H40" s="1099" t="n"/>
      <c r="I40" s="1099" t="n"/>
      <c r="J40" s="1099" t="n"/>
      <c r="K40" s="1099" t="n"/>
      <c r="L40" s="1099" t="n"/>
      <c r="M40" s="1099" t="n"/>
      <c r="N40" s="1099" t="n"/>
    </row>
    <row r="41" hidden="1" ht="15.75" customHeight="1" s="794">
      <c r="A41" s="958" t="inlineStr">
        <is>
          <t>Используемые сокращения и их расшифровка:</t>
        </is>
      </c>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row>
    <row r="42" hidden="1" ht="18" customHeight="1" s="794">
      <c r="A42" s="959" t="inlineStr">
        <is>
          <t xml:space="preserve">          НИР (ОКР) – научно-исследовательская работа (опытно-конструкторская работа). </t>
        </is>
      </c>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row>
    <row r="43" ht="15.75" customFormat="1" customHeight="1" s="93">
      <c r="F43" s="186" t="n"/>
      <c r="G43" s="186" t="n"/>
    </row>
    <row r="44" ht="12" customHeight="1" s="794">
      <c r="F44" s="1095" t="n"/>
      <c r="G44" s="1095" t="n"/>
      <c r="H44" s="117" t="n"/>
      <c r="I44" s="117"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row>
    <row r="45" ht="11.25" customHeight="1" s="794">
      <c r="H45" s="23" t="n"/>
      <c r="I45" s="23" t="n"/>
      <c r="J45" s="23" t="n"/>
      <c r="K45" s="23" t="n"/>
      <c r="L45" s="23" t="n"/>
      <c r="M45" s="23" t="n"/>
      <c r="N45" s="23" t="n"/>
      <c r="O45" s="23" t="n"/>
      <c r="P45" s="23" t="n"/>
      <c r="Q45" s="23" t="n"/>
      <c r="R45" s="23" t="n"/>
      <c r="S45" s="23" t="n"/>
      <c r="T45" s="23" t="n"/>
      <c r="U45" s="23" t="n"/>
      <c r="V45" s="23" t="n"/>
      <c r="W45" s="23" t="n"/>
      <c r="X45" s="23" t="n"/>
      <c r="Y45" s="23" t="n"/>
      <c r="Z45" s="23" t="n"/>
      <c r="AA45" s="23" t="n"/>
      <c r="AB45" s="23" t="n"/>
      <c r="AC45" s="23" t="n"/>
      <c r="AD45" s="23" t="n"/>
      <c r="AE45" s="23" t="n"/>
      <c r="AF45" s="23" t="n"/>
      <c r="AG45" s="23" t="n"/>
      <c r="AH45" s="23" t="n"/>
      <c r="AI45" s="23" t="n"/>
      <c r="AJ45" s="23" t="n"/>
      <c r="AK45" s="23" t="n"/>
      <c r="AL45" s="23" t="n"/>
      <c r="AM45" s="23" t="n"/>
      <c r="AN45" s="23" t="n"/>
      <c r="AO45" s="23" t="n"/>
      <c r="AP45" s="23" t="n"/>
      <c r="AQ45" s="23" t="n"/>
      <c r="AR45" s="23" t="n"/>
      <c r="AS45" s="23" t="n"/>
      <c r="AT45" s="23" t="n"/>
      <c r="AU45" s="23" t="n"/>
      <c r="AV45" s="23" t="n"/>
      <c r="AW45" s="23" t="n"/>
      <c r="AX45" s="23" t="n"/>
      <c r="AY45" s="23" t="n"/>
    </row>
    <row r="46" ht="18" customHeight="1" s="794">
      <c r="A46" s="23" t="n"/>
      <c r="B46" s="23" t="n"/>
      <c r="C46" s="23" t="n"/>
      <c r="D46" s="23" t="n"/>
      <c r="E46" s="23" t="n"/>
      <c r="F46" s="23" t="n"/>
      <c r="G46" s="23" t="n"/>
      <c r="H46" s="23" t="n"/>
      <c r="I46" s="23" t="n"/>
      <c r="J46" s="23" t="n"/>
      <c r="K46" s="23" t="n"/>
      <c r="L46" s="23" t="n"/>
      <c r="M46" s="23" t="n"/>
      <c r="N46" s="23" t="n"/>
    </row>
    <row r="47" ht="26.25" customHeight="1" s="794">
      <c r="B47" s="33" t="n"/>
      <c r="H47" s="23" t="n"/>
      <c r="I47" s="960" t="n"/>
      <c r="N47" s="23" t="n"/>
    </row>
    <row r="48" ht="9" customHeight="1" s="794">
      <c r="H48" s="23" t="n"/>
      <c r="I48" s="961" t="n"/>
      <c r="L48" s="961" t="n"/>
      <c r="M48" s="961" t="n"/>
      <c r="N48" s="23" t="n"/>
    </row>
    <row r="49">
      <c r="H49" s="23" t="n"/>
      <c r="I49" s="957" t="n"/>
      <c r="L49" s="957" t="n"/>
      <c r="M49" s="957" t="n"/>
      <c r="N49" s="23" t="n"/>
    </row>
    <row r="50">
      <c r="H50" s="23" t="n"/>
      <c r="I50" s="120" t="n"/>
      <c r="J50" s="121" t="n"/>
      <c r="K50" s="190" t="n"/>
      <c r="L50" s="190" t="n"/>
      <c r="M50" s="190" t="n"/>
      <c r="N50" s="23" t="n"/>
    </row>
    <row r="51">
      <c r="H51" s="23" t="n"/>
      <c r="I51" s="23" t="n"/>
      <c r="J51" s="23" t="n"/>
      <c r="K51" s="23" t="n"/>
      <c r="L51" s="23" t="n"/>
      <c r="M51" s="23" t="n"/>
      <c r="N51" s="23" t="n"/>
    </row>
    <row r="52" ht="6" customHeight="1" s="794">
      <c r="A52" s="23" t="n"/>
      <c r="B52" s="23" t="n"/>
      <c r="C52" s="23" t="n"/>
      <c r="D52" s="23" t="n"/>
      <c r="E52" s="23" t="n"/>
      <c r="F52" s="23" t="n"/>
      <c r="G52" s="23" t="n"/>
      <c r="H52" s="23" t="n"/>
      <c r="I52" s="23" t="n"/>
      <c r="J52" s="23" t="n"/>
      <c r="K52" s="23" t="n"/>
      <c r="L52" s="23" t="n"/>
      <c r="M52" s="23" t="n"/>
      <c r="N52" s="23" t="n"/>
    </row>
    <row r="53">
      <c r="F53" s="190" t="n"/>
      <c r="G53" s="190" t="n"/>
      <c r="H53" s="23" t="n"/>
      <c r="I53" s="23" t="n"/>
      <c r="J53" s="23" t="n"/>
      <c r="K53" s="23" t="n"/>
      <c r="L53" s="23" t="n"/>
      <c r="M53" s="23" t="n"/>
      <c r="N53" s="23" t="n"/>
    </row>
    <row r="54">
      <c r="F54" s="122" t="n"/>
      <c r="G54" s="122" t="n"/>
      <c r="H54" s="23" t="n"/>
      <c r="I54" s="23" t="n"/>
      <c r="J54" s="23" t="n"/>
      <c r="K54" s="23" t="n"/>
      <c r="L54" s="23" t="n"/>
      <c r="M54" s="23" t="n"/>
      <c r="N54" s="23" t="n"/>
    </row>
    <row r="55">
      <c r="F55" s="123" t="n"/>
      <c r="G55" s="123" t="n"/>
      <c r="H55" s="23" t="n"/>
      <c r="I55" s="23" t="n"/>
      <c r="J55" s="23" t="n"/>
      <c r="K55" s="23" t="n"/>
      <c r="L55" s="23" t="n"/>
      <c r="M55" s="23" t="n"/>
      <c r="N55" s="23" t="n"/>
    </row>
    <row r="56">
      <c r="F56" s="190" t="n"/>
      <c r="G56" s="190" t="n"/>
      <c r="H56" s="23" t="n"/>
      <c r="I56" s="23" t="n"/>
      <c r="J56" s="23" t="n"/>
      <c r="K56" s="23" t="n"/>
      <c r="L56" s="23" t="n"/>
      <c r="M56" s="23" t="n"/>
      <c r="N56" s="23" t="n"/>
    </row>
    <row r="57">
      <c r="A57" s="23" t="n"/>
      <c r="B57" s="23" t="n"/>
      <c r="C57" s="23" t="n"/>
      <c r="D57" s="23" t="n"/>
      <c r="E57" s="23" t="n"/>
      <c r="F57" s="23" t="n"/>
      <c r="G57" s="23" t="n"/>
      <c r="H57" s="23" t="n"/>
      <c r="I57" s="23" t="n"/>
      <c r="J57" s="23" t="n"/>
      <c r="K57" s="23" t="n"/>
      <c r="L57" s="23" t="n"/>
      <c r="M57" s="23" t="n"/>
      <c r="N57" s="23" t="n"/>
    </row>
  </sheetData>
  <mergeCells count="50">
    <mergeCell ref="I9:M9"/>
    <mergeCell ref="L17:M17"/>
    <mergeCell ref="A8:A10"/>
    <mergeCell ref="H9:H10"/>
    <mergeCell ref="B25:C25"/>
    <mergeCell ref="A39:N39"/>
    <mergeCell ref="L16:M16"/>
    <mergeCell ref="C5:M5"/>
    <mergeCell ref="D8:D10"/>
    <mergeCell ref="L19:M19"/>
    <mergeCell ref="A36:N36"/>
    <mergeCell ref="L13:M13"/>
    <mergeCell ref="A6:B6"/>
    <mergeCell ref="G30:L30"/>
    <mergeCell ref="A12:A22"/>
    <mergeCell ref="L12:M12"/>
    <mergeCell ref="C13:C17"/>
    <mergeCell ref="A23:C23"/>
    <mergeCell ref="I47:M47"/>
    <mergeCell ref="L18:M18"/>
    <mergeCell ref="L15:M15"/>
    <mergeCell ref="A41:N41"/>
    <mergeCell ref="I48:K48"/>
    <mergeCell ref="L23:M23"/>
    <mergeCell ref="A37:N37"/>
    <mergeCell ref="L14:M14"/>
    <mergeCell ref="F8:M8"/>
    <mergeCell ref="C18:C22"/>
    <mergeCell ref="G25:L25"/>
    <mergeCell ref="A3:N3"/>
    <mergeCell ref="F9:F10"/>
    <mergeCell ref="E8:E10"/>
    <mergeCell ref="L20:M20"/>
    <mergeCell ref="L10:M10"/>
    <mergeCell ref="B8:B10"/>
    <mergeCell ref="K1:N1"/>
    <mergeCell ref="A42:N42"/>
    <mergeCell ref="L22:M22"/>
    <mergeCell ref="B18:B22"/>
    <mergeCell ref="G9:G10"/>
    <mergeCell ref="I49:K49"/>
    <mergeCell ref="L21:M21"/>
    <mergeCell ref="A35:N35"/>
    <mergeCell ref="A1:C1"/>
    <mergeCell ref="A38:N38"/>
    <mergeCell ref="N8:N10"/>
    <mergeCell ref="L11:M11"/>
    <mergeCell ref="B13:B17"/>
    <mergeCell ref="C8:C10"/>
    <mergeCell ref="C4:N4"/>
  </mergeCells>
  <printOptions horizontalCentered="1"/>
  <pageMargins left="0" right="0" top="0.3937007874015748" bottom="0.3937007874015748" header="0.1968503937007874" footer="0.1968503937007874"/>
  <pageSetup orientation="landscape" paperSize="9" scale="48" fitToHeight="0"/>
</worksheet>
</file>

<file path=xl/worksheets/sheet5.xml><?xml version="1.0" encoding="utf-8"?>
<worksheet xmlns="http://schemas.openxmlformats.org/spreadsheetml/2006/main">
  <sheetPr>
    <tabColor theme="9" tint="0.7999816888943144"/>
    <outlinePr summaryBelow="1" summaryRight="1"/>
    <pageSetUpPr/>
  </sheetPr>
  <dimension ref="A1:I77"/>
  <sheetViews>
    <sheetView view="pageBreakPreview" topLeftCell="A22" zoomScale="70" zoomScaleNormal="100" zoomScaleSheetLayoutView="70" workbookViewId="0">
      <selection activeCell="G50" sqref="G50"/>
    </sheetView>
  </sheetViews>
  <sheetFormatPr baseColWidth="8" defaultColWidth="8.85546875" defaultRowHeight="12.75"/>
  <cols>
    <col width="7.28515625" customWidth="1" style="170" min="1" max="1"/>
    <col width="35.85546875" customWidth="1" style="138" min="2" max="2"/>
    <col width="19.7109375" customWidth="1" style="138" min="3" max="3"/>
    <col width="19.5703125" customWidth="1" style="138" min="4" max="4"/>
    <col width="21.7109375" customWidth="1" style="138" min="5" max="5"/>
    <col width="16.28515625" customWidth="1" style="138" min="6" max="6"/>
    <col width="29.42578125" customWidth="1" style="138" min="7" max="7"/>
    <col width="14.5703125" customWidth="1" style="138" min="8" max="8"/>
    <col width="8.85546875" customWidth="1" style="138" min="9" max="253"/>
    <col width="4.85546875" customWidth="1" style="138" min="254" max="254"/>
    <col width="16.85546875" customWidth="1" style="138" min="255" max="255"/>
    <col width="8.85546875" customWidth="1" style="138" min="256" max="256"/>
    <col width="7.28515625" customWidth="1" style="138" min="257" max="257"/>
    <col width="35.85546875" customWidth="1" style="138" min="258" max="258"/>
    <col width="16.28515625" customWidth="1" style="138" min="259" max="262"/>
    <col width="29.42578125" customWidth="1" style="138" min="263" max="263"/>
    <col width="14.5703125" customWidth="1" style="138" min="264" max="264"/>
    <col width="8.85546875" customWidth="1" style="138" min="265" max="509"/>
    <col width="4.85546875" customWidth="1" style="138" min="510" max="510"/>
    <col width="16.85546875" customWidth="1" style="138" min="511" max="511"/>
    <col width="8.85546875" customWidth="1" style="138" min="512" max="512"/>
    <col width="7.28515625" customWidth="1" style="138" min="513" max="513"/>
    <col width="35.85546875" customWidth="1" style="138" min="514" max="514"/>
    <col width="16.28515625" customWidth="1" style="138" min="515" max="518"/>
    <col width="29.42578125" customWidth="1" style="138" min="519" max="519"/>
    <col width="14.5703125" customWidth="1" style="138" min="520" max="520"/>
    <col width="8.85546875" customWidth="1" style="138" min="521" max="765"/>
    <col width="4.85546875" customWidth="1" style="138" min="766" max="766"/>
    <col width="16.85546875" customWidth="1" style="138" min="767" max="767"/>
    <col width="8.85546875" customWidth="1" style="138" min="768" max="768"/>
    <col width="7.28515625" customWidth="1" style="138" min="769" max="769"/>
    <col width="35.85546875" customWidth="1" style="138" min="770" max="770"/>
    <col width="16.28515625" customWidth="1" style="138" min="771" max="774"/>
    <col width="29.42578125" customWidth="1" style="138" min="775" max="775"/>
    <col width="14.5703125" customWidth="1" style="138" min="776" max="776"/>
    <col width="8.85546875" customWidth="1" style="138" min="777" max="1021"/>
    <col width="4.85546875" customWidth="1" style="138" min="1022" max="1022"/>
    <col width="16.85546875" customWidth="1" style="138" min="1023" max="1023"/>
    <col width="8.85546875" customWidth="1" style="138" min="1024" max="1024"/>
    <col width="7.28515625" customWidth="1" style="138" min="1025" max="1025"/>
    <col width="35.85546875" customWidth="1" style="138" min="1026" max="1026"/>
    <col width="16.28515625" customWidth="1" style="138" min="1027" max="1030"/>
    <col width="29.42578125" customWidth="1" style="138" min="1031" max="1031"/>
    <col width="14.5703125" customWidth="1" style="138" min="1032" max="1032"/>
    <col width="8.85546875" customWidth="1" style="138" min="1033" max="1277"/>
    <col width="4.85546875" customWidth="1" style="138" min="1278" max="1278"/>
    <col width="16.85546875" customWidth="1" style="138" min="1279" max="1279"/>
    <col width="8.85546875" customWidth="1" style="138" min="1280" max="1280"/>
    <col width="7.28515625" customWidth="1" style="138" min="1281" max="1281"/>
    <col width="35.85546875" customWidth="1" style="138" min="1282" max="1282"/>
    <col width="16.28515625" customWidth="1" style="138" min="1283" max="1286"/>
    <col width="29.42578125" customWidth="1" style="138" min="1287" max="1287"/>
    <col width="14.5703125" customWidth="1" style="138" min="1288" max="1288"/>
    <col width="8.85546875" customWidth="1" style="138" min="1289" max="1533"/>
    <col width="4.85546875" customWidth="1" style="138" min="1534" max="1534"/>
    <col width="16.85546875" customWidth="1" style="138" min="1535" max="1535"/>
    <col width="8.85546875" customWidth="1" style="138" min="1536" max="1536"/>
    <col width="7.28515625" customWidth="1" style="138" min="1537" max="1537"/>
    <col width="35.85546875" customWidth="1" style="138" min="1538" max="1538"/>
    <col width="16.28515625" customWidth="1" style="138" min="1539" max="1542"/>
    <col width="29.42578125" customWidth="1" style="138" min="1543" max="1543"/>
    <col width="14.5703125" customWidth="1" style="138" min="1544" max="1544"/>
    <col width="8.85546875" customWidth="1" style="138" min="1545" max="1789"/>
    <col width="4.85546875" customWidth="1" style="138" min="1790" max="1790"/>
    <col width="16.85546875" customWidth="1" style="138" min="1791" max="1791"/>
    <col width="8.85546875" customWidth="1" style="138" min="1792" max="1792"/>
    <col width="7.28515625" customWidth="1" style="138" min="1793" max="1793"/>
    <col width="35.85546875" customWidth="1" style="138" min="1794" max="1794"/>
    <col width="16.28515625" customWidth="1" style="138" min="1795" max="1798"/>
    <col width="29.42578125" customWidth="1" style="138" min="1799" max="1799"/>
    <col width="14.5703125" customWidth="1" style="138" min="1800" max="1800"/>
    <col width="8.85546875" customWidth="1" style="138" min="1801" max="2045"/>
    <col width="4.85546875" customWidth="1" style="138" min="2046" max="2046"/>
    <col width="16.85546875" customWidth="1" style="138" min="2047" max="2047"/>
    <col width="8.85546875" customWidth="1" style="138" min="2048" max="2048"/>
    <col width="7.28515625" customWidth="1" style="138" min="2049" max="2049"/>
    <col width="35.85546875" customWidth="1" style="138" min="2050" max="2050"/>
    <col width="16.28515625" customWidth="1" style="138" min="2051" max="2054"/>
    <col width="29.42578125" customWidth="1" style="138" min="2055" max="2055"/>
    <col width="14.5703125" customWidth="1" style="138" min="2056" max="2056"/>
    <col width="8.85546875" customWidth="1" style="138" min="2057" max="2301"/>
    <col width="4.85546875" customWidth="1" style="138" min="2302" max="2302"/>
    <col width="16.85546875" customWidth="1" style="138" min="2303" max="2303"/>
    <col width="8.85546875" customWidth="1" style="138" min="2304" max="2304"/>
    <col width="7.28515625" customWidth="1" style="138" min="2305" max="2305"/>
    <col width="35.85546875" customWidth="1" style="138" min="2306" max="2306"/>
    <col width="16.28515625" customWidth="1" style="138" min="2307" max="2310"/>
    <col width="29.42578125" customWidth="1" style="138" min="2311" max="2311"/>
    <col width="14.5703125" customWidth="1" style="138" min="2312" max="2312"/>
    <col width="8.85546875" customWidth="1" style="138" min="2313" max="2557"/>
    <col width="4.85546875" customWidth="1" style="138" min="2558" max="2558"/>
    <col width="16.85546875" customWidth="1" style="138" min="2559" max="2559"/>
    <col width="8.85546875" customWidth="1" style="138" min="2560" max="2560"/>
    <col width="7.28515625" customWidth="1" style="138" min="2561" max="2561"/>
    <col width="35.85546875" customWidth="1" style="138" min="2562" max="2562"/>
    <col width="16.28515625" customWidth="1" style="138" min="2563" max="2566"/>
    <col width="29.42578125" customWidth="1" style="138" min="2567" max="2567"/>
    <col width="14.5703125" customWidth="1" style="138" min="2568" max="2568"/>
    <col width="8.85546875" customWidth="1" style="138" min="2569" max="2813"/>
    <col width="4.85546875" customWidth="1" style="138" min="2814" max="2814"/>
    <col width="16.85546875" customWidth="1" style="138" min="2815" max="2815"/>
    <col width="8.85546875" customWidth="1" style="138" min="2816" max="2816"/>
    <col width="7.28515625" customWidth="1" style="138" min="2817" max="2817"/>
    <col width="35.85546875" customWidth="1" style="138" min="2818" max="2818"/>
    <col width="16.28515625" customWidth="1" style="138" min="2819" max="2822"/>
    <col width="29.42578125" customWidth="1" style="138" min="2823" max="2823"/>
    <col width="14.5703125" customWidth="1" style="138" min="2824" max="2824"/>
    <col width="8.85546875" customWidth="1" style="138" min="2825" max="3069"/>
    <col width="4.85546875" customWidth="1" style="138" min="3070" max="3070"/>
    <col width="16.85546875" customWidth="1" style="138" min="3071" max="3071"/>
    <col width="8.85546875" customWidth="1" style="138" min="3072" max="3072"/>
    <col width="7.28515625" customWidth="1" style="138" min="3073" max="3073"/>
    <col width="35.85546875" customWidth="1" style="138" min="3074" max="3074"/>
    <col width="16.28515625" customWidth="1" style="138" min="3075" max="3078"/>
    <col width="29.42578125" customWidth="1" style="138" min="3079" max="3079"/>
    <col width="14.5703125" customWidth="1" style="138" min="3080" max="3080"/>
    <col width="8.85546875" customWidth="1" style="138" min="3081" max="3325"/>
    <col width="4.85546875" customWidth="1" style="138" min="3326" max="3326"/>
    <col width="16.85546875" customWidth="1" style="138" min="3327" max="3327"/>
    <col width="8.85546875" customWidth="1" style="138" min="3328" max="3328"/>
    <col width="7.28515625" customWidth="1" style="138" min="3329" max="3329"/>
    <col width="35.85546875" customWidth="1" style="138" min="3330" max="3330"/>
    <col width="16.28515625" customWidth="1" style="138" min="3331" max="3334"/>
    <col width="29.42578125" customWidth="1" style="138" min="3335" max="3335"/>
    <col width="14.5703125" customWidth="1" style="138" min="3336" max="3336"/>
    <col width="8.85546875" customWidth="1" style="138" min="3337" max="3581"/>
    <col width="4.85546875" customWidth="1" style="138" min="3582" max="3582"/>
    <col width="16.85546875" customWidth="1" style="138" min="3583" max="3583"/>
    <col width="8.85546875" customWidth="1" style="138" min="3584" max="3584"/>
    <col width="7.28515625" customWidth="1" style="138" min="3585" max="3585"/>
    <col width="35.85546875" customWidth="1" style="138" min="3586" max="3586"/>
    <col width="16.28515625" customWidth="1" style="138" min="3587" max="3590"/>
    <col width="29.42578125" customWidth="1" style="138" min="3591" max="3591"/>
    <col width="14.5703125" customWidth="1" style="138" min="3592" max="3592"/>
    <col width="8.85546875" customWidth="1" style="138" min="3593" max="3837"/>
    <col width="4.85546875" customWidth="1" style="138" min="3838" max="3838"/>
    <col width="16.85546875" customWidth="1" style="138" min="3839" max="3839"/>
    <col width="8.85546875" customWidth="1" style="138" min="3840" max="3840"/>
    <col width="7.28515625" customWidth="1" style="138" min="3841" max="3841"/>
    <col width="35.85546875" customWidth="1" style="138" min="3842" max="3842"/>
    <col width="16.28515625" customWidth="1" style="138" min="3843" max="3846"/>
    <col width="29.42578125" customWidth="1" style="138" min="3847" max="3847"/>
    <col width="14.5703125" customWidth="1" style="138" min="3848" max="3848"/>
    <col width="8.85546875" customWidth="1" style="138" min="3849" max="4093"/>
    <col width="4.85546875" customWidth="1" style="138" min="4094" max="4094"/>
    <col width="16.85546875" customWidth="1" style="138" min="4095" max="4095"/>
    <col width="8.85546875" customWidth="1" style="138" min="4096" max="4096"/>
    <col width="7.28515625" customWidth="1" style="138" min="4097" max="4097"/>
    <col width="35.85546875" customWidth="1" style="138" min="4098" max="4098"/>
    <col width="16.28515625" customWidth="1" style="138" min="4099" max="4102"/>
    <col width="29.42578125" customWidth="1" style="138" min="4103" max="4103"/>
    <col width="14.5703125" customWidth="1" style="138" min="4104" max="4104"/>
    <col width="8.85546875" customWidth="1" style="138" min="4105" max="4349"/>
    <col width="4.85546875" customWidth="1" style="138" min="4350" max="4350"/>
    <col width="16.85546875" customWidth="1" style="138" min="4351" max="4351"/>
    <col width="8.85546875" customWidth="1" style="138" min="4352" max="4352"/>
    <col width="7.28515625" customWidth="1" style="138" min="4353" max="4353"/>
    <col width="35.85546875" customWidth="1" style="138" min="4354" max="4354"/>
    <col width="16.28515625" customWidth="1" style="138" min="4355" max="4358"/>
    <col width="29.42578125" customWidth="1" style="138" min="4359" max="4359"/>
    <col width="14.5703125" customWidth="1" style="138" min="4360" max="4360"/>
    <col width="8.85546875" customWidth="1" style="138" min="4361" max="4605"/>
    <col width="4.85546875" customWidth="1" style="138" min="4606" max="4606"/>
    <col width="16.85546875" customWidth="1" style="138" min="4607" max="4607"/>
    <col width="8.85546875" customWidth="1" style="138" min="4608" max="4608"/>
    <col width="7.28515625" customWidth="1" style="138" min="4609" max="4609"/>
    <col width="35.85546875" customWidth="1" style="138" min="4610" max="4610"/>
    <col width="16.28515625" customWidth="1" style="138" min="4611" max="4614"/>
    <col width="29.42578125" customWidth="1" style="138" min="4615" max="4615"/>
    <col width="14.5703125" customWidth="1" style="138" min="4616" max="4616"/>
    <col width="8.85546875" customWidth="1" style="138" min="4617" max="4861"/>
    <col width="4.85546875" customWidth="1" style="138" min="4862" max="4862"/>
    <col width="16.85546875" customWidth="1" style="138" min="4863" max="4863"/>
    <col width="8.85546875" customWidth="1" style="138" min="4864" max="4864"/>
    <col width="7.28515625" customWidth="1" style="138" min="4865" max="4865"/>
    <col width="35.85546875" customWidth="1" style="138" min="4866" max="4866"/>
    <col width="16.28515625" customWidth="1" style="138" min="4867" max="4870"/>
    <col width="29.42578125" customWidth="1" style="138" min="4871" max="4871"/>
    <col width="14.5703125" customWidth="1" style="138" min="4872" max="4872"/>
    <col width="8.85546875" customWidth="1" style="138" min="4873" max="5117"/>
    <col width="4.85546875" customWidth="1" style="138" min="5118" max="5118"/>
    <col width="16.85546875" customWidth="1" style="138" min="5119" max="5119"/>
    <col width="8.85546875" customWidth="1" style="138" min="5120" max="5120"/>
    <col width="7.28515625" customWidth="1" style="138" min="5121" max="5121"/>
    <col width="35.85546875" customWidth="1" style="138" min="5122" max="5122"/>
    <col width="16.28515625" customWidth="1" style="138" min="5123" max="5126"/>
    <col width="29.42578125" customWidth="1" style="138" min="5127" max="5127"/>
    <col width="14.5703125" customWidth="1" style="138" min="5128" max="5128"/>
    <col width="8.85546875" customWidth="1" style="138" min="5129" max="5373"/>
    <col width="4.85546875" customWidth="1" style="138" min="5374" max="5374"/>
    <col width="16.85546875" customWidth="1" style="138" min="5375" max="5375"/>
    <col width="8.85546875" customWidth="1" style="138" min="5376" max="5376"/>
    <col width="7.28515625" customWidth="1" style="138" min="5377" max="5377"/>
    <col width="35.85546875" customWidth="1" style="138" min="5378" max="5378"/>
    <col width="16.28515625" customWidth="1" style="138" min="5379" max="5382"/>
    <col width="29.42578125" customWidth="1" style="138" min="5383" max="5383"/>
    <col width="14.5703125" customWidth="1" style="138" min="5384" max="5384"/>
    <col width="8.85546875" customWidth="1" style="138" min="5385" max="5629"/>
    <col width="4.85546875" customWidth="1" style="138" min="5630" max="5630"/>
    <col width="16.85546875" customWidth="1" style="138" min="5631" max="5631"/>
    <col width="8.85546875" customWidth="1" style="138" min="5632" max="5632"/>
    <col width="7.28515625" customWidth="1" style="138" min="5633" max="5633"/>
    <col width="35.85546875" customWidth="1" style="138" min="5634" max="5634"/>
    <col width="16.28515625" customWidth="1" style="138" min="5635" max="5638"/>
    <col width="29.42578125" customWidth="1" style="138" min="5639" max="5639"/>
    <col width="14.5703125" customWidth="1" style="138" min="5640" max="5640"/>
    <col width="8.85546875" customWidth="1" style="138" min="5641" max="5885"/>
    <col width="4.85546875" customWidth="1" style="138" min="5886" max="5886"/>
    <col width="16.85546875" customWidth="1" style="138" min="5887" max="5887"/>
    <col width="8.85546875" customWidth="1" style="138" min="5888" max="5888"/>
    <col width="7.28515625" customWidth="1" style="138" min="5889" max="5889"/>
    <col width="35.85546875" customWidth="1" style="138" min="5890" max="5890"/>
    <col width="16.28515625" customWidth="1" style="138" min="5891" max="5894"/>
    <col width="29.42578125" customWidth="1" style="138" min="5895" max="5895"/>
    <col width="14.5703125" customWidth="1" style="138" min="5896" max="5896"/>
    <col width="8.85546875" customWidth="1" style="138" min="5897" max="6141"/>
    <col width="4.85546875" customWidth="1" style="138" min="6142" max="6142"/>
    <col width="16.85546875" customWidth="1" style="138" min="6143" max="6143"/>
    <col width="8.85546875" customWidth="1" style="138" min="6144" max="6144"/>
    <col width="7.28515625" customWidth="1" style="138" min="6145" max="6145"/>
    <col width="35.85546875" customWidth="1" style="138" min="6146" max="6146"/>
    <col width="16.28515625" customWidth="1" style="138" min="6147" max="6150"/>
    <col width="29.42578125" customWidth="1" style="138" min="6151" max="6151"/>
    <col width="14.5703125" customWidth="1" style="138" min="6152" max="6152"/>
    <col width="8.85546875" customWidth="1" style="138" min="6153" max="6397"/>
    <col width="4.85546875" customWidth="1" style="138" min="6398" max="6398"/>
    <col width="16.85546875" customWidth="1" style="138" min="6399" max="6399"/>
    <col width="8.85546875" customWidth="1" style="138" min="6400" max="6400"/>
    <col width="7.28515625" customWidth="1" style="138" min="6401" max="6401"/>
    <col width="35.85546875" customWidth="1" style="138" min="6402" max="6402"/>
    <col width="16.28515625" customWidth="1" style="138" min="6403" max="6406"/>
    <col width="29.42578125" customWidth="1" style="138" min="6407" max="6407"/>
    <col width="14.5703125" customWidth="1" style="138" min="6408" max="6408"/>
    <col width="8.85546875" customWidth="1" style="138" min="6409" max="6653"/>
    <col width="4.85546875" customWidth="1" style="138" min="6654" max="6654"/>
    <col width="16.85546875" customWidth="1" style="138" min="6655" max="6655"/>
    <col width="8.85546875" customWidth="1" style="138" min="6656" max="6656"/>
    <col width="7.28515625" customWidth="1" style="138" min="6657" max="6657"/>
    <col width="35.85546875" customWidth="1" style="138" min="6658" max="6658"/>
    <col width="16.28515625" customWidth="1" style="138" min="6659" max="6662"/>
    <col width="29.42578125" customWidth="1" style="138" min="6663" max="6663"/>
    <col width="14.5703125" customWidth="1" style="138" min="6664" max="6664"/>
    <col width="8.85546875" customWidth="1" style="138" min="6665" max="6909"/>
    <col width="4.85546875" customWidth="1" style="138" min="6910" max="6910"/>
    <col width="16.85546875" customWidth="1" style="138" min="6911" max="6911"/>
    <col width="8.85546875" customWidth="1" style="138" min="6912" max="6912"/>
    <col width="7.28515625" customWidth="1" style="138" min="6913" max="6913"/>
    <col width="35.85546875" customWidth="1" style="138" min="6914" max="6914"/>
    <col width="16.28515625" customWidth="1" style="138" min="6915" max="6918"/>
    <col width="29.42578125" customWidth="1" style="138" min="6919" max="6919"/>
    <col width="14.5703125" customWidth="1" style="138" min="6920" max="6920"/>
    <col width="8.85546875" customWidth="1" style="138" min="6921" max="7165"/>
    <col width="4.85546875" customWidth="1" style="138" min="7166" max="7166"/>
    <col width="16.85546875" customWidth="1" style="138" min="7167" max="7167"/>
    <col width="8.85546875" customWidth="1" style="138" min="7168" max="7168"/>
    <col width="7.28515625" customWidth="1" style="138" min="7169" max="7169"/>
    <col width="35.85546875" customWidth="1" style="138" min="7170" max="7170"/>
    <col width="16.28515625" customWidth="1" style="138" min="7171" max="7174"/>
    <col width="29.42578125" customWidth="1" style="138" min="7175" max="7175"/>
    <col width="14.5703125" customWidth="1" style="138" min="7176" max="7176"/>
    <col width="8.85546875" customWidth="1" style="138" min="7177" max="7421"/>
    <col width="4.85546875" customWidth="1" style="138" min="7422" max="7422"/>
    <col width="16.85546875" customWidth="1" style="138" min="7423" max="7423"/>
    <col width="8.85546875" customWidth="1" style="138" min="7424" max="7424"/>
    <col width="7.28515625" customWidth="1" style="138" min="7425" max="7425"/>
    <col width="35.85546875" customWidth="1" style="138" min="7426" max="7426"/>
    <col width="16.28515625" customWidth="1" style="138" min="7427" max="7430"/>
    <col width="29.42578125" customWidth="1" style="138" min="7431" max="7431"/>
    <col width="14.5703125" customWidth="1" style="138" min="7432" max="7432"/>
    <col width="8.85546875" customWidth="1" style="138" min="7433" max="7677"/>
    <col width="4.85546875" customWidth="1" style="138" min="7678" max="7678"/>
    <col width="16.85546875" customWidth="1" style="138" min="7679" max="7679"/>
    <col width="8.85546875" customWidth="1" style="138" min="7680" max="7680"/>
    <col width="7.28515625" customWidth="1" style="138" min="7681" max="7681"/>
    <col width="35.85546875" customWidth="1" style="138" min="7682" max="7682"/>
    <col width="16.28515625" customWidth="1" style="138" min="7683" max="7686"/>
    <col width="29.42578125" customWidth="1" style="138" min="7687" max="7687"/>
    <col width="14.5703125" customWidth="1" style="138" min="7688" max="7688"/>
    <col width="8.85546875" customWidth="1" style="138" min="7689" max="7933"/>
    <col width="4.85546875" customWidth="1" style="138" min="7934" max="7934"/>
    <col width="16.85546875" customWidth="1" style="138" min="7935" max="7935"/>
    <col width="8.85546875" customWidth="1" style="138" min="7936" max="7936"/>
    <col width="7.28515625" customWidth="1" style="138" min="7937" max="7937"/>
    <col width="35.85546875" customWidth="1" style="138" min="7938" max="7938"/>
    <col width="16.28515625" customWidth="1" style="138" min="7939" max="7942"/>
    <col width="29.42578125" customWidth="1" style="138" min="7943" max="7943"/>
    <col width="14.5703125" customWidth="1" style="138" min="7944" max="7944"/>
    <col width="8.85546875" customWidth="1" style="138" min="7945" max="8189"/>
    <col width="4.85546875" customWidth="1" style="138" min="8190" max="8190"/>
    <col width="16.85546875" customWidth="1" style="138" min="8191" max="8191"/>
    <col width="8.85546875" customWidth="1" style="138" min="8192" max="8192"/>
    <col width="7.28515625" customWidth="1" style="138" min="8193" max="8193"/>
    <col width="35.85546875" customWidth="1" style="138" min="8194" max="8194"/>
    <col width="16.28515625" customWidth="1" style="138" min="8195" max="8198"/>
    <col width="29.42578125" customWidth="1" style="138" min="8199" max="8199"/>
    <col width="14.5703125" customWidth="1" style="138" min="8200" max="8200"/>
    <col width="8.85546875" customWidth="1" style="138" min="8201" max="8445"/>
    <col width="4.85546875" customWidth="1" style="138" min="8446" max="8446"/>
    <col width="16.85546875" customWidth="1" style="138" min="8447" max="8447"/>
    <col width="8.85546875" customWidth="1" style="138" min="8448" max="8448"/>
    <col width="7.28515625" customWidth="1" style="138" min="8449" max="8449"/>
    <col width="35.85546875" customWidth="1" style="138" min="8450" max="8450"/>
    <col width="16.28515625" customWidth="1" style="138" min="8451" max="8454"/>
    <col width="29.42578125" customWidth="1" style="138" min="8455" max="8455"/>
    <col width="14.5703125" customWidth="1" style="138" min="8456" max="8456"/>
    <col width="8.85546875" customWidth="1" style="138" min="8457" max="8701"/>
    <col width="4.85546875" customWidth="1" style="138" min="8702" max="8702"/>
    <col width="16.85546875" customWidth="1" style="138" min="8703" max="8703"/>
    <col width="8.85546875" customWidth="1" style="138" min="8704" max="8704"/>
    <col width="7.28515625" customWidth="1" style="138" min="8705" max="8705"/>
    <col width="35.85546875" customWidth="1" style="138" min="8706" max="8706"/>
    <col width="16.28515625" customWidth="1" style="138" min="8707" max="8710"/>
    <col width="29.42578125" customWidth="1" style="138" min="8711" max="8711"/>
    <col width="14.5703125" customWidth="1" style="138" min="8712" max="8712"/>
    <col width="8.85546875" customWidth="1" style="138" min="8713" max="8957"/>
    <col width="4.85546875" customWidth="1" style="138" min="8958" max="8958"/>
    <col width="16.85546875" customWidth="1" style="138" min="8959" max="8959"/>
    <col width="8.85546875" customWidth="1" style="138" min="8960" max="8960"/>
    <col width="7.28515625" customWidth="1" style="138" min="8961" max="8961"/>
    <col width="35.85546875" customWidth="1" style="138" min="8962" max="8962"/>
    <col width="16.28515625" customWidth="1" style="138" min="8963" max="8966"/>
    <col width="29.42578125" customWidth="1" style="138" min="8967" max="8967"/>
    <col width="14.5703125" customWidth="1" style="138" min="8968" max="8968"/>
    <col width="8.85546875" customWidth="1" style="138" min="8969" max="9213"/>
    <col width="4.85546875" customWidth="1" style="138" min="9214" max="9214"/>
    <col width="16.85546875" customWidth="1" style="138" min="9215" max="9215"/>
    <col width="8.85546875" customWidth="1" style="138" min="9216" max="9216"/>
    <col width="7.28515625" customWidth="1" style="138" min="9217" max="9217"/>
    <col width="35.85546875" customWidth="1" style="138" min="9218" max="9218"/>
    <col width="16.28515625" customWidth="1" style="138" min="9219" max="9222"/>
    <col width="29.42578125" customWidth="1" style="138" min="9223" max="9223"/>
    <col width="14.5703125" customWidth="1" style="138" min="9224" max="9224"/>
    <col width="8.85546875" customWidth="1" style="138" min="9225" max="9469"/>
    <col width="4.85546875" customWidth="1" style="138" min="9470" max="9470"/>
    <col width="16.85546875" customWidth="1" style="138" min="9471" max="9471"/>
    <col width="8.85546875" customWidth="1" style="138" min="9472" max="9472"/>
    <col width="7.28515625" customWidth="1" style="138" min="9473" max="9473"/>
    <col width="35.85546875" customWidth="1" style="138" min="9474" max="9474"/>
    <col width="16.28515625" customWidth="1" style="138" min="9475" max="9478"/>
    <col width="29.42578125" customWidth="1" style="138" min="9479" max="9479"/>
    <col width="14.5703125" customWidth="1" style="138" min="9480" max="9480"/>
    <col width="8.85546875" customWidth="1" style="138" min="9481" max="9725"/>
    <col width="4.85546875" customWidth="1" style="138" min="9726" max="9726"/>
    <col width="16.85546875" customWidth="1" style="138" min="9727" max="9727"/>
    <col width="8.85546875" customWidth="1" style="138" min="9728" max="9728"/>
    <col width="7.28515625" customWidth="1" style="138" min="9729" max="9729"/>
    <col width="35.85546875" customWidth="1" style="138" min="9730" max="9730"/>
    <col width="16.28515625" customWidth="1" style="138" min="9731" max="9734"/>
    <col width="29.42578125" customWidth="1" style="138" min="9735" max="9735"/>
    <col width="14.5703125" customWidth="1" style="138" min="9736" max="9736"/>
    <col width="8.85546875" customWidth="1" style="138" min="9737" max="9981"/>
    <col width="4.85546875" customWidth="1" style="138" min="9982" max="9982"/>
    <col width="16.85546875" customWidth="1" style="138" min="9983" max="9983"/>
    <col width="8.85546875" customWidth="1" style="138" min="9984" max="9984"/>
    <col width="7.28515625" customWidth="1" style="138" min="9985" max="9985"/>
    <col width="35.85546875" customWidth="1" style="138" min="9986" max="9986"/>
    <col width="16.28515625" customWidth="1" style="138" min="9987" max="9990"/>
    <col width="29.42578125" customWidth="1" style="138" min="9991" max="9991"/>
    <col width="14.5703125" customWidth="1" style="138" min="9992" max="9992"/>
    <col width="8.85546875" customWidth="1" style="138" min="9993" max="10237"/>
    <col width="4.85546875" customWidth="1" style="138" min="10238" max="10238"/>
    <col width="16.85546875" customWidth="1" style="138" min="10239" max="10239"/>
    <col width="8.85546875" customWidth="1" style="138" min="10240" max="10240"/>
    <col width="7.28515625" customWidth="1" style="138" min="10241" max="10241"/>
    <col width="35.85546875" customWidth="1" style="138" min="10242" max="10242"/>
    <col width="16.28515625" customWidth="1" style="138" min="10243" max="10246"/>
    <col width="29.42578125" customWidth="1" style="138" min="10247" max="10247"/>
    <col width="14.5703125" customWidth="1" style="138" min="10248" max="10248"/>
    <col width="8.85546875" customWidth="1" style="138" min="10249" max="10493"/>
    <col width="4.85546875" customWidth="1" style="138" min="10494" max="10494"/>
    <col width="16.85546875" customWidth="1" style="138" min="10495" max="10495"/>
    <col width="8.85546875" customWidth="1" style="138" min="10496" max="10496"/>
    <col width="7.28515625" customWidth="1" style="138" min="10497" max="10497"/>
    <col width="35.85546875" customWidth="1" style="138" min="10498" max="10498"/>
    <col width="16.28515625" customWidth="1" style="138" min="10499" max="10502"/>
    <col width="29.42578125" customWidth="1" style="138" min="10503" max="10503"/>
    <col width="14.5703125" customWidth="1" style="138" min="10504" max="10504"/>
    <col width="8.85546875" customWidth="1" style="138" min="10505" max="10749"/>
    <col width="4.85546875" customWidth="1" style="138" min="10750" max="10750"/>
    <col width="16.85546875" customWidth="1" style="138" min="10751" max="10751"/>
    <col width="8.85546875" customWidth="1" style="138" min="10752" max="10752"/>
    <col width="7.28515625" customWidth="1" style="138" min="10753" max="10753"/>
    <col width="35.85546875" customWidth="1" style="138" min="10754" max="10754"/>
    <col width="16.28515625" customWidth="1" style="138" min="10755" max="10758"/>
    <col width="29.42578125" customWidth="1" style="138" min="10759" max="10759"/>
    <col width="14.5703125" customWidth="1" style="138" min="10760" max="10760"/>
    <col width="8.85546875" customWidth="1" style="138" min="10761" max="11005"/>
    <col width="4.85546875" customWidth="1" style="138" min="11006" max="11006"/>
    <col width="16.85546875" customWidth="1" style="138" min="11007" max="11007"/>
    <col width="8.85546875" customWidth="1" style="138" min="11008" max="11008"/>
    <col width="7.28515625" customWidth="1" style="138" min="11009" max="11009"/>
    <col width="35.85546875" customWidth="1" style="138" min="11010" max="11010"/>
    <col width="16.28515625" customWidth="1" style="138" min="11011" max="11014"/>
    <col width="29.42578125" customWidth="1" style="138" min="11015" max="11015"/>
    <col width="14.5703125" customWidth="1" style="138" min="11016" max="11016"/>
    <col width="8.85546875" customWidth="1" style="138" min="11017" max="11261"/>
    <col width="4.85546875" customWidth="1" style="138" min="11262" max="11262"/>
    <col width="16.85546875" customWidth="1" style="138" min="11263" max="11263"/>
    <col width="8.85546875" customWidth="1" style="138" min="11264" max="11264"/>
    <col width="7.28515625" customWidth="1" style="138" min="11265" max="11265"/>
    <col width="35.85546875" customWidth="1" style="138" min="11266" max="11266"/>
    <col width="16.28515625" customWidth="1" style="138" min="11267" max="11270"/>
    <col width="29.42578125" customWidth="1" style="138" min="11271" max="11271"/>
    <col width="14.5703125" customWidth="1" style="138" min="11272" max="11272"/>
    <col width="8.85546875" customWidth="1" style="138" min="11273" max="11517"/>
    <col width="4.85546875" customWidth="1" style="138" min="11518" max="11518"/>
    <col width="16.85546875" customWidth="1" style="138" min="11519" max="11519"/>
    <col width="8.85546875" customWidth="1" style="138" min="11520" max="11520"/>
    <col width="7.28515625" customWidth="1" style="138" min="11521" max="11521"/>
    <col width="35.85546875" customWidth="1" style="138" min="11522" max="11522"/>
    <col width="16.28515625" customWidth="1" style="138" min="11523" max="11526"/>
    <col width="29.42578125" customWidth="1" style="138" min="11527" max="11527"/>
    <col width="14.5703125" customWidth="1" style="138" min="11528" max="11528"/>
    <col width="8.85546875" customWidth="1" style="138" min="11529" max="11773"/>
    <col width="4.85546875" customWidth="1" style="138" min="11774" max="11774"/>
    <col width="16.85546875" customWidth="1" style="138" min="11775" max="11775"/>
    <col width="8.85546875" customWidth="1" style="138" min="11776" max="11776"/>
    <col width="7.28515625" customWidth="1" style="138" min="11777" max="11777"/>
    <col width="35.85546875" customWidth="1" style="138" min="11778" max="11778"/>
    <col width="16.28515625" customWidth="1" style="138" min="11779" max="11782"/>
    <col width="29.42578125" customWidth="1" style="138" min="11783" max="11783"/>
    <col width="14.5703125" customWidth="1" style="138" min="11784" max="11784"/>
    <col width="8.85546875" customWidth="1" style="138" min="11785" max="12029"/>
    <col width="4.85546875" customWidth="1" style="138" min="12030" max="12030"/>
    <col width="16.85546875" customWidth="1" style="138" min="12031" max="12031"/>
    <col width="8.85546875" customWidth="1" style="138" min="12032" max="12032"/>
    <col width="7.28515625" customWidth="1" style="138" min="12033" max="12033"/>
    <col width="35.85546875" customWidth="1" style="138" min="12034" max="12034"/>
    <col width="16.28515625" customWidth="1" style="138" min="12035" max="12038"/>
    <col width="29.42578125" customWidth="1" style="138" min="12039" max="12039"/>
    <col width="14.5703125" customWidth="1" style="138" min="12040" max="12040"/>
    <col width="8.85546875" customWidth="1" style="138" min="12041" max="12285"/>
    <col width="4.85546875" customWidth="1" style="138" min="12286" max="12286"/>
    <col width="16.85546875" customWidth="1" style="138" min="12287" max="12287"/>
    <col width="8.85546875" customWidth="1" style="138" min="12288" max="12288"/>
    <col width="7.28515625" customWidth="1" style="138" min="12289" max="12289"/>
    <col width="35.85546875" customWidth="1" style="138" min="12290" max="12290"/>
    <col width="16.28515625" customWidth="1" style="138" min="12291" max="12294"/>
    <col width="29.42578125" customWidth="1" style="138" min="12295" max="12295"/>
    <col width="14.5703125" customWidth="1" style="138" min="12296" max="12296"/>
    <col width="8.85546875" customWidth="1" style="138" min="12297" max="12541"/>
    <col width="4.85546875" customWidth="1" style="138" min="12542" max="12542"/>
    <col width="16.85546875" customWidth="1" style="138" min="12543" max="12543"/>
    <col width="8.85546875" customWidth="1" style="138" min="12544" max="12544"/>
    <col width="7.28515625" customWidth="1" style="138" min="12545" max="12545"/>
    <col width="35.85546875" customWidth="1" style="138" min="12546" max="12546"/>
    <col width="16.28515625" customWidth="1" style="138" min="12547" max="12550"/>
    <col width="29.42578125" customWidth="1" style="138" min="12551" max="12551"/>
    <col width="14.5703125" customWidth="1" style="138" min="12552" max="12552"/>
    <col width="8.85546875" customWidth="1" style="138" min="12553" max="12797"/>
    <col width="4.85546875" customWidth="1" style="138" min="12798" max="12798"/>
    <col width="16.85546875" customWidth="1" style="138" min="12799" max="12799"/>
    <col width="8.85546875" customWidth="1" style="138" min="12800" max="12800"/>
    <col width="7.28515625" customWidth="1" style="138" min="12801" max="12801"/>
    <col width="35.85546875" customWidth="1" style="138" min="12802" max="12802"/>
    <col width="16.28515625" customWidth="1" style="138" min="12803" max="12806"/>
    <col width="29.42578125" customWidth="1" style="138" min="12807" max="12807"/>
    <col width="14.5703125" customWidth="1" style="138" min="12808" max="12808"/>
    <col width="8.85546875" customWidth="1" style="138" min="12809" max="13053"/>
    <col width="4.85546875" customWidth="1" style="138" min="13054" max="13054"/>
    <col width="16.85546875" customWidth="1" style="138" min="13055" max="13055"/>
    <col width="8.85546875" customWidth="1" style="138" min="13056" max="13056"/>
    <col width="7.28515625" customWidth="1" style="138" min="13057" max="13057"/>
    <col width="35.85546875" customWidth="1" style="138" min="13058" max="13058"/>
    <col width="16.28515625" customWidth="1" style="138" min="13059" max="13062"/>
    <col width="29.42578125" customWidth="1" style="138" min="13063" max="13063"/>
    <col width="14.5703125" customWidth="1" style="138" min="13064" max="13064"/>
    <col width="8.85546875" customWidth="1" style="138" min="13065" max="13309"/>
    <col width="4.85546875" customWidth="1" style="138" min="13310" max="13310"/>
    <col width="16.85546875" customWidth="1" style="138" min="13311" max="13311"/>
    <col width="8.85546875" customWidth="1" style="138" min="13312" max="13312"/>
    <col width="7.28515625" customWidth="1" style="138" min="13313" max="13313"/>
    <col width="35.85546875" customWidth="1" style="138" min="13314" max="13314"/>
    <col width="16.28515625" customWidth="1" style="138" min="13315" max="13318"/>
    <col width="29.42578125" customWidth="1" style="138" min="13319" max="13319"/>
    <col width="14.5703125" customWidth="1" style="138" min="13320" max="13320"/>
    <col width="8.85546875" customWidth="1" style="138" min="13321" max="13565"/>
    <col width="4.85546875" customWidth="1" style="138" min="13566" max="13566"/>
    <col width="16.85546875" customWidth="1" style="138" min="13567" max="13567"/>
    <col width="8.85546875" customWidth="1" style="138" min="13568" max="13568"/>
    <col width="7.28515625" customWidth="1" style="138" min="13569" max="13569"/>
    <col width="35.85546875" customWidth="1" style="138" min="13570" max="13570"/>
    <col width="16.28515625" customWidth="1" style="138" min="13571" max="13574"/>
    <col width="29.42578125" customWidth="1" style="138" min="13575" max="13575"/>
    <col width="14.5703125" customWidth="1" style="138" min="13576" max="13576"/>
    <col width="8.85546875" customWidth="1" style="138" min="13577" max="13821"/>
    <col width="4.85546875" customWidth="1" style="138" min="13822" max="13822"/>
    <col width="16.85546875" customWidth="1" style="138" min="13823" max="13823"/>
    <col width="8.85546875" customWidth="1" style="138" min="13824" max="13824"/>
    <col width="7.28515625" customWidth="1" style="138" min="13825" max="13825"/>
    <col width="35.85546875" customWidth="1" style="138" min="13826" max="13826"/>
    <col width="16.28515625" customWidth="1" style="138" min="13827" max="13830"/>
    <col width="29.42578125" customWidth="1" style="138" min="13831" max="13831"/>
    <col width="14.5703125" customWidth="1" style="138" min="13832" max="13832"/>
    <col width="8.85546875" customWidth="1" style="138" min="13833" max="14077"/>
    <col width="4.85546875" customWidth="1" style="138" min="14078" max="14078"/>
    <col width="16.85546875" customWidth="1" style="138" min="14079" max="14079"/>
    <col width="8.85546875" customWidth="1" style="138" min="14080" max="14080"/>
    <col width="7.28515625" customWidth="1" style="138" min="14081" max="14081"/>
    <col width="35.85546875" customWidth="1" style="138" min="14082" max="14082"/>
    <col width="16.28515625" customWidth="1" style="138" min="14083" max="14086"/>
    <col width="29.42578125" customWidth="1" style="138" min="14087" max="14087"/>
    <col width="14.5703125" customWidth="1" style="138" min="14088" max="14088"/>
    <col width="8.85546875" customWidth="1" style="138" min="14089" max="14333"/>
    <col width="4.85546875" customWidth="1" style="138" min="14334" max="14334"/>
    <col width="16.85546875" customWidth="1" style="138" min="14335" max="14335"/>
    <col width="8.85546875" customWidth="1" style="138" min="14336" max="14336"/>
    <col width="7.28515625" customWidth="1" style="138" min="14337" max="14337"/>
    <col width="35.85546875" customWidth="1" style="138" min="14338" max="14338"/>
    <col width="16.28515625" customWidth="1" style="138" min="14339" max="14342"/>
    <col width="29.42578125" customWidth="1" style="138" min="14343" max="14343"/>
    <col width="14.5703125" customWidth="1" style="138" min="14344" max="14344"/>
    <col width="8.85546875" customWidth="1" style="138" min="14345" max="14589"/>
    <col width="4.85546875" customWidth="1" style="138" min="14590" max="14590"/>
    <col width="16.85546875" customWidth="1" style="138" min="14591" max="14591"/>
    <col width="8.85546875" customWidth="1" style="138" min="14592" max="14592"/>
    <col width="7.28515625" customWidth="1" style="138" min="14593" max="14593"/>
    <col width="35.85546875" customWidth="1" style="138" min="14594" max="14594"/>
    <col width="16.28515625" customWidth="1" style="138" min="14595" max="14598"/>
    <col width="29.42578125" customWidth="1" style="138" min="14599" max="14599"/>
    <col width="14.5703125" customWidth="1" style="138" min="14600" max="14600"/>
    <col width="8.85546875" customWidth="1" style="138" min="14601" max="14845"/>
    <col width="4.85546875" customWidth="1" style="138" min="14846" max="14846"/>
    <col width="16.85546875" customWidth="1" style="138" min="14847" max="14847"/>
    <col width="8.85546875" customWidth="1" style="138" min="14848" max="14848"/>
    <col width="7.28515625" customWidth="1" style="138" min="14849" max="14849"/>
    <col width="35.85546875" customWidth="1" style="138" min="14850" max="14850"/>
    <col width="16.28515625" customWidth="1" style="138" min="14851" max="14854"/>
    <col width="29.42578125" customWidth="1" style="138" min="14855" max="14855"/>
    <col width="14.5703125" customWidth="1" style="138" min="14856" max="14856"/>
    <col width="8.85546875" customWidth="1" style="138" min="14857" max="15101"/>
    <col width="4.85546875" customWidth="1" style="138" min="15102" max="15102"/>
    <col width="16.85546875" customWidth="1" style="138" min="15103" max="15103"/>
    <col width="8.85546875" customWidth="1" style="138" min="15104" max="15104"/>
    <col width="7.28515625" customWidth="1" style="138" min="15105" max="15105"/>
    <col width="35.85546875" customWidth="1" style="138" min="15106" max="15106"/>
    <col width="16.28515625" customWidth="1" style="138" min="15107" max="15110"/>
    <col width="29.42578125" customWidth="1" style="138" min="15111" max="15111"/>
    <col width="14.5703125" customWidth="1" style="138" min="15112" max="15112"/>
    <col width="8.85546875" customWidth="1" style="138" min="15113" max="15357"/>
    <col width="4.85546875" customWidth="1" style="138" min="15358" max="15358"/>
    <col width="16.85546875" customWidth="1" style="138" min="15359" max="15359"/>
    <col width="8.85546875" customWidth="1" style="138" min="15360" max="15360"/>
    <col width="7.28515625" customWidth="1" style="138" min="15361" max="15361"/>
    <col width="35.85546875" customWidth="1" style="138" min="15362" max="15362"/>
    <col width="16.28515625" customWidth="1" style="138" min="15363" max="15366"/>
    <col width="29.42578125" customWidth="1" style="138" min="15367" max="15367"/>
    <col width="14.5703125" customWidth="1" style="138" min="15368" max="15368"/>
    <col width="8.85546875" customWidth="1" style="138" min="15369" max="15613"/>
    <col width="4.85546875" customWidth="1" style="138" min="15614" max="15614"/>
    <col width="16.85546875" customWidth="1" style="138" min="15615" max="15615"/>
    <col width="8.85546875" customWidth="1" style="138" min="15616" max="15616"/>
    <col width="7.28515625" customWidth="1" style="138" min="15617" max="15617"/>
    <col width="35.85546875" customWidth="1" style="138" min="15618" max="15618"/>
    <col width="16.28515625" customWidth="1" style="138" min="15619" max="15622"/>
    <col width="29.42578125" customWidth="1" style="138" min="15623" max="15623"/>
    <col width="14.5703125" customWidth="1" style="138" min="15624" max="15624"/>
    <col width="8.85546875" customWidth="1" style="138" min="15625" max="15869"/>
    <col width="4.85546875" customWidth="1" style="138" min="15870" max="15870"/>
    <col width="16.85546875" customWidth="1" style="138" min="15871" max="15871"/>
    <col width="8.85546875" customWidth="1" style="138" min="15872" max="15872"/>
    <col width="7.28515625" customWidth="1" style="138" min="15873" max="15873"/>
    <col width="35.85546875" customWidth="1" style="138" min="15874" max="15874"/>
    <col width="16.28515625" customWidth="1" style="138" min="15875" max="15878"/>
    <col width="29.42578125" customWidth="1" style="138" min="15879" max="15879"/>
    <col width="14.5703125" customWidth="1" style="138" min="15880" max="15880"/>
    <col width="8.85546875" customWidth="1" style="138" min="15881" max="16125"/>
    <col width="4.85546875" customWidth="1" style="138" min="16126" max="16126"/>
    <col width="16.85546875" customWidth="1" style="138" min="16127" max="16127"/>
    <col width="8.85546875" customWidth="1" style="138" min="16128" max="16128"/>
    <col width="7.28515625" customWidth="1" style="138" min="16129" max="16129"/>
    <col width="35.85546875" customWidth="1" style="138" min="16130" max="16130"/>
    <col width="16.28515625" customWidth="1" style="138" min="16131" max="16134"/>
    <col width="29.42578125" customWidth="1" style="138" min="16135" max="16135"/>
    <col width="14.5703125" customWidth="1" style="138" min="16136" max="16136"/>
    <col width="8.85546875" customWidth="1" style="138" min="16137" max="16381"/>
    <col width="4.85546875" customWidth="1" style="138" min="16382" max="16382"/>
    <col width="16.85546875" customWidth="1" style="138" min="16383" max="16383"/>
    <col width="8.85546875" customWidth="1" style="138" min="16384" max="16384"/>
  </cols>
  <sheetData>
    <row r="1" ht="18" customHeight="1" s="794">
      <c r="A1" s="998" t="inlineStr">
        <is>
          <t>Форма № 20 (20д)</t>
        </is>
      </c>
    </row>
    <row r="2" ht="10.5" customHeight="1" s="794">
      <c r="A2" s="139" t="n"/>
      <c r="B2" s="999" t="n"/>
      <c r="C2" s="999" t="n"/>
      <c r="D2" s="999" t="n"/>
      <c r="E2" s="999" t="n"/>
      <c r="F2" s="999" t="n"/>
      <c r="G2" s="999" t="n"/>
    </row>
    <row r="3" ht="19.5" customHeight="1" s="794">
      <c r="A3" s="1000" t="inlineStr">
        <is>
          <t>Расчет и обоснование прибыли</t>
        </is>
      </c>
    </row>
    <row r="4" ht="32.25" customHeight="1" s="794">
      <c r="A4" s="1001" t="inlineStr">
        <is>
          <t>на 2026 г. по ТЕМА</t>
        </is>
      </c>
      <c r="B4" s="1409" t="n"/>
      <c r="C4" s="1409" t="n"/>
      <c r="D4" s="1409" t="n"/>
      <c r="E4" s="1409" t="n"/>
      <c r="F4" s="1409" t="n"/>
      <c r="G4" s="1409" t="n"/>
    </row>
    <row r="5" ht="13.15" customHeight="1" s="794">
      <c r="A5" s="1003" t="inlineStr">
        <is>
          <t xml:space="preserve"> (наименование, шифр товара, работы, услуги) </t>
        </is>
      </c>
    </row>
    <row r="6" ht="14.25" customHeight="1" s="794">
      <c r="A6" s="1005" t="n"/>
      <c r="C6" s="1004" t="n"/>
      <c r="D6" s="1004" t="n"/>
      <c r="E6" s="1004" t="n"/>
      <c r="F6" s="1004" t="n"/>
      <c r="G6" s="1004" t="n"/>
    </row>
    <row r="7">
      <c r="A7" s="142" t="n"/>
      <c r="B7" s="143" t="n"/>
      <c r="C7" s="143" t="n"/>
      <c r="D7" s="143" t="n"/>
      <c r="E7" s="143" t="n"/>
      <c r="F7" s="143" t="n"/>
      <c r="G7" s="144" t="inlineStr">
        <is>
          <t>Таблица 1</t>
        </is>
      </c>
    </row>
    <row r="8" ht="19.5" customHeight="1" s="794">
      <c r="A8" s="1450" t="inlineStr">
        <is>
          <t>№№
строки</t>
        </is>
      </c>
      <c r="B8" s="1011" t="inlineStr">
        <is>
          <t>Наименование статей затрат</t>
        </is>
      </c>
      <c r="C8" s="1011" t="inlineStr">
        <is>
          <t>Затраты (руб.)</t>
        </is>
      </c>
      <c r="D8" s="1410" t="n"/>
      <c r="E8" s="1011" t="inlineStr">
        <is>
          <t>Рентабельность (%)</t>
        </is>
      </c>
      <c r="F8" s="1410" t="n"/>
      <c r="G8" s="1011" t="inlineStr">
        <is>
          <t>Величина прибыли (руб.)</t>
        </is>
      </c>
      <c r="H8" s="145" t="n"/>
    </row>
    <row r="9" ht="15" customHeight="1" s="794">
      <c r="A9" s="1413" t="n"/>
      <c r="B9" s="1413" t="n"/>
      <c r="C9" s="146" t="inlineStr">
        <is>
          <t>Собственные</t>
        </is>
      </c>
      <c r="D9" s="146" t="inlineStr">
        <is>
          <t>Привнесенные</t>
        </is>
      </c>
      <c r="E9" s="146" t="inlineStr">
        <is>
          <t>Собственные</t>
        </is>
      </c>
      <c r="F9" s="146" t="inlineStr">
        <is>
          <t>Привнесенные</t>
        </is>
      </c>
      <c r="G9" s="1413" t="n"/>
      <c r="H9" s="145" t="n"/>
    </row>
    <row r="10" ht="19.5" customHeight="1" s="794">
      <c r="A10" s="1009" t="n">
        <v>1</v>
      </c>
      <c r="B10" s="996" t="n">
        <v>2</v>
      </c>
      <c r="C10" s="1011" t="n">
        <v>3</v>
      </c>
      <c r="D10" s="150" t="n">
        <v>4</v>
      </c>
      <c r="E10" s="151" t="n">
        <v>5</v>
      </c>
      <c r="F10" s="146" t="n">
        <v>6</v>
      </c>
      <c r="G10" s="1011" t="n">
        <v>7</v>
      </c>
      <c r="H10" s="145" t="n"/>
    </row>
    <row r="11" ht="30" customHeight="1" s="794">
      <c r="A11" s="152" t="inlineStr">
        <is>
          <t>0100</t>
        </is>
      </c>
      <c r="B11" s="60" t="inlineStr">
        <is>
          <t>Материальные затраты - всего:</t>
        </is>
      </c>
      <c r="C11" s="325" t="inlineStr">
        <is>
          <t>Х</t>
        </is>
      </c>
      <c r="D11" s="325" t="inlineStr">
        <is>
          <t>-</t>
        </is>
      </c>
      <c r="E11" s="325" t="inlineStr">
        <is>
          <t>Х</t>
        </is>
      </c>
      <c r="F11" s="325" t="inlineStr">
        <is>
          <t>-</t>
        </is>
      </c>
      <c r="G11" s="326" t="inlineStr">
        <is>
          <t>-</t>
        </is>
      </c>
      <c r="H11" s="145" t="n"/>
    </row>
    <row r="12" ht="15" customHeight="1" s="794">
      <c r="A12" s="153" t="n"/>
      <c r="B12" s="60" t="inlineStr">
        <is>
          <t>в том числе:</t>
        </is>
      </c>
      <c r="C12" s="325" t="n"/>
      <c r="D12" s="325" t="n"/>
      <c r="E12" s="325" t="n"/>
      <c r="F12" s="325" t="n"/>
      <c r="G12" s="326" t="n"/>
      <c r="H12" s="145" t="n"/>
    </row>
    <row r="13" ht="34.15" customHeight="1" s="794">
      <c r="A13" s="152" t="inlineStr">
        <is>
          <t>0101</t>
        </is>
      </c>
      <c r="B13" s="60" t="inlineStr">
        <is>
          <t>приобретение сырья, материалов и вспомогательных материалов</t>
        </is>
      </c>
      <c r="C13" s="325" t="inlineStr">
        <is>
          <t>Х</t>
        </is>
      </c>
      <c r="D13" s="325" t="inlineStr">
        <is>
          <t>-</t>
        </is>
      </c>
      <c r="E13" s="325" t="inlineStr">
        <is>
          <t>Х</t>
        </is>
      </c>
      <c r="F13" s="325" t="inlineStr">
        <is>
          <t>-</t>
        </is>
      </c>
      <c r="G13" s="326" t="inlineStr">
        <is>
          <t>-</t>
        </is>
      </c>
      <c r="H13" s="145" t="n"/>
    </row>
    <row r="14" ht="15.75" customHeight="1" s="794">
      <c r="A14" s="152" t="inlineStr">
        <is>
          <t>0102</t>
        </is>
      </c>
      <c r="B14" s="60" t="inlineStr">
        <is>
          <t>приобретение полуфабрикатов</t>
        </is>
      </c>
      <c r="C14" s="325" t="inlineStr">
        <is>
          <t>Х</t>
        </is>
      </c>
      <c r="D14" s="325" t="inlineStr">
        <is>
          <t>-</t>
        </is>
      </c>
      <c r="E14" s="325" t="inlineStr">
        <is>
          <t>Х</t>
        </is>
      </c>
      <c r="F14" s="325" t="inlineStr">
        <is>
          <t>-</t>
        </is>
      </c>
      <c r="G14" s="326" t="inlineStr">
        <is>
          <t>-</t>
        </is>
      </c>
      <c r="H14" s="145" t="n"/>
    </row>
    <row r="15" ht="21" customHeight="1" s="794">
      <c r="A15" s="152" t="inlineStr">
        <is>
          <t>0103</t>
        </is>
      </c>
      <c r="B15" s="60" t="inlineStr">
        <is>
          <t>возвратные отходы</t>
        </is>
      </c>
      <c r="C15" s="325" t="inlineStr">
        <is>
          <t>-</t>
        </is>
      </c>
      <c r="D15" s="325" t="inlineStr">
        <is>
          <t>-</t>
        </is>
      </c>
      <c r="E15" s="325" t="inlineStr">
        <is>
          <t>-</t>
        </is>
      </c>
      <c r="F15" s="325" t="inlineStr">
        <is>
          <t>-</t>
        </is>
      </c>
      <c r="G15" s="326" t="inlineStr">
        <is>
          <t>-</t>
        </is>
      </c>
      <c r="H15" s="145" t="n"/>
    </row>
    <row r="16" ht="22.15" customHeight="1" s="794">
      <c r="A16" s="152" t="inlineStr">
        <is>
          <t>0104</t>
        </is>
      </c>
      <c r="B16" s="60" t="inlineStr">
        <is>
          <t>приобретение комплектующих изделий</t>
        </is>
      </c>
      <c r="C16" s="325" t="inlineStr">
        <is>
          <t>Х</t>
        </is>
      </c>
      <c r="D16" s="325" t="inlineStr">
        <is>
          <t>-</t>
        </is>
      </c>
      <c r="E16" s="325" t="inlineStr">
        <is>
          <t>Х</t>
        </is>
      </c>
      <c r="F16" s="325" t="inlineStr">
        <is>
          <t>-</t>
        </is>
      </c>
      <c r="G16" s="326" t="inlineStr">
        <is>
          <t>-</t>
        </is>
      </c>
      <c r="H16" s="145" t="n"/>
    </row>
    <row r="17" ht="44.25" customHeight="1" s="794">
      <c r="A17" s="152" t="inlineStr">
        <is>
          <t>0105</t>
        </is>
      </c>
      <c r="B17" s="60" t="inlineStr">
        <is>
          <t>оплата работ и услуг сторонних организаций производственного характера</t>
        </is>
      </c>
      <c r="C17" s="325" t="inlineStr">
        <is>
          <t>Х</t>
        </is>
      </c>
      <c r="D17" s="325" t="inlineStr">
        <is>
          <t>-</t>
        </is>
      </c>
      <c r="E17" s="325" t="inlineStr">
        <is>
          <t>Х</t>
        </is>
      </c>
      <c r="F17" s="325" t="inlineStr">
        <is>
          <t>-</t>
        </is>
      </c>
      <c r="G17" s="326" t="inlineStr">
        <is>
          <t>-</t>
        </is>
      </c>
      <c r="H17" s="145" t="n"/>
    </row>
    <row r="18" ht="14.25" customHeight="1" s="794">
      <c r="A18" s="152" t="inlineStr">
        <is>
          <t>0106</t>
        </is>
      </c>
      <c r="B18" s="60" t="inlineStr">
        <is>
          <t>транспортно-заготовительные затраты</t>
        </is>
      </c>
      <c r="C18" s="325" t="inlineStr">
        <is>
          <t>-</t>
        </is>
      </c>
      <c r="D18" s="325" t="inlineStr">
        <is>
          <t>-</t>
        </is>
      </c>
      <c r="E18" s="325" t="inlineStr">
        <is>
          <t>-</t>
        </is>
      </c>
      <c r="F18" s="325" t="inlineStr">
        <is>
          <t>-</t>
        </is>
      </c>
      <c r="G18" s="326" t="inlineStr">
        <is>
          <t>-</t>
        </is>
      </c>
      <c r="H18" s="188" t="n"/>
    </row>
    <row r="19" ht="15.75" customHeight="1" s="794">
      <c r="A19" s="152" t="inlineStr">
        <is>
          <t>0107</t>
        </is>
      </c>
      <c r="B19" s="60" t="inlineStr">
        <is>
          <t>топливо на технологические цели</t>
        </is>
      </c>
      <c r="C19" s="325" t="inlineStr">
        <is>
          <t>-</t>
        </is>
      </c>
      <c r="D19" s="325" t="inlineStr">
        <is>
          <t>-</t>
        </is>
      </c>
      <c r="E19" s="325" t="inlineStr">
        <is>
          <t>-</t>
        </is>
      </c>
      <c r="F19" s="325" t="inlineStr">
        <is>
          <t>-</t>
        </is>
      </c>
      <c r="G19" s="326" t="inlineStr">
        <is>
          <t>-</t>
        </is>
      </c>
      <c r="H19" s="145" t="n"/>
    </row>
    <row r="20" ht="14.45" customHeight="1" s="794">
      <c r="A20" s="152" t="inlineStr">
        <is>
          <t>0108</t>
        </is>
      </c>
      <c r="B20" s="60" t="inlineStr">
        <is>
          <t>энергия на технологические цели</t>
        </is>
      </c>
      <c r="C20" s="325" t="inlineStr">
        <is>
          <t>-</t>
        </is>
      </c>
      <c r="D20" s="325" t="inlineStr">
        <is>
          <t>-</t>
        </is>
      </c>
      <c r="E20" s="325" t="inlineStr">
        <is>
          <t>-</t>
        </is>
      </c>
      <c r="F20" s="325" t="inlineStr">
        <is>
          <t>-</t>
        </is>
      </c>
      <c r="G20" s="326" t="inlineStr">
        <is>
          <t>-</t>
        </is>
      </c>
      <c r="H20" s="145" t="n"/>
    </row>
    <row r="21" ht="19.5" customHeight="1" s="794">
      <c r="A21" s="152" t="inlineStr">
        <is>
          <t>0109</t>
        </is>
      </c>
      <c r="B21" s="60" t="inlineStr">
        <is>
          <t>тара и упаковка</t>
        </is>
      </c>
      <c r="C21" s="325" t="inlineStr">
        <is>
          <t>-</t>
        </is>
      </c>
      <c r="D21" s="325" t="inlineStr">
        <is>
          <t>-</t>
        </is>
      </c>
      <c r="E21" s="325" t="inlineStr">
        <is>
          <t>-</t>
        </is>
      </c>
      <c r="F21" s="327" t="inlineStr">
        <is>
          <t>-</t>
        </is>
      </c>
      <c r="G21" s="326" t="inlineStr">
        <is>
          <t>-</t>
        </is>
      </c>
      <c r="H21" s="145" t="n"/>
    </row>
    <row r="22" ht="30" customHeight="1" s="794">
      <c r="A22" s="152" t="inlineStr">
        <is>
          <t>0110</t>
        </is>
      </c>
      <c r="B22" s="60" t="inlineStr">
        <is>
          <t>затраты на изделия собственного производства</t>
        </is>
      </c>
      <c r="C22" s="325" t="inlineStr">
        <is>
          <t>-</t>
        </is>
      </c>
      <c r="D22" s="325" t="inlineStr">
        <is>
          <t>-</t>
        </is>
      </c>
      <c r="E22" s="325" t="inlineStr">
        <is>
          <t>-</t>
        </is>
      </c>
      <c r="F22" s="325" t="inlineStr">
        <is>
          <t>-</t>
        </is>
      </c>
      <c r="G22" s="326" t="inlineStr">
        <is>
          <t>-</t>
        </is>
      </c>
      <c r="H22" s="145" t="n"/>
    </row>
    <row r="23" ht="19.5" customHeight="1" s="794">
      <c r="A23" s="152" t="inlineStr">
        <is>
          <t>0200</t>
        </is>
      </c>
      <c r="B23" s="60" t="inlineStr">
        <is>
          <t>Затраты на оплату труда - всего:</t>
        </is>
      </c>
      <c r="C23" s="328">
        <f>C25+C26</f>
        <v/>
      </c>
      <c r="D23" s="325" t="inlineStr">
        <is>
          <t>Х</t>
        </is>
      </c>
      <c r="E23" s="329" t="n">
        <v>0</v>
      </c>
      <c r="F23" s="325" t="inlineStr">
        <is>
          <t>Х</t>
        </is>
      </c>
      <c r="G23" s="330">
        <f>G25+G26</f>
        <v/>
      </c>
      <c r="H23" s="145" t="n"/>
    </row>
    <row r="24" ht="13.5" customHeight="1" s="794">
      <c r="A24" s="153" t="n"/>
      <c r="B24" s="60" t="inlineStr">
        <is>
          <t>в том числе:</t>
        </is>
      </c>
      <c r="C24" s="325" t="n"/>
      <c r="D24" s="325" t="n"/>
      <c r="E24" s="325" t="n"/>
      <c r="F24" s="325" t="n"/>
      <c r="G24" s="326" t="n"/>
      <c r="H24" s="145" t="n"/>
    </row>
    <row r="25" ht="17.25" customHeight="1" s="794">
      <c r="A25" s="152" t="inlineStr">
        <is>
          <t>0201</t>
        </is>
      </c>
      <c r="B25" s="60" t="inlineStr">
        <is>
          <t>основная заработная плата</t>
        </is>
      </c>
      <c r="C25" s="1451">
        <f>'2д план кальк (2)'!E34</f>
        <v/>
      </c>
      <c r="D25" s="325" t="inlineStr">
        <is>
          <t>Х</t>
        </is>
      </c>
      <c r="E25" s="329">
        <f>E23</f>
        <v/>
      </c>
      <c r="F25" s="325" t="inlineStr">
        <is>
          <t>Х</t>
        </is>
      </c>
      <c r="G25" s="1452">
        <f>ROUND(C25*E25/100,2)</f>
        <v/>
      </c>
      <c r="H25" s="145" t="n"/>
    </row>
    <row r="26" ht="16.5" customHeight="1" s="794">
      <c r="A26" s="152" t="inlineStr">
        <is>
          <t>0202</t>
        </is>
      </c>
      <c r="B26" s="60" t="inlineStr">
        <is>
          <t>дополнительная заработная плата</t>
        </is>
      </c>
      <c r="C26" s="1451">
        <f>'2д план кальк (2)'!E35</f>
        <v/>
      </c>
      <c r="D26" s="325" t="inlineStr">
        <is>
          <t>Х</t>
        </is>
      </c>
      <c r="E26" s="329">
        <f>E23</f>
        <v/>
      </c>
      <c r="F26" s="325" t="inlineStr">
        <is>
          <t>Х</t>
        </is>
      </c>
      <c r="G26" s="1452">
        <f>ROUND(C26*E26/100,2)</f>
        <v/>
      </c>
      <c r="H26" s="145" t="n"/>
    </row>
    <row r="27" ht="34.5" customHeight="1" s="794">
      <c r="A27" s="152" t="inlineStr">
        <is>
          <t>0300</t>
        </is>
      </c>
      <c r="B27" s="60" t="inlineStr">
        <is>
          <t>Страховые взносы на обязательное социальное страхование</t>
        </is>
      </c>
      <c r="C27" s="1451">
        <f>'2д план кальк (2)'!E36</f>
        <v/>
      </c>
      <c r="D27" s="325" t="inlineStr">
        <is>
          <t>Х</t>
        </is>
      </c>
      <c r="E27" s="329">
        <f>E23</f>
        <v/>
      </c>
      <c r="F27" s="325" t="inlineStr">
        <is>
          <t>Х</t>
        </is>
      </c>
      <c r="G27" s="1452">
        <f>ROUND(C27*E27/100,2)</f>
        <v/>
      </c>
      <c r="H27" s="145" t="n"/>
    </row>
    <row r="28" ht="30" customHeight="1" s="794">
      <c r="A28" s="152" t="inlineStr">
        <is>
          <t>0400</t>
        </is>
      </c>
      <c r="B28" s="60" t="inlineStr">
        <is>
          <t>Затраты на подготовку и освоение производства - всего:</t>
        </is>
      </c>
      <c r="C28" s="1451" t="inlineStr">
        <is>
          <t>-</t>
        </is>
      </c>
      <c r="D28" s="325" t="inlineStr">
        <is>
          <t>-</t>
        </is>
      </c>
      <c r="E28" s="329" t="inlineStr">
        <is>
          <t>-</t>
        </is>
      </c>
      <c r="F28" s="325" t="inlineStr">
        <is>
          <t>-</t>
        </is>
      </c>
      <c r="G28" s="1452" t="inlineStr">
        <is>
          <t>-</t>
        </is>
      </c>
      <c r="H28" s="145" t="n"/>
    </row>
    <row r="29" ht="18.75" customHeight="1" s="794">
      <c r="A29" s="153" t="n"/>
      <c r="B29" s="60" t="inlineStr">
        <is>
          <t>в том числе:</t>
        </is>
      </c>
      <c r="C29" s="1451" t="n"/>
      <c r="D29" s="325" t="n"/>
      <c r="E29" s="329" t="n"/>
      <c r="F29" s="325" t="n"/>
      <c r="G29" s="1452" t="n"/>
      <c r="H29" s="145" t="n"/>
    </row>
    <row r="30" ht="15.75" customHeight="1" s="794">
      <c r="A30" s="152" t="inlineStr">
        <is>
          <t>0401</t>
        </is>
      </c>
      <c r="B30" s="60" t="inlineStr">
        <is>
          <t>пусковые затраты</t>
        </is>
      </c>
      <c r="C30" s="1451" t="inlineStr">
        <is>
          <t>-</t>
        </is>
      </c>
      <c r="D30" s="325" t="inlineStr">
        <is>
          <t>-</t>
        </is>
      </c>
      <c r="E30" s="329" t="inlineStr">
        <is>
          <t>-</t>
        </is>
      </c>
      <c r="F30" s="325" t="inlineStr">
        <is>
          <t>-</t>
        </is>
      </c>
      <c r="G30" s="1452" t="inlineStr">
        <is>
          <t>-</t>
        </is>
      </c>
      <c r="H30" s="145" t="n"/>
    </row>
    <row r="31" ht="30" customHeight="1" s="794">
      <c r="A31" s="152" t="inlineStr">
        <is>
          <t>0402</t>
        </is>
      </c>
      <c r="B31" s="60" t="inlineStr">
        <is>
          <t>затраты на подготовку и освоение новых видов продукции</t>
        </is>
      </c>
      <c r="C31" s="1451" t="inlineStr">
        <is>
          <t>-</t>
        </is>
      </c>
      <c r="D31" s="325" t="inlineStr">
        <is>
          <t>-</t>
        </is>
      </c>
      <c r="E31" s="329" t="inlineStr">
        <is>
          <t>-</t>
        </is>
      </c>
      <c r="F31" s="325" t="inlineStr">
        <is>
          <t>-</t>
        </is>
      </c>
      <c r="G31" s="1452" t="inlineStr">
        <is>
          <t>-</t>
        </is>
      </c>
      <c r="H31" s="145" t="n"/>
    </row>
    <row r="32" ht="30" customHeight="1" s="794">
      <c r="A32" s="152" t="inlineStr">
        <is>
          <t>0500</t>
        </is>
      </c>
      <c r="B32" s="60" t="inlineStr">
        <is>
          <t>Затраты на специальную технологическую оснастку</t>
        </is>
      </c>
      <c r="C32" s="1453" t="inlineStr">
        <is>
          <t>-</t>
        </is>
      </c>
      <c r="D32" s="325" t="inlineStr">
        <is>
          <t>-</t>
        </is>
      </c>
      <c r="E32" s="329" t="inlineStr">
        <is>
          <t>-</t>
        </is>
      </c>
      <c r="F32" s="325" t="inlineStr">
        <is>
          <t>-</t>
        </is>
      </c>
      <c r="G32" s="1452" t="inlineStr">
        <is>
          <t>-</t>
        </is>
      </c>
      <c r="H32" s="145" t="n"/>
    </row>
    <row r="33" ht="35.25" customHeight="1" s="794">
      <c r="A33" s="152" t="inlineStr">
        <is>
          <t>0600</t>
        </is>
      </c>
      <c r="B33" s="60" t="inlineStr">
        <is>
          <t>Затраты на специальное оборудование для научных (экспериментальных) работ</t>
        </is>
      </c>
      <c r="C33" s="1451" t="inlineStr">
        <is>
          <t>-</t>
        </is>
      </c>
      <c r="D33" s="325" t="inlineStr">
        <is>
          <t>-</t>
        </is>
      </c>
      <c r="E33" s="329" t="inlineStr">
        <is>
          <t>-</t>
        </is>
      </c>
      <c r="F33" s="325" t="inlineStr">
        <is>
          <t>-</t>
        </is>
      </c>
      <c r="G33" s="1452" t="inlineStr">
        <is>
          <t>-</t>
        </is>
      </c>
      <c r="H33" s="145" t="n"/>
    </row>
    <row r="34" ht="18" customHeight="1" s="794">
      <c r="A34" s="152" t="inlineStr">
        <is>
          <t>0700</t>
        </is>
      </c>
      <c r="B34" s="60" t="inlineStr">
        <is>
          <t>Специальные затраты</t>
        </is>
      </c>
      <c r="C34" s="1451" t="inlineStr">
        <is>
          <t>-</t>
        </is>
      </c>
      <c r="D34" s="325" t="inlineStr">
        <is>
          <t>-</t>
        </is>
      </c>
      <c r="E34" s="329" t="inlineStr">
        <is>
          <t>-</t>
        </is>
      </c>
      <c r="F34" s="327" t="inlineStr">
        <is>
          <t>-</t>
        </is>
      </c>
      <c r="G34" s="1452" t="inlineStr">
        <is>
          <t>-</t>
        </is>
      </c>
      <c r="H34" s="145" t="n"/>
    </row>
    <row r="35" ht="19.9" customHeight="1" s="794">
      <c r="A35" s="152" t="inlineStr">
        <is>
          <t>0800</t>
        </is>
      </c>
      <c r="B35" s="60" t="inlineStr">
        <is>
          <t>Общепроизводственные затраты</t>
        </is>
      </c>
      <c r="C35" s="1451" t="inlineStr">
        <is>
          <t>-</t>
        </is>
      </c>
      <c r="D35" s="325" t="inlineStr">
        <is>
          <t>Х</t>
        </is>
      </c>
      <c r="E35" s="329" t="inlineStr">
        <is>
          <t>-</t>
        </is>
      </c>
      <c r="F35" s="325" t="inlineStr">
        <is>
          <t>Х</t>
        </is>
      </c>
      <c r="G35" s="1452" t="inlineStr">
        <is>
          <t>-</t>
        </is>
      </c>
      <c r="H35" s="145" t="n"/>
    </row>
    <row r="36" ht="20.45" customHeight="1" s="794">
      <c r="A36" s="152" t="inlineStr">
        <is>
          <t>0900</t>
        </is>
      </c>
      <c r="B36" s="60" t="inlineStr">
        <is>
          <t>Общехозяйственные затраты</t>
        </is>
      </c>
      <c r="C36" s="1451">
        <f>'2д план кальк (2)'!E45</f>
        <v/>
      </c>
      <c r="D36" s="325" t="inlineStr">
        <is>
          <t>Х</t>
        </is>
      </c>
      <c r="E36" s="329">
        <f>E23</f>
        <v/>
      </c>
      <c r="F36" s="325" t="inlineStr">
        <is>
          <t>Х</t>
        </is>
      </c>
      <c r="G36" s="1452">
        <f>ROUND(C36*E36/100,2)</f>
        <v/>
      </c>
      <c r="H36" s="145" t="n"/>
    </row>
    <row r="37" ht="16.5" customHeight="1" s="794">
      <c r="A37" s="152" t="n">
        <v>1000</v>
      </c>
      <c r="B37" s="60" t="inlineStr">
        <is>
          <t>Затраты на командировки</t>
        </is>
      </c>
      <c r="C37" s="325" t="inlineStr">
        <is>
          <t>-</t>
        </is>
      </c>
      <c r="D37" s="325" t="inlineStr">
        <is>
          <t>Х</t>
        </is>
      </c>
      <c r="E37" s="325" t="inlineStr">
        <is>
          <t>-</t>
        </is>
      </c>
      <c r="F37" s="325" t="inlineStr">
        <is>
          <t>Х</t>
        </is>
      </c>
      <c r="G37" s="326" t="inlineStr">
        <is>
          <t>-</t>
        </is>
      </c>
      <c r="H37" s="145" t="n"/>
    </row>
    <row r="38" ht="15.75" customHeight="1" s="794">
      <c r="A38" s="152" t="n">
        <v>1100</v>
      </c>
      <c r="B38" s="60" t="inlineStr">
        <is>
          <t>Прочие прямые затраты</t>
        </is>
      </c>
      <c r="C38" s="325" t="inlineStr">
        <is>
          <t>-</t>
        </is>
      </c>
      <c r="D38" s="325" t="inlineStr">
        <is>
          <t>-</t>
        </is>
      </c>
      <c r="E38" s="325" t="inlineStr">
        <is>
          <t>-</t>
        </is>
      </c>
      <c r="F38" s="325" t="inlineStr">
        <is>
          <t>-</t>
        </is>
      </c>
      <c r="G38" s="326" t="inlineStr">
        <is>
          <t>-</t>
        </is>
      </c>
      <c r="H38" s="145" t="n"/>
    </row>
    <row r="39" ht="44.25" customHeight="1" s="794">
      <c r="A39" s="152" t="n">
        <v>1200</v>
      </c>
      <c r="B39" s="60" t="inlineStr">
        <is>
          <t>Затраты по работам (услугам), выполняемым (оказываемым) сторонними организациями</t>
        </is>
      </c>
      <c r="C39" s="325" t="inlineStr">
        <is>
          <t>Х</t>
        </is>
      </c>
      <c r="D39" s="325" t="inlineStr">
        <is>
          <t>-</t>
        </is>
      </c>
      <c r="E39" s="325" t="inlineStr">
        <is>
          <t>Х</t>
        </is>
      </c>
      <c r="F39" s="325" t="inlineStr">
        <is>
          <t>-</t>
        </is>
      </c>
      <c r="G39" s="326" t="inlineStr">
        <is>
          <t>-</t>
        </is>
      </c>
      <c r="H39" s="145" t="n"/>
    </row>
    <row r="40" ht="30.6" customHeight="1" s="794">
      <c r="A40" s="152" t="n">
        <v>1400</v>
      </c>
      <c r="B40" s="60" t="inlineStr">
        <is>
          <t>Коммерческие (внепроизводственные) затраты</t>
        </is>
      </c>
      <c r="C40" s="325" t="inlineStr">
        <is>
          <t>-</t>
        </is>
      </c>
      <c r="D40" s="325" t="inlineStr">
        <is>
          <t>-</t>
        </is>
      </c>
      <c r="E40" s="325" t="inlineStr">
        <is>
          <t>-</t>
        </is>
      </c>
      <c r="F40" s="325" t="inlineStr">
        <is>
          <t>-</t>
        </is>
      </c>
      <c r="G40" s="326" t="inlineStr">
        <is>
          <t>-</t>
        </is>
      </c>
      <c r="H40" s="145" t="n"/>
    </row>
    <row r="41" ht="15.75" customHeight="1" s="794">
      <c r="A41" s="152" t="n">
        <v>1500</v>
      </c>
      <c r="B41" s="60" t="inlineStr">
        <is>
          <t>Проценты по кредитам</t>
        </is>
      </c>
      <c r="C41" s="325" t="inlineStr">
        <is>
          <t>Х</t>
        </is>
      </c>
      <c r="D41" s="325" t="inlineStr">
        <is>
          <t>Х</t>
        </is>
      </c>
      <c r="E41" s="325" t="inlineStr">
        <is>
          <t>Х</t>
        </is>
      </c>
      <c r="F41" s="325" t="inlineStr">
        <is>
          <t>Х</t>
        </is>
      </c>
      <c r="G41" s="326" t="inlineStr">
        <is>
          <t>-</t>
        </is>
      </c>
      <c r="H41" s="145" t="n"/>
    </row>
    <row r="42" ht="30" customHeight="1" s="794">
      <c r="A42" s="152" t="n">
        <v>1600</v>
      </c>
      <c r="B42" s="60" t="inlineStr">
        <is>
          <t>Административно-управленческие расходы</t>
        </is>
      </c>
      <c r="C42" s="325" t="inlineStr">
        <is>
          <t>-</t>
        </is>
      </c>
      <c r="D42" s="325" t="inlineStr">
        <is>
          <t>Х</t>
        </is>
      </c>
      <c r="E42" s="325" t="inlineStr">
        <is>
          <t>-</t>
        </is>
      </c>
      <c r="F42" s="325" t="inlineStr">
        <is>
          <t>Х</t>
        </is>
      </c>
      <c r="G42" s="326" t="inlineStr">
        <is>
          <t>-</t>
        </is>
      </c>
      <c r="H42" s="145" t="n"/>
    </row>
    <row r="43" ht="15.75" customHeight="1" s="794">
      <c r="A43" s="1454" t="inlineStr">
        <is>
          <t>ИТОГО</t>
        </is>
      </c>
      <c r="B43" s="1410" t="n"/>
      <c r="C43" s="337">
        <f>C23+C27+C36</f>
        <v/>
      </c>
      <c r="D43" s="338" t="inlineStr">
        <is>
          <t>-</t>
        </is>
      </c>
      <c r="E43" s="339" t="inlineStr">
        <is>
          <t>Х</t>
        </is>
      </c>
      <c r="F43" s="339" t="inlineStr">
        <is>
          <t>Х</t>
        </is>
      </c>
      <c r="G43" s="337">
        <f>G23+G27+G36</f>
        <v/>
      </c>
      <c r="H43" s="145" t="n"/>
    </row>
    <row r="44" ht="15" customHeight="1" s="794">
      <c r="A44" s="154" t="n"/>
      <c r="B44" s="155" t="n"/>
      <c r="C44" s="387" t="n"/>
      <c r="D44" s="157" t="n"/>
      <c r="E44" s="157" t="n"/>
      <c r="F44" s="387" t="n"/>
      <c r="G44" s="387" t="n"/>
      <c r="H44" s="145" t="n"/>
    </row>
    <row r="45" ht="15" customHeight="1" s="794">
      <c r="A45" s="158" t="n"/>
      <c r="B45" s="1008" t="n"/>
      <c r="C45" s="1409" t="n"/>
      <c r="D45" s="1008" t="n"/>
      <c r="E45" s="1409" t="n"/>
      <c r="F45" s="1409" t="n"/>
      <c r="G45" s="159" t="inlineStr">
        <is>
          <t>Таблица 2</t>
        </is>
      </c>
      <c r="H45" s="160" t="n"/>
    </row>
    <row r="46" ht="31.5" customHeight="1" s="794">
      <c r="A46" s="334" t="inlineStr">
        <is>
          <t>№ п/п</t>
        </is>
      </c>
      <c r="B46" s="992" t="inlineStr">
        <is>
          <t>Мероприятия по распределению (направлению) прибыли</t>
        </is>
      </c>
      <c r="C46" s="1412" t="n"/>
      <c r="D46" s="1410" t="n"/>
      <c r="E46" s="992" t="inlineStr">
        <is>
          <t>Величина прибыли (руб.)</t>
        </is>
      </c>
      <c r="F46" s="1410" t="n"/>
      <c r="G46" s="992" t="inlineStr">
        <is>
          <t>Доля от общей массы прибыли (%)</t>
        </is>
      </c>
      <c r="H46" s="145" t="n"/>
    </row>
    <row r="47" ht="15.75" customHeight="1" s="794">
      <c r="A47" s="334" t="inlineStr">
        <is>
          <t>1</t>
        </is>
      </c>
      <c r="B47" s="992" t="n">
        <v>2</v>
      </c>
      <c r="C47" s="1412" t="n"/>
      <c r="D47" s="1410" t="n"/>
      <c r="E47" s="992" t="n">
        <v>3</v>
      </c>
      <c r="F47" s="1410" t="n"/>
      <c r="G47" s="992" t="n">
        <v>4</v>
      </c>
      <c r="H47" s="145" t="n"/>
    </row>
    <row r="48" ht="15.75" customHeight="1" s="794">
      <c r="A48" s="334" t="inlineStr">
        <is>
          <t>1.</t>
        </is>
      </c>
      <c r="B48" s="992" t="inlineStr">
        <is>
          <t>Налог на прибыль</t>
        </is>
      </c>
      <c r="C48" s="1412" t="n"/>
      <c r="D48" s="1410" t="n"/>
      <c r="E48" s="1455">
        <f>ROUND(G43*0.25,2)</f>
        <v/>
      </c>
      <c r="F48" s="1410" t="n"/>
      <c r="G48" s="808" t="n">
        <v>25</v>
      </c>
      <c r="H48" s="145" t="n"/>
    </row>
    <row r="49" ht="15.75" customHeight="1" s="794">
      <c r="A49" s="334" t="inlineStr">
        <is>
          <t>2.</t>
        </is>
      </c>
      <c r="B49" s="992" t="inlineStr">
        <is>
          <t>Развитие производства</t>
        </is>
      </c>
      <c r="C49" s="1412" t="n"/>
      <c r="D49" s="1410" t="n"/>
      <c r="E49" s="1455">
        <f>ROUND(G43*0.75,2)</f>
        <v/>
      </c>
      <c r="F49" s="1410" t="n"/>
      <c r="G49" s="808" t="n">
        <v>75</v>
      </c>
      <c r="H49" s="145" t="n"/>
    </row>
    <row r="50" ht="15.75" customHeight="1" s="794">
      <c r="A50" s="994" t="inlineStr">
        <is>
          <t>ИТОГО</t>
        </is>
      </c>
      <c r="B50" s="1412" t="n"/>
      <c r="C50" s="1412" t="n"/>
      <c r="D50" s="1410" t="n"/>
      <c r="E50" s="995">
        <f>E49+E48</f>
        <v/>
      </c>
      <c r="F50" s="1410" t="n"/>
      <c r="G50" s="336">
        <f>G48+G49</f>
        <v/>
      </c>
      <c r="H50" s="145" t="n"/>
    </row>
    <row r="51" ht="32.25" customHeight="1" s="794">
      <c r="A51" s="161" t="n"/>
      <c r="B51" s="162" t="n"/>
      <c r="C51" s="162" t="n"/>
      <c r="D51" s="162" t="n"/>
      <c r="E51" s="162" t="n"/>
      <c r="F51" s="162" t="n"/>
      <c r="G51" s="162" t="n"/>
      <c r="H51" s="162" t="n"/>
    </row>
    <row r="52" ht="26.25" customFormat="1" customHeight="1" s="201">
      <c r="A52" s="199" t="n"/>
      <c r="B52" s="991" t="inlineStr">
        <is>
          <t>Начальник ОФЭиАУ НИОКР</t>
        </is>
      </c>
      <c r="D52" s="200" t="n"/>
      <c r="E52" s="991" t="inlineStr">
        <is>
          <t>Руководитель договора</t>
        </is>
      </c>
      <c r="G52" s="94" t="n"/>
      <c r="H52" s="200" t="n"/>
    </row>
    <row r="53" ht="42.75" customFormat="1" customHeight="1" s="201">
      <c r="A53" s="199" t="n"/>
      <c r="B53" s="95" t="inlineStr">
        <is>
          <t>_____________________ Н.О. Васецкая</t>
        </is>
      </c>
      <c r="C53" s="200" t="n"/>
      <c r="D53" s="200" t="n"/>
      <c r="E53" s="837" t="inlineStr">
        <is>
          <t>_____________________ А.И. Боровков</t>
        </is>
      </c>
      <c r="F53" s="96" t="n"/>
      <c r="G53" s="197" t="n"/>
      <c r="H53" s="94" t="n"/>
      <c r="I53" s="94" t="n"/>
    </row>
    <row r="54" ht="18" customHeight="1" s="794">
      <c r="A54" s="161" t="n"/>
      <c r="B54" s="63" t="inlineStr">
        <is>
          <t xml:space="preserve">  (подпись)                                                (Ф.И.О.)</t>
        </is>
      </c>
      <c r="C54" s="162" t="n"/>
      <c r="D54" s="162" t="n"/>
      <c r="E54" s="63" t="inlineStr">
        <is>
          <t xml:space="preserve">  (подпись)                                                        (Ф.И.О.)</t>
        </is>
      </c>
      <c r="F54" s="49" t="n"/>
      <c r="G54" s="22" t="n"/>
      <c r="H54" s="24" t="n"/>
      <c r="I54" s="24" t="n"/>
    </row>
    <row r="55" ht="28.5" customFormat="1" customHeight="1" s="201">
      <c r="A55" s="199" t="n"/>
      <c r="B55" s="837" t="inlineStr">
        <is>
          <t>«____» __________________ 2026 г.</t>
        </is>
      </c>
      <c r="C55" s="200" t="n"/>
      <c r="D55" s="200" t="n"/>
      <c r="E55" s="837" t="inlineStr">
        <is>
          <t>«____» __________________ 2026 г.</t>
        </is>
      </c>
      <c r="F55" s="95" t="n"/>
      <c r="G55" s="194" t="n"/>
      <c r="H55" s="200" t="n"/>
    </row>
    <row r="56" hidden="1" ht="26.45" customHeight="1" s="794">
      <c r="A56" s="163" t="inlineStr">
        <is>
          <t>Примечания:</t>
        </is>
      </c>
      <c r="B56" s="163" t="n"/>
      <c r="C56" s="162" t="n"/>
      <c r="D56" s="162" t="n"/>
      <c r="E56" s="162" t="n"/>
      <c r="F56" s="162" t="n"/>
      <c r="G56" s="162" t="n"/>
      <c r="H56" s="162" t="n"/>
    </row>
    <row r="57" hidden="1" ht="47.45" customHeight="1" s="794">
      <c r="A57" s="164" t="inlineStr">
        <is>
          <t>1В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57" s="164" t="n"/>
      <c r="C57" s="164" t="n"/>
      <c r="D57" s="164" t="n"/>
      <c r="E57" s="164" t="n"/>
      <c r="F57" s="164" t="n"/>
      <c r="G57" s="164" t="n"/>
      <c r="H57" s="162" t="n"/>
    </row>
    <row r="58" hidden="1" ht="15.6" customHeight="1" s="794">
      <c r="A58" s="164" t="inlineStr">
        <is>
          <t>2Заполняется для НИР (ОКР) (по каждому этапу (подэтапу), в отношении которых формируется стоимостной показатель).</t>
        </is>
      </c>
      <c r="B58" s="164" t="n"/>
      <c r="C58" s="164" t="n"/>
      <c r="D58" s="164" t="n"/>
      <c r="E58" s="164" t="n"/>
      <c r="F58" s="164" t="n"/>
      <c r="G58" s="164" t="n"/>
      <c r="H58" s="162" t="n"/>
    </row>
    <row r="59" hidden="1" ht="19.15" customHeight="1" s="794">
      <c r="A59" s="164" t="inlineStr">
        <is>
          <t>3Таблица 1 заполняется в отношении затрат (включающие собственные и привнесенные) относящихся на себестоимость продукции.</t>
        </is>
      </c>
      <c r="B59" s="164" t="n"/>
      <c r="C59" s="164" t="n"/>
      <c r="D59" s="164" t="n"/>
      <c r="E59" s="164" t="n"/>
      <c r="F59" s="164" t="n"/>
      <c r="G59" s="164" t="n"/>
      <c r="H59" s="162" t="n"/>
    </row>
    <row r="60" hidden="1" ht="28.15" customHeight="1" s="794">
      <c r="A60" s="164" t="inlineStr">
        <is>
          <t>4Таблица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is>
      </c>
      <c r="B60" s="164" t="n"/>
      <c r="C60" s="164" t="n"/>
      <c r="D60" s="164" t="n"/>
      <c r="E60" s="164" t="n"/>
      <c r="F60" s="164" t="n"/>
      <c r="G60" s="164" t="n"/>
      <c r="H60" s="162" t="n"/>
    </row>
    <row r="61" hidden="1" ht="12.75" customHeight="1" s="794">
      <c r="A61" s="165" t="inlineStr">
        <is>
          <t>Используемые сокращения и их расшифровка:</t>
        </is>
      </c>
      <c r="B61" s="165" t="n"/>
      <c r="C61" s="165" t="n"/>
      <c r="D61" s="165" t="n"/>
      <c r="E61" s="165" t="n"/>
      <c r="F61" s="165" t="n"/>
      <c r="G61" s="165" t="n"/>
      <c r="H61" s="166" t="n"/>
    </row>
    <row r="62" hidden="1" ht="14.45" customHeight="1" s="794">
      <c r="A62" s="166" t="inlineStr">
        <is>
          <t>НИР (ОКР) – научно-исследовательская работа (опытно-конструкторская работа).</t>
        </is>
      </c>
      <c r="B62" s="166" t="n"/>
      <c r="C62" s="166" t="n"/>
      <c r="D62" s="166" t="n"/>
      <c r="E62" s="166" t="n"/>
      <c r="F62" s="166" t="n"/>
      <c r="G62" s="166" t="n"/>
      <c r="H62" s="167" t="n"/>
    </row>
    <row r="63">
      <c r="A63" s="166" t="n"/>
      <c r="B63" s="162" t="n"/>
      <c r="C63" s="162" t="n"/>
      <c r="D63" s="168" t="n"/>
      <c r="E63" s="168" t="n"/>
      <c r="H63" s="166" t="n"/>
    </row>
    <row r="64">
      <c r="A64" s="169" t="n"/>
      <c r="B64" s="999" t="n"/>
      <c r="C64" s="999" t="n"/>
      <c r="D64" s="999" t="n"/>
      <c r="E64" s="999" t="n"/>
      <c r="F64" s="999" t="n"/>
      <c r="G64" s="999" t="n"/>
    </row>
    <row r="65" ht="18.75" customHeight="1" s="794">
      <c r="A65" s="166" t="n"/>
      <c r="B65" s="999" t="n"/>
      <c r="C65" s="999" t="n"/>
      <c r="D65" s="999" t="n"/>
      <c r="E65" s="991" t="inlineStr">
        <is>
          <t>Ответственный исполнитель</t>
        </is>
      </c>
      <c r="H65" s="24" t="n"/>
      <c r="I65" s="24" t="n"/>
    </row>
    <row r="66" ht="40.5" customHeight="1" s="794">
      <c r="A66" s="167" t="n"/>
      <c r="B66" s="999" t="n"/>
      <c r="C66" s="999" t="n"/>
      <c r="D66" s="999" t="n"/>
      <c r="E66" s="837" t="inlineStr">
        <is>
          <t>_____________________ И.О. Фамилия</t>
        </is>
      </c>
      <c r="F66" s="96" t="n"/>
      <c r="G66" s="999" t="n"/>
      <c r="H66" s="30" t="n"/>
      <c r="I66" s="30" t="n"/>
    </row>
    <row r="67" ht="22.5" customHeight="1" s="794">
      <c r="A67" s="166" t="n"/>
      <c r="B67" s="999" t="n"/>
      <c r="C67" s="999" t="n"/>
      <c r="D67" s="999" t="n"/>
      <c r="E67" s="63" t="inlineStr">
        <is>
          <t xml:space="preserve">  (подпись)                                                        (Ф.И.О.)</t>
        </is>
      </c>
      <c r="F67" s="49" t="n"/>
      <c r="G67" s="999" t="n"/>
      <c r="H67" s="30" t="n"/>
      <c r="I67" s="30" t="n"/>
    </row>
    <row r="68" ht="18.75" customHeight="1" s="794">
      <c r="B68" s="999" t="n"/>
      <c r="C68" s="999" t="n"/>
      <c r="D68" s="999" t="n"/>
      <c r="E68" s="837" t="inlineStr">
        <is>
          <t>«____» __________________ 2026 г.</t>
        </is>
      </c>
      <c r="F68" s="95" t="n"/>
      <c r="G68" s="999" t="n"/>
      <c r="H68" s="24" t="n"/>
      <c r="I68" s="24" t="n"/>
    </row>
    <row r="69">
      <c r="B69" s="999" t="n"/>
      <c r="C69" s="999" t="n"/>
      <c r="D69" s="999" t="n"/>
      <c r="E69" s="999" t="n"/>
      <c r="F69" s="999" t="n"/>
      <c r="G69" s="999" t="n"/>
    </row>
    <row r="77">
      <c r="B77" s="999" t="n"/>
    </row>
  </sheetData>
  <mergeCells count="26">
    <mergeCell ref="E50:F50"/>
    <mergeCell ref="G8:G9"/>
    <mergeCell ref="A4:G4"/>
    <mergeCell ref="E65:G65"/>
    <mergeCell ref="B8:B9"/>
    <mergeCell ref="E52:F52"/>
    <mergeCell ref="E48:F48"/>
    <mergeCell ref="E8:F8"/>
    <mergeCell ref="A6:B6"/>
    <mergeCell ref="B52:C52"/>
    <mergeCell ref="B49:D49"/>
    <mergeCell ref="E47:F47"/>
    <mergeCell ref="A8:A9"/>
    <mergeCell ref="A1:G1"/>
    <mergeCell ref="E46:F46"/>
    <mergeCell ref="E49:F49"/>
    <mergeCell ref="B47:D47"/>
    <mergeCell ref="C8:D8"/>
    <mergeCell ref="A43:B43"/>
    <mergeCell ref="B46:D46"/>
    <mergeCell ref="A3:G3"/>
    <mergeCell ref="A50:D50"/>
    <mergeCell ref="B45:C45"/>
    <mergeCell ref="D45:F45"/>
    <mergeCell ref="B48:D48"/>
    <mergeCell ref="A5:G5"/>
  </mergeCells>
  <conditionalFormatting sqref="H65:I68">
    <cfRule type="duplicateValues" priority="1" dxfId="0"/>
  </conditionalFormatting>
  <printOptions horizontalCentered="1"/>
  <pageMargins left="0.7086614173228347" right="0.7086614173228347" top="0.7480314960629921" bottom="0.7480314960629921" header="0.3149606299212598" footer="0.3149606299212598"/>
  <pageSetup orientation="portrait" paperSize="9" scale="50" fitToHeight="2"/>
  <rowBreaks count="1" manualBreakCount="1">
    <brk id="69" min="0" max="6" man="1"/>
  </rowBreaks>
</worksheet>
</file>

<file path=xl/worksheets/sheet6.xml><?xml version="1.0" encoding="utf-8"?>
<worksheet xmlns="http://schemas.openxmlformats.org/spreadsheetml/2006/main">
  <sheetPr>
    <tabColor theme="9" tint="0.7999816888943144"/>
    <outlinePr summaryBelow="1" summaryRight="1"/>
    <pageSetUpPr/>
  </sheetPr>
  <dimension ref="A1:I77"/>
  <sheetViews>
    <sheetView view="pageBreakPreview" topLeftCell="A16" zoomScale="70" zoomScaleNormal="100" zoomScaleSheetLayoutView="70" workbookViewId="0">
      <selection activeCell="G37" sqref="G37"/>
    </sheetView>
  </sheetViews>
  <sheetFormatPr baseColWidth="8" defaultColWidth="8.85546875" defaultRowHeight="12.75"/>
  <cols>
    <col width="7.28515625" customWidth="1" style="170" min="1" max="1"/>
    <col width="35.85546875" customWidth="1" style="138" min="2" max="2"/>
    <col width="19.7109375" customWidth="1" style="138" min="3" max="3"/>
    <col width="19.5703125" customWidth="1" style="138" min="4" max="4"/>
    <col width="21.7109375" customWidth="1" style="138" min="5" max="5"/>
    <col width="16.28515625" customWidth="1" style="138" min="6" max="6"/>
    <col width="29.42578125" customWidth="1" style="138" min="7" max="7"/>
    <col width="14.5703125" customWidth="1" style="138" min="8" max="8"/>
    <col width="8.85546875" customWidth="1" style="138" min="9" max="253"/>
    <col width="4.85546875" customWidth="1" style="138" min="254" max="254"/>
    <col width="16.85546875" customWidth="1" style="138" min="255" max="255"/>
    <col width="8.85546875" customWidth="1" style="138" min="256" max="256"/>
    <col width="7.28515625" customWidth="1" style="138" min="257" max="257"/>
    <col width="35.85546875" customWidth="1" style="138" min="258" max="258"/>
    <col width="16.28515625" customWidth="1" style="138" min="259" max="262"/>
    <col width="29.42578125" customWidth="1" style="138" min="263" max="263"/>
    <col width="14.5703125" customWidth="1" style="138" min="264" max="264"/>
    <col width="8.85546875" customWidth="1" style="138" min="265" max="509"/>
    <col width="4.85546875" customWidth="1" style="138" min="510" max="510"/>
    <col width="16.85546875" customWidth="1" style="138" min="511" max="511"/>
    <col width="8.85546875" customWidth="1" style="138" min="512" max="512"/>
    <col width="7.28515625" customWidth="1" style="138" min="513" max="513"/>
    <col width="35.85546875" customWidth="1" style="138" min="514" max="514"/>
    <col width="16.28515625" customWidth="1" style="138" min="515" max="518"/>
    <col width="29.42578125" customWidth="1" style="138" min="519" max="519"/>
    <col width="14.5703125" customWidth="1" style="138" min="520" max="520"/>
    <col width="8.85546875" customWidth="1" style="138" min="521" max="765"/>
    <col width="4.85546875" customWidth="1" style="138" min="766" max="766"/>
    <col width="16.85546875" customWidth="1" style="138" min="767" max="767"/>
    <col width="8.85546875" customWidth="1" style="138" min="768" max="768"/>
    <col width="7.28515625" customWidth="1" style="138" min="769" max="769"/>
    <col width="35.85546875" customWidth="1" style="138" min="770" max="770"/>
    <col width="16.28515625" customWidth="1" style="138" min="771" max="774"/>
    <col width="29.42578125" customWidth="1" style="138" min="775" max="775"/>
    <col width="14.5703125" customWidth="1" style="138" min="776" max="776"/>
    <col width="8.85546875" customWidth="1" style="138" min="777" max="1021"/>
    <col width="4.85546875" customWidth="1" style="138" min="1022" max="1022"/>
    <col width="16.85546875" customWidth="1" style="138" min="1023" max="1023"/>
    <col width="8.85546875" customWidth="1" style="138" min="1024" max="1024"/>
    <col width="7.28515625" customWidth="1" style="138" min="1025" max="1025"/>
    <col width="35.85546875" customWidth="1" style="138" min="1026" max="1026"/>
    <col width="16.28515625" customWidth="1" style="138" min="1027" max="1030"/>
    <col width="29.42578125" customWidth="1" style="138" min="1031" max="1031"/>
    <col width="14.5703125" customWidth="1" style="138" min="1032" max="1032"/>
    <col width="8.85546875" customWidth="1" style="138" min="1033" max="1277"/>
    <col width="4.85546875" customWidth="1" style="138" min="1278" max="1278"/>
    <col width="16.85546875" customWidth="1" style="138" min="1279" max="1279"/>
    <col width="8.85546875" customWidth="1" style="138" min="1280" max="1280"/>
    <col width="7.28515625" customWidth="1" style="138" min="1281" max="1281"/>
    <col width="35.85546875" customWidth="1" style="138" min="1282" max="1282"/>
    <col width="16.28515625" customWidth="1" style="138" min="1283" max="1286"/>
    <col width="29.42578125" customWidth="1" style="138" min="1287" max="1287"/>
    <col width="14.5703125" customWidth="1" style="138" min="1288" max="1288"/>
    <col width="8.85546875" customWidth="1" style="138" min="1289" max="1533"/>
    <col width="4.85546875" customWidth="1" style="138" min="1534" max="1534"/>
    <col width="16.85546875" customWidth="1" style="138" min="1535" max="1535"/>
    <col width="8.85546875" customWidth="1" style="138" min="1536" max="1536"/>
    <col width="7.28515625" customWidth="1" style="138" min="1537" max="1537"/>
    <col width="35.85546875" customWidth="1" style="138" min="1538" max="1538"/>
    <col width="16.28515625" customWidth="1" style="138" min="1539" max="1542"/>
    <col width="29.42578125" customWidth="1" style="138" min="1543" max="1543"/>
    <col width="14.5703125" customWidth="1" style="138" min="1544" max="1544"/>
    <col width="8.85546875" customWidth="1" style="138" min="1545" max="1789"/>
    <col width="4.85546875" customWidth="1" style="138" min="1790" max="1790"/>
    <col width="16.85546875" customWidth="1" style="138" min="1791" max="1791"/>
    <col width="8.85546875" customWidth="1" style="138" min="1792" max="1792"/>
    <col width="7.28515625" customWidth="1" style="138" min="1793" max="1793"/>
    <col width="35.85546875" customWidth="1" style="138" min="1794" max="1794"/>
    <col width="16.28515625" customWidth="1" style="138" min="1795" max="1798"/>
    <col width="29.42578125" customWidth="1" style="138" min="1799" max="1799"/>
    <col width="14.5703125" customWidth="1" style="138" min="1800" max="1800"/>
    <col width="8.85546875" customWidth="1" style="138" min="1801" max="2045"/>
    <col width="4.85546875" customWidth="1" style="138" min="2046" max="2046"/>
    <col width="16.85546875" customWidth="1" style="138" min="2047" max="2047"/>
    <col width="8.85546875" customWidth="1" style="138" min="2048" max="2048"/>
    <col width="7.28515625" customWidth="1" style="138" min="2049" max="2049"/>
    <col width="35.85546875" customWidth="1" style="138" min="2050" max="2050"/>
    <col width="16.28515625" customWidth="1" style="138" min="2051" max="2054"/>
    <col width="29.42578125" customWidth="1" style="138" min="2055" max="2055"/>
    <col width="14.5703125" customWidth="1" style="138" min="2056" max="2056"/>
    <col width="8.85546875" customWidth="1" style="138" min="2057" max="2301"/>
    <col width="4.85546875" customWidth="1" style="138" min="2302" max="2302"/>
    <col width="16.85546875" customWidth="1" style="138" min="2303" max="2303"/>
    <col width="8.85546875" customWidth="1" style="138" min="2304" max="2304"/>
    <col width="7.28515625" customWidth="1" style="138" min="2305" max="2305"/>
    <col width="35.85546875" customWidth="1" style="138" min="2306" max="2306"/>
    <col width="16.28515625" customWidth="1" style="138" min="2307" max="2310"/>
    <col width="29.42578125" customWidth="1" style="138" min="2311" max="2311"/>
    <col width="14.5703125" customWidth="1" style="138" min="2312" max="2312"/>
    <col width="8.85546875" customWidth="1" style="138" min="2313" max="2557"/>
    <col width="4.85546875" customWidth="1" style="138" min="2558" max="2558"/>
    <col width="16.85546875" customWidth="1" style="138" min="2559" max="2559"/>
    <col width="8.85546875" customWidth="1" style="138" min="2560" max="2560"/>
    <col width="7.28515625" customWidth="1" style="138" min="2561" max="2561"/>
    <col width="35.85546875" customWidth="1" style="138" min="2562" max="2562"/>
    <col width="16.28515625" customWidth="1" style="138" min="2563" max="2566"/>
    <col width="29.42578125" customWidth="1" style="138" min="2567" max="2567"/>
    <col width="14.5703125" customWidth="1" style="138" min="2568" max="2568"/>
    <col width="8.85546875" customWidth="1" style="138" min="2569" max="2813"/>
    <col width="4.85546875" customWidth="1" style="138" min="2814" max="2814"/>
    <col width="16.85546875" customWidth="1" style="138" min="2815" max="2815"/>
    <col width="8.85546875" customWidth="1" style="138" min="2816" max="2816"/>
    <col width="7.28515625" customWidth="1" style="138" min="2817" max="2817"/>
    <col width="35.85546875" customWidth="1" style="138" min="2818" max="2818"/>
    <col width="16.28515625" customWidth="1" style="138" min="2819" max="2822"/>
    <col width="29.42578125" customWidth="1" style="138" min="2823" max="2823"/>
    <col width="14.5703125" customWidth="1" style="138" min="2824" max="2824"/>
    <col width="8.85546875" customWidth="1" style="138" min="2825" max="3069"/>
    <col width="4.85546875" customWidth="1" style="138" min="3070" max="3070"/>
    <col width="16.85546875" customWidth="1" style="138" min="3071" max="3071"/>
    <col width="8.85546875" customWidth="1" style="138" min="3072" max="3072"/>
    <col width="7.28515625" customWidth="1" style="138" min="3073" max="3073"/>
    <col width="35.85546875" customWidth="1" style="138" min="3074" max="3074"/>
    <col width="16.28515625" customWidth="1" style="138" min="3075" max="3078"/>
    <col width="29.42578125" customWidth="1" style="138" min="3079" max="3079"/>
    <col width="14.5703125" customWidth="1" style="138" min="3080" max="3080"/>
    <col width="8.85546875" customWidth="1" style="138" min="3081" max="3325"/>
    <col width="4.85546875" customWidth="1" style="138" min="3326" max="3326"/>
    <col width="16.85546875" customWidth="1" style="138" min="3327" max="3327"/>
    <col width="8.85546875" customWidth="1" style="138" min="3328" max="3328"/>
    <col width="7.28515625" customWidth="1" style="138" min="3329" max="3329"/>
    <col width="35.85546875" customWidth="1" style="138" min="3330" max="3330"/>
    <col width="16.28515625" customWidth="1" style="138" min="3331" max="3334"/>
    <col width="29.42578125" customWidth="1" style="138" min="3335" max="3335"/>
    <col width="14.5703125" customWidth="1" style="138" min="3336" max="3336"/>
    <col width="8.85546875" customWidth="1" style="138" min="3337" max="3581"/>
    <col width="4.85546875" customWidth="1" style="138" min="3582" max="3582"/>
    <col width="16.85546875" customWidth="1" style="138" min="3583" max="3583"/>
    <col width="8.85546875" customWidth="1" style="138" min="3584" max="3584"/>
    <col width="7.28515625" customWidth="1" style="138" min="3585" max="3585"/>
    <col width="35.85546875" customWidth="1" style="138" min="3586" max="3586"/>
    <col width="16.28515625" customWidth="1" style="138" min="3587" max="3590"/>
    <col width="29.42578125" customWidth="1" style="138" min="3591" max="3591"/>
    <col width="14.5703125" customWidth="1" style="138" min="3592" max="3592"/>
    <col width="8.85546875" customWidth="1" style="138" min="3593" max="3837"/>
    <col width="4.85546875" customWidth="1" style="138" min="3838" max="3838"/>
    <col width="16.85546875" customWidth="1" style="138" min="3839" max="3839"/>
    <col width="8.85546875" customWidth="1" style="138" min="3840" max="3840"/>
    <col width="7.28515625" customWidth="1" style="138" min="3841" max="3841"/>
    <col width="35.85546875" customWidth="1" style="138" min="3842" max="3842"/>
    <col width="16.28515625" customWidth="1" style="138" min="3843" max="3846"/>
    <col width="29.42578125" customWidth="1" style="138" min="3847" max="3847"/>
    <col width="14.5703125" customWidth="1" style="138" min="3848" max="3848"/>
    <col width="8.85546875" customWidth="1" style="138" min="3849" max="4093"/>
    <col width="4.85546875" customWidth="1" style="138" min="4094" max="4094"/>
    <col width="16.85546875" customWidth="1" style="138" min="4095" max="4095"/>
    <col width="8.85546875" customWidth="1" style="138" min="4096" max="4096"/>
    <col width="7.28515625" customWidth="1" style="138" min="4097" max="4097"/>
    <col width="35.85546875" customWidth="1" style="138" min="4098" max="4098"/>
    <col width="16.28515625" customWidth="1" style="138" min="4099" max="4102"/>
    <col width="29.42578125" customWidth="1" style="138" min="4103" max="4103"/>
    <col width="14.5703125" customWidth="1" style="138" min="4104" max="4104"/>
    <col width="8.85546875" customWidth="1" style="138" min="4105" max="4349"/>
    <col width="4.85546875" customWidth="1" style="138" min="4350" max="4350"/>
    <col width="16.85546875" customWidth="1" style="138" min="4351" max="4351"/>
    <col width="8.85546875" customWidth="1" style="138" min="4352" max="4352"/>
    <col width="7.28515625" customWidth="1" style="138" min="4353" max="4353"/>
    <col width="35.85546875" customWidth="1" style="138" min="4354" max="4354"/>
    <col width="16.28515625" customWidth="1" style="138" min="4355" max="4358"/>
    <col width="29.42578125" customWidth="1" style="138" min="4359" max="4359"/>
    <col width="14.5703125" customWidth="1" style="138" min="4360" max="4360"/>
    <col width="8.85546875" customWidth="1" style="138" min="4361" max="4605"/>
    <col width="4.85546875" customWidth="1" style="138" min="4606" max="4606"/>
    <col width="16.85546875" customWidth="1" style="138" min="4607" max="4607"/>
    <col width="8.85546875" customWidth="1" style="138" min="4608" max="4608"/>
    <col width="7.28515625" customWidth="1" style="138" min="4609" max="4609"/>
    <col width="35.85546875" customWidth="1" style="138" min="4610" max="4610"/>
    <col width="16.28515625" customWidth="1" style="138" min="4611" max="4614"/>
    <col width="29.42578125" customWidth="1" style="138" min="4615" max="4615"/>
    <col width="14.5703125" customWidth="1" style="138" min="4616" max="4616"/>
    <col width="8.85546875" customWidth="1" style="138" min="4617" max="4861"/>
    <col width="4.85546875" customWidth="1" style="138" min="4862" max="4862"/>
    <col width="16.85546875" customWidth="1" style="138" min="4863" max="4863"/>
    <col width="8.85546875" customWidth="1" style="138" min="4864" max="4864"/>
    <col width="7.28515625" customWidth="1" style="138" min="4865" max="4865"/>
    <col width="35.85546875" customWidth="1" style="138" min="4866" max="4866"/>
    <col width="16.28515625" customWidth="1" style="138" min="4867" max="4870"/>
    <col width="29.42578125" customWidth="1" style="138" min="4871" max="4871"/>
    <col width="14.5703125" customWidth="1" style="138" min="4872" max="4872"/>
    <col width="8.85546875" customWidth="1" style="138" min="4873" max="5117"/>
    <col width="4.85546875" customWidth="1" style="138" min="5118" max="5118"/>
    <col width="16.85546875" customWidth="1" style="138" min="5119" max="5119"/>
    <col width="8.85546875" customWidth="1" style="138" min="5120" max="5120"/>
    <col width="7.28515625" customWidth="1" style="138" min="5121" max="5121"/>
    <col width="35.85546875" customWidth="1" style="138" min="5122" max="5122"/>
    <col width="16.28515625" customWidth="1" style="138" min="5123" max="5126"/>
    <col width="29.42578125" customWidth="1" style="138" min="5127" max="5127"/>
    <col width="14.5703125" customWidth="1" style="138" min="5128" max="5128"/>
    <col width="8.85546875" customWidth="1" style="138" min="5129" max="5373"/>
    <col width="4.85546875" customWidth="1" style="138" min="5374" max="5374"/>
    <col width="16.85546875" customWidth="1" style="138" min="5375" max="5375"/>
    <col width="8.85546875" customWidth="1" style="138" min="5376" max="5376"/>
    <col width="7.28515625" customWidth="1" style="138" min="5377" max="5377"/>
    <col width="35.85546875" customWidth="1" style="138" min="5378" max="5378"/>
    <col width="16.28515625" customWidth="1" style="138" min="5379" max="5382"/>
    <col width="29.42578125" customWidth="1" style="138" min="5383" max="5383"/>
    <col width="14.5703125" customWidth="1" style="138" min="5384" max="5384"/>
    <col width="8.85546875" customWidth="1" style="138" min="5385" max="5629"/>
    <col width="4.85546875" customWidth="1" style="138" min="5630" max="5630"/>
    <col width="16.85546875" customWidth="1" style="138" min="5631" max="5631"/>
    <col width="8.85546875" customWidth="1" style="138" min="5632" max="5632"/>
    <col width="7.28515625" customWidth="1" style="138" min="5633" max="5633"/>
    <col width="35.85546875" customWidth="1" style="138" min="5634" max="5634"/>
    <col width="16.28515625" customWidth="1" style="138" min="5635" max="5638"/>
    <col width="29.42578125" customWidth="1" style="138" min="5639" max="5639"/>
    <col width="14.5703125" customWidth="1" style="138" min="5640" max="5640"/>
    <col width="8.85546875" customWidth="1" style="138" min="5641" max="5885"/>
    <col width="4.85546875" customWidth="1" style="138" min="5886" max="5886"/>
    <col width="16.85546875" customWidth="1" style="138" min="5887" max="5887"/>
    <col width="8.85546875" customWidth="1" style="138" min="5888" max="5888"/>
    <col width="7.28515625" customWidth="1" style="138" min="5889" max="5889"/>
    <col width="35.85546875" customWidth="1" style="138" min="5890" max="5890"/>
    <col width="16.28515625" customWidth="1" style="138" min="5891" max="5894"/>
    <col width="29.42578125" customWidth="1" style="138" min="5895" max="5895"/>
    <col width="14.5703125" customWidth="1" style="138" min="5896" max="5896"/>
    <col width="8.85546875" customWidth="1" style="138" min="5897" max="6141"/>
    <col width="4.85546875" customWidth="1" style="138" min="6142" max="6142"/>
    <col width="16.85546875" customWidth="1" style="138" min="6143" max="6143"/>
    <col width="8.85546875" customWidth="1" style="138" min="6144" max="6144"/>
    <col width="7.28515625" customWidth="1" style="138" min="6145" max="6145"/>
    <col width="35.85546875" customWidth="1" style="138" min="6146" max="6146"/>
    <col width="16.28515625" customWidth="1" style="138" min="6147" max="6150"/>
    <col width="29.42578125" customWidth="1" style="138" min="6151" max="6151"/>
    <col width="14.5703125" customWidth="1" style="138" min="6152" max="6152"/>
    <col width="8.85546875" customWidth="1" style="138" min="6153" max="6397"/>
    <col width="4.85546875" customWidth="1" style="138" min="6398" max="6398"/>
    <col width="16.85546875" customWidth="1" style="138" min="6399" max="6399"/>
    <col width="8.85546875" customWidth="1" style="138" min="6400" max="6400"/>
    <col width="7.28515625" customWidth="1" style="138" min="6401" max="6401"/>
    <col width="35.85546875" customWidth="1" style="138" min="6402" max="6402"/>
    <col width="16.28515625" customWidth="1" style="138" min="6403" max="6406"/>
    <col width="29.42578125" customWidth="1" style="138" min="6407" max="6407"/>
    <col width="14.5703125" customWidth="1" style="138" min="6408" max="6408"/>
    <col width="8.85546875" customWidth="1" style="138" min="6409" max="6653"/>
    <col width="4.85546875" customWidth="1" style="138" min="6654" max="6654"/>
    <col width="16.85546875" customWidth="1" style="138" min="6655" max="6655"/>
    <col width="8.85546875" customWidth="1" style="138" min="6656" max="6656"/>
    <col width="7.28515625" customWidth="1" style="138" min="6657" max="6657"/>
    <col width="35.85546875" customWidth="1" style="138" min="6658" max="6658"/>
    <col width="16.28515625" customWidth="1" style="138" min="6659" max="6662"/>
    <col width="29.42578125" customWidth="1" style="138" min="6663" max="6663"/>
    <col width="14.5703125" customWidth="1" style="138" min="6664" max="6664"/>
    <col width="8.85546875" customWidth="1" style="138" min="6665" max="6909"/>
    <col width="4.85546875" customWidth="1" style="138" min="6910" max="6910"/>
    <col width="16.85546875" customWidth="1" style="138" min="6911" max="6911"/>
    <col width="8.85546875" customWidth="1" style="138" min="6912" max="6912"/>
    <col width="7.28515625" customWidth="1" style="138" min="6913" max="6913"/>
    <col width="35.85546875" customWidth="1" style="138" min="6914" max="6914"/>
    <col width="16.28515625" customWidth="1" style="138" min="6915" max="6918"/>
    <col width="29.42578125" customWidth="1" style="138" min="6919" max="6919"/>
    <col width="14.5703125" customWidth="1" style="138" min="6920" max="6920"/>
    <col width="8.85546875" customWidth="1" style="138" min="6921" max="7165"/>
    <col width="4.85546875" customWidth="1" style="138" min="7166" max="7166"/>
    <col width="16.85546875" customWidth="1" style="138" min="7167" max="7167"/>
    <col width="8.85546875" customWidth="1" style="138" min="7168" max="7168"/>
    <col width="7.28515625" customWidth="1" style="138" min="7169" max="7169"/>
    <col width="35.85546875" customWidth="1" style="138" min="7170" max="7170"/>
    <col width="16.28515625" customWidth="1" style="138" min="7171" max="7174"/>
    <col width="29.42578125" customWidth="1" style="138" min="7175" max="7175"/>
    <col width="14.5703125" customWidth="1" style="138" min="7176" max="7176"/>
    <col width="8.85546875" customWidth="1" style="138" min="7177" max="7421"/>
    <col width="4.85546875" customWidth="1" style="138" min="7422" max="7422"/>
    <col width="16.85546875" customWidth="1" style="138" min="7423" max="7423"/>
    <col width="8.85546875" customWidth="1" style="138" min="7424" max="7424"/>
    <col width="7.28515625" customWidth="1" style="138" min="7425" max="7425"/>
    <col width="35.85546875" customWidth="1" style="138" min="7426" max="7426"/>
    <col width="16.28515625" customWidth="1" style="138" min="7427" max="7430"/>
    <col width="29.42578125" customWidth="1" style="138" min="7431" max="7431"/>
    <col width="14.5703125" customWidth="1" style="138" min="7432" max="7432"/>
    <col width="8.85546875" customWidth="1" style="138" min="7433" max="7677"/>
    <col width="4.85546875" customWidth="1" style="138" min="7678" max="7678"/>
    <col width="16.85546875" customWidth="1" style="138" min="7679" max="7679"/>
    <col width="8.85546875" customWidth="1" style="138" min="7680" max="7680"/>
    <col width="7.28515625" customWidth="1" style="138" min="7681" max="7681"/>
    <col width="35.85546875" customWidth="1" style="138" min="7682" max="7682"/>
    <col width="16.28515625" customWidth="1" style="138" min="7683" max="7686"/>
    <col width="29.42578125" customWidth="1" style="138" min="7687" max="7687"/>
    <col width="14.5703125" customWidth="1" style="138" min="7688" max="7688"/>
    <col width="8.85546875" customWidth="1" style="138" min="7689" max="7933"/>
    <col width="4.85546875" customWidth="1" style="138" min="7934" max="7934"/>
    <col width="16.85546875" customWidth="1" style="138" min="7935" max="7935"/>
    <col width="8.85546875" customWidth="1" style="138" min="7936" max="7936"/>
    <col width="7.28515625" customWidth="1" style="138" min="7937" max="7937"/>
    <col width="35.85546875" customWidth="1" style="138" min="7938" max="7938"/>
    <col width="16.28515625" customWidth="1" style="138" min="7939" max="7942"/>
    <col width="29.42578125" customWidth="1" style="138" min="7943" max="7943"/>
    <col width="14.5703125" customWidth="1" style="138" min="7944" max="7944"/>
    <col width="8.85546875" customWidth="1" style="138" min="7945" max="8189"/>
    <col width="4.85546875" customWidth="1" style="138" min="8190" max="8190"/>
    <col width="16.85546875" customWidth="1" style="138" min="8191" max="8191"/>
    <col width="8.85546875" customWidth="1" style="138" min="8192" max="8192"/>
    <col width="7.28515625" customWidth="1" style="138" min="8193" max="8193"/>
    <col width="35.85546875" customWidth="1" style="138" min="8194" max="8194"/>
    <col width="16.28515625" customWidth="1" style="138" min="8195" max="8198"/>
    <col width="29.42578125" customWidth="1" style="138" min="8199" max="8199"/>
    <col width="14.5703125" customWidth="1" style="138" min="8200" max="8200"/>
    <col width="8.85546875" customWidth="1" style="138" min="8201" max="8445"/>
    <col width="4.85546875" customWidth="1" style="138" min="8446" max="8446"/>
    <col width="16.85546875" customWidth="1" style="138" min="8447" max="8447"/>
    <col width="8.85546875" customWidth="1" style="138" min="8448" max="8448"/>
    <col width="7.28515625" customWidth="1" style="138" min="8449" max="8449"/>
    <col width="35.85546875" customWidth="1" style="138" min="8450" max="8450"/>
    <col width="16.28515625" customWidth="1" style="138" min="8451" max="8454"/>
    <col width="29.42578125" customWidth="1" style="138" min="8455" max="8455"/>
    <col width="14.5703125" customWidth="1" style="138" min="8456" max="8456"/>
    <col width="8.85546875" customWidth="1" style="138" min="8457" max="8701"/>
    <col width="4.85546875" customWidth="1" style="138" min="8702" max="8702"/>
    <col width="16.85546875" customWidth="1" style="138" min="8703" max="8703"/>
    <col width="8.85546875" customWidth="1" style="138" min="8704" max="8704"/>
    <col width="7.28515625" customWidth="1" style="138" min="8705" max="8705"/>
    <col width="35.85546875" customWidth="1" style="138" min="8706" max="8706"/>
    <col width="16.28515625" customWidth="1" style="138" min="8707" max="8710"/>
    <col width="29.42578125" customWidth="1" style="138" min="8711" max="8711"/>
    <col width="14.5703125" customWidth="1" style="138" min="8712" max="8712"/>
    <col width="8.85546875" customWidth="1" style="138" min="8713" max="8957"/>
    <col width="4.85546875" customWidth="1" style="138" min="8958" max="8958"/>
    <col width="16.85546875" customWidth="1" style="138" min="8959" max="8959"/>
    <col width="8.85546875" customWidth="1" style="138" min="8960" max="8960"/>
    <col width="7.28515625" customWidth="1" style="138" min="8961" max="8961"/>
    <col width="35.85546875" customWidth="1" style="138" min="8962" max="8962"/>
    <col width="16.28515625" customWidth="1" style="138" min="8963" max="8966"/>
    <col width="29.42578125" customWidth="1" style="138" min="8967" max="8967"/>
    <col width="14.5703125" customWidth="1" style="138" min="8968" max="8968"/>
    <col width="8.85546875" customWidth="1" style="138" min="8969" max="9213"/>
    <col width="4.85546875" customWidth="1" style="138" min="9214" max="9214"/>
    <col width="16.85546875" customWidth="1" style="138" min="9215" max="9215"/>
    <col width="8.85546875" customWidth="1" style="138" min="9216" max="9216"/>
    <col width="7.28515625" customWidth="1" style="138" min="9217" max="9217"/>
    <col width="35.85546875" customWidth="1" style="138" min="9218" max="9218"/>
    <col width="16.28515625" customWidth="1" style="138" min="9219" max="9222"/>
    <col width="29.42578125" customWidth="1" style="138" min="9223" max="9223"/>
    <col width="14.5703125" customWidth="1" style="138" min="9224" max="9224"/>
    <col width="8.85546875" customWidth="1" style="138" min="9225" max="9469"/>
    <col width="4.85546875" customWidth="1" style="138" min="9470" max="9470"/>
    <col width="16.85546875" customWidth="1" style="138" min="9471" max="9471"/>
    <col width="8.85546875" customWidth="1" style="138" min="9472" max="9472"/>
    <col width="7.28515625" customWidth="1" style="138" min="9473" max="9473"/>
    <col width="35.85546875" customWidth="1" style="138" min="9474" max="9474"/>
    <col width="16.28515625" customWidth="1" style="138" min="9475" max="9478"/>
    <col width="29.42578125" customWidth="1" style="138" min="9479" max="9479"/>
    <col width="14.5703125" customWidth="1" style="138" min="9480" max="9480"/>
    <col width="8.85546875" customWidth="1" style="138" min="9481" max="9725"/>
    <col width="4.85546875" customWidth="1" style="138" min="9726" max="9726"/>
    <col width="16.85546875" customWidth="1" style="138" min="9727" max="9727"/>
    <col width="8.85546875" customWidth="1" style="138" min="9728" max="9728"/>
    <col width="7.28515625" customWidth="1" style="138" min="9729" max="9729"/>
    <col width="35.85546875" customWidth="1" style="138" min="9730" max="9730"/>
    <col width="16.28515625" customWidth="1" style="138" min="9731" max="9734"/>
    <col width="29.42578125" customWidth="1" style="138" min="9735" max="9735"/>
    <col width="14.5703125" customWidth="1" style="138" min="9736" max="9736"/>
    <col width="8.85546875" customWidth="1" style="138" min="9737" max="9981"/>
    <col width="4.85546875" customWidth="1" style="138" min="9982" max="9982"/>
    <col width="16.85546875" customWidth="1" style="138" min="9983" max="9983"/>
    <col width="8.85546875" customWidth="1" style="138" min="9984" max="9984"/>
    <col width="7.28515625" customWidth="1" style="138" min="9985" max="9985"/>
    <col width="35.85546875" customWidth="1" style="138" min="9986" max="9986"/>
    <col width="16.28515625" customWidth="1" style="138" min="9987" max="9990"/>
    <col width="29.42578125" customWidth="1" style="138" min="9991" max="9991"/>
    <col width="14.5703125" customWidth="1" style="138" min="9992" max="9992"/>
    <col width="8.85546875" customWidth="1" style="138" min="9993" max="10237"/>
    <col width="4.85546875" customWidth="1" style="138" min="10238" max="10238"/>
    <col width="16.85546875" customWidth="1" style="138" min="10239" max="10239"/>
    <col width="8.85546875" customWidth="1" style="138" min="10240" max="10240"/>
    <col width="7.28515625" customWidth="1" style="138" min="10241" max="10241"/>
    <col width="35.85546875" customWidth="1" style="138" min="10242" max="10242"/>
    <col width="16.28515625" customWidth="1" style="138" min="10243" max="10246"/>
    <col width="29.42578125" customWidth="1" style="138" min="10247" max="10247"/>
    <col width="14.5703125" customWidth="1" style="138" min="10248" max="10248"/>
    <col width="8.85546875" customWidth="1" style="138" min="10249" max="10493"/>
    <col width="4.85546875" customWidth="1" style="138" min="10494" max="10494"/>
    <col width="16.85546875" customWidth="1" style="138" min="10495" max="10495"/>
    <col width="8.85546875" customWidth="1" style="138" min="10496" max="10496"/>
    <col width="7.28515625" customWidth="1" style="138" min="10497" max="10497"/>
    <col width="35.85546875" customWidth="1" style="138" min="10498" max="10498"/>
    <col width="16.28515625" customWidth="1" style="138" min="10499" max="10502"/>
    <col width="29.42578125" customWidth="1" style="138" min="10503" max="10503"/>
    <col width="14.5703125" customWidth="1" style="138" min="10504" max="10504"/>
    <col width="8.85546875" customWidth="1" style="138" min="10505" max="10749"/>
    <col width="4.85546875" customWidth="1" style="138" min="10750" max="10750"/>
    <col width="16.85546875" customWidth="1" style="138" min="10751" max="10751"/>
    <col width="8.85546875" customWidth="1" style="138" min="10752" max="10752"/>
    <col width="7.28515625" customWidth="1" style="138" min="10753" max="10753"/>
    <col width="35.85546875" customWidth="1" style="138" min="10754" max="10754"/>
    <col width="16.28515625" customWidth="1" style="138" min="10755" max="10758"/>
    <col width="29.42578125" customWidth="1" style="138" min="10759" max="10759"/>
    <col width="14.5703125" customWidth="1" style="138" min="10760" max="10760"/>
    <col width="8.85546875" customWidth="1" style="138" min="10761" max="11005"/>
    <col width="4.85546875" customWidth="1" style="138" min="11006" max="11006"/>
    <col width="16.85546875" customWidth="1" style="138" min="11007" max="11007"/>
    <col width="8.85546875" customWidth="1" style="138" min="11008" max="11008"/>
    <col width="7.28515625" customWidth="1" style="138" min="11009" max="11009"/>
    <col width="35.85546875" customWidth="1" style="138" min="11010" max="11010"/>
    <col width="16.28515625" customWidth="1" style="138" min="11011" max="11014"/>
    <col width="29.42578125" customWidth="1" style="138" min="11015" max="11015"/>
    <col width="14.5703125" customWidth="1" style="138" min="11016" max="11016"/>
    <col width="8.85546875" customWidth="1" style="138" min="11017" max="11261"/>
    <col width="4.85546875" customWidth="1" style="138" min="11262" max="11262"/>
    <col width="16.85546875" customWidth="1" style="138" min="11263" max="11263"/>
    <col width="8.85546875" customWidth="1" style="138" min="11264" max="11264"/>
    <col width="7.28515625" customWidth="1" style="138" min="11265" max="11265"/>
    <col width="35.85546875" customWidth="1" style="138" min="11266" max="11266"/>
    <col width="16.28515625" customWidth="1" style="138" min="11267" max="11270"/>
    <col width="29.42578125" customWidth="1" style="138" min="11271" max="11271"/>
    <col width="14.5703125" customWidth="1" style="138" min="11272" max="11272"/>
    <col width="8.85546875" customWidth="1" style="138" min="11273" max="11517"/>
    <col width="4.85546875" customWidth="1" style="138" min="11518" max="11518"/>
    <col width="16.85546875" customWidth="1" style="138" min="11519" max="11519"/>
    <col width="8.85546875" customWidth="1" style="138" min="11520" max="11520"/>
    <col width="7.28515625" customWidth="1" style="138" min="11521" max="11521"/>
    <col width="35.85546875" customWidth="1" style="138" min="11522" max="11522"/>
    <col width="16.28515625" customWidth="1" style="138" min="11523" max="11526"/>
    <col width="29.42578125" customWidth="1" style="138" min="11527" max="11527"/>
    <col width="14.5703125" customWidth="1" style="138" min="11528" max="11528"/>
    <col width="8.85546875" customWidth="1" style="138" min="11529" max="11773"/>
    <col width="4.85546875" customWidth="1" style="138" min="11774" max="11774"/>
    <col width="16.85546875" customWidth="1" style="138" min="11775" max="11775"/>
    <col width="8.85546875" customWidth="1" style="138" min="11776" max="11776"/>
    <col width="7.28515625" customWidth="1" style="138" min="11777" max="11777"/>
    <col width="35.85546875" customWidth="1" style="138" min="11778" max="11778"/>
    <col width="16.28515625" customWidth="1" style="138" min="11779" max="11782"/>
    <col width="29.42578125" customWidth="1" style="138" min="11783" max="11783"/>
    <col width="14.5703125" customWidth="1" style="138" min="11784" max="11784"/>
    <col width="8.85546875" customWidth="1" style="138" min="11785" max="12029"/>
    <col width="4.85546875" customWidth="1" style="138" min="12030" max="12030"/>
    <col width="16.85546875" customWidth="1" style="138" min="12031" max="12031"/>
    <col width="8.85546875" customWidth="1" style="138" min="12032" max="12032"/>
    <col width="7.28515625" customWidth="1" style="138" min="12033" max="12033"/>
    <col width="35.85546875" customWidth="1" style="138" min="12034" max="12034"/>
    <col width="16.28515625" customWidth="1" style="138" min="12035" max="12038"/>
    <col width="29.42578125" customWidth="1" style="138" min="12039" max="12039"/>
    <col width="14.5703125" customWidth="1" style="138" min="12040" max="12040"/>
    <col width="8.85546875" customWidth="1" style="138" min="12041" max="12285"/>
    <col width="4.85546875" customWidth="1" style="138" min="12286" max="12286"/>
    <col width="16.85546875" customWidth="1" style="138" min="12287" max="12287"/>
    <col width="8.85546875" customWidth="1" style="138" min="12288" max="12288"/>
    <col width="7.28515625" customWidth="1" style="138" min="12289" max="12289"/>
    <col width="35.85546875" customWidth="1" style="138" min="12290" max="12290"/>
    <col width="16.28515625" customWidth="1" style="138" min="12291" max="12294"/>
    <col width="29.42578125" customWidth="1" style="138" min="12295" max="12295"/>
    <col width="14.5703125" customWidth="1" style="138" min="12296" max="12296"/>
    <col width="8.85546875" customWidth="1" style="138" min="12297" max="12541"/>
    <col width="4.85546875" customWidth="1" style="138" min="12542" max="12542"/>
    <col width="16.85546875" customWidth="1" style="138" min="12543" max="12543"/>
    <col width="8.85546875" customWidth="1" style="138" min="12544" max="12544"/>
    <col width="7.28515625" customWidth="1" style="138" min="12545" max="12545"/>
    <col width="35.85546875" customWidth="1" style="138" min="12546" max="12546"/>
    <col width="16.28515625" customWidth="1" style="138" min="12547" max="12550"/>
    <col width="29.42578125" customWidth="1" style="138" min="12551" max="12551"/>
    <col width="14.5703125" customWidth="1" style="138" min="12552" max="12552"/>
    <col width="8.85546875" customWidth="1" style="138" min="12553" max="12797"/>
    <col width="4.85546875" customWidth="1" style="138" min="12798" max="12798"/>
    <col width="16.85546875" customWidth="1" style="138" min="12799" max="12799"/>
    <col width="8.85546875" customWidth="1" style="138" min="12800" max="12800"/>
    <col width="7.28515625" customWidth="1" style="138" min="12801" max="12801"/>
    <col width="35.85546875" customWidth="1" style="138" min="12802" max="12802"/>
    <col width="16.28515625" customWidth="1" style="138" min="12803" max="12806"/>
    <col width="29.42578125" customWidth="1" style="138" min="12807" max="12807"/>
    <col width="14.5703125" customWidth="1" style="138" min="12808" max="12808"/>
    <col width="8.85546875" customWidth="1" style="138" min="12809" max="13053"/>
    <col width="4.85546875" customWidth="1" style="138" min="13054" max="13054"/>
    <col width="16.85546875" customWidth="1" style="138" min="13055" max="13055"/>
    <col width="8.85546875" customWidth="1" style="138" min="13056" max="13056"/>
    <col width="7.28515625" customWidth="1" style="138" min="13057" max="13057"/>
    <col width="35.85546875" customWidth="1" style="138" min="13058" max="13058"/>
    <col width="16.28515625" customWidth="1" style="138" min="13059" max="13062"/>
    <col width="29.42578125" customWidth="1" style="138" min="13063" max="13063"/>
    <col width="14.5703125" customWidth="1" style="138" min="13064" max="13064"/>
    <col width="8.85546875" customWidth="1" style="138" min="13065" max="13309"/>
    <col width="4.85546875" customWidth="1" style="138" min="13310" max="13310"/>
    <col width="16.85546875" customWidth="1" style="138" min="13311" max="13311"/>
    <col width="8.85546875" customWidth="1" style="138" min="13312" max="13312"/>
    <col width="7.28515625" customWidth="1" style="138" min="13313" max="13313"/>
    <col width="35.85546875" customWidth="1" style="138" min="13314" max="13314"/>
    <col width="16.28515625" customWidth="1" style="138" min="13315" max="13318"/>
    <col width="29.42578125" customWidth="1" style="138" min="13319" max="13319"/>
    <col width="14.5703125" customWidth="1" style="138" min="13320" max="13320"/>
    <col width="8.85546875" customWidth="1" style="138" min="13321" max="13565"/>
    <col width="4.85546875" customWidth="1" style="138" min="13566" max="13566"/>
    <col width="16.85546875" customWidth="1" style="138" min="13567" max="13567"/>
    <col width="8.85546875" customWidth="1" style="138" min="13568" max="13568"/>
    <col width="7.28515625" customWidth="1" style="138" min="13569" max="13569"/>
    <col width="35.85546875" customWidth="1" style="138" min="13570" max="13570"/>
    <col width="16.28515625" customWidth="1" style="138" min="13571" max="13574"/>
    <col width="29.42578125" customWidth="1" style="138" min="13575" max="13575"/>
    <col width="14.5703125" customWidth="1" style="138" min="13576" max="13576"/>
    <col width="8.85546875" customWidth="1" style="138" min="13577" max="13821"/>
    <col width="4.85546875" customWidth="1" style="138" min="13822" max="13822"/>
    <col width="16.85546875" customWidth="1" style="138" min="13823" max="13823"/>
    <col width="8.85546875" customWidth="1" style="138" min="13824" max="13824"/>
    <col width="7.28515625" customWidth="1" style="138" min="13825" max="13825"/>
    <col width="35.85546875" customWidth="1" style="138" min="13826" max="13826"/>
    <col width="16.28515625" customWidth="1" style="138" min="13827" max="13830"/>
    <col width="29.42578125" customWidth="1" style="138" min="13831" max="13831"/>
    <col width="14.5703125" customWidth="1" style="138" min="13832" max="13832"/>
    <col width="8.85546875" customWidth="1" style="138" min="13833" max="14077"/>
    <col width="4.85546875" customWidth="1" style="138" min="14078" max="14078"/>
    <col width="16.85546875" customWidth="1" style="138" min="14079" max="14079"/>
    <col width="8.85546875" customWidth="1" style="138" min="14080" max="14080"/>
    <col width="7.28515625" customWidth="1" style="138" min="14081" max="14081"/>
    <col width="35.85546875" customWidth="1" style="138" min="14082" max="14082"/>
    <col width="16.28515625" customWidth="1" style="138" min="14083" max="14086"/>
    <col width="29.42578125" customWidth="1" style="138" min="14087" max="14087"/>
    <col width="14.5703125" customWidth="1" style="138" min="14088" max="14088"/>
    <col width="8.85546875" customWidth="1" style="138" min="14089" max="14333"/>
    <col width="4.85546875" customWidth="1" style="138" min="14334" max="14334"/>
    <col width="16.85546875" customWidth="1" style="138" min="14335" max="14335"/>
    <col width="8.85546875" customWidth="1" style="138" min="14336" max="14336"/>
    <col width="7.28515625" customWidth="1" style="138" min="14337" max="14337"/>
    <col width="35.85546875" customWidth="1" style="138" min="14338" max="14338"/>
    <col width="16.28515625" customWidth="1" style="138" min="14339" max="14342"/>
    <col width="29.42578125" customWidth="1" style="138" min="14343" max="14343"/>
    <col width="14.5703125" customWidth="1" style="138" min="14344" max="14344"/>
    <col width="8.85546875" customWidth="1" style="138" min="14345" max="14589"/>
    <col width="4.85546875" customWidth="1" style="138" min="14590" max="14590"/>
    <col width="16.85546875" customWidth="1" style="138" min="14591" max="14591"/>
    <col width="8.85546875" customWidth="1" style="138" min="14592" max="14592"/>
    <col width="7.28515625" customWidth="1" style="138" min="14593" max="14593"/>
    <col width="35.85546875" customWidth="1" style="138" min="14594" max="14594"/>
    <col width="16.28515625" customWidth="1" style="138" min="14595" max="14598"/>
    <col width="29.42578125" customWidth="1" style="138" min="14599" max="14599"/>
    <col width="14.5703125" customWidth="1" style="138" min="14600" max="14600"/>
    <col width="8.85546875" customWidth="1" style="138" min="14601" max="14845"/>
    <col width="4.85546875" customWidth="1" style="138" min="14846" max="14846"/>
    <col width="16.85546875" customWidth="1" style="138" min="14847" max="14847"/>
    <col width="8.85546875" customWidth="1" style="138" min="14848" max="14848"/>
    <col width="7.28515625" customWidth="1" style="138" min="14849" max="14849"/>
    <col width="35.85546875" customWidth="1" style="138" min="14850" max="14850"/>
    <col width="16.28515625" customWidth="1" style="138" min="14851" max="14854"/>
    <col width="29.42578125" customWidth="1" style="138" min="14855" max="14855"/>
    <col width="14.5703125" customWidth="1" style="138" min="14856" max="14856"/>
    <col width="8.85546875" customWidth="1" style="138" min="14857" max="15101"/>
    <col width="4.85546875" customWidth="1" style="138" min="15102" max="15102"/>
    <col width="16.85546875" customWidth="1" style="138" min="15103" max="15103"/>
    <col width="8.85546875" customWidth="1" style="138" min="15104" max="15104"/>
    <col width="7.28515625" customWidth="1" style="138" min="15105" max="15105"/>
    <col width="35.85546875" customWidth="1" style="138" min="15106" max="15106"/>
    <col width="16.28515625" customWidth="1" style="138" min="15107" max="15110"/>
    <col width="29.42578125" customWidth="1" style="138" min="15111" max="15111"/>
    <col width="14.5703125" customWidth="1" style="138" min="15112" max="15112"/>
    <col width="8.85546875" customWidth="1" style="138" min="15113" max="15357"/>
    <col width="4.85546875" customWidth="1" style="138" min="15358" max="15358"/>
    <col width="16.85546875" customWidth="1" style="138" min="15359" max="15359"/>
    <col width="8.85546875" customWidth="1" style="138" min="15360" max="15360"/>
    <col width="7.28515625" customWidth="1" style="138" min="15361" max="15361"/>
    <col width="35.85546875" customWidth="1" style="138" min="15362" max="15362"/>
    <col width="16.28515625" customWidth="1" style="138" min="15363" max="15366"/>
    <col width="29.42578125" customWidth="1" style="138" min="15367" max="15367"/>
    <col width="14.5703125" customWidth="1" style="138" min="15368" max="15368"/>
    <col width="8.85546875" customWidth="1" style="138" min="15369" max="15613"/>
    <col width="4.85546875" customWidth="1" style="138" min="15614" max="15614"/>
    <col width="16.85546875" customWidth="1" style="138" min="15615" max="15615"/>
    <col width="8.85546875" customWidth="1" style="138" min="15616" max="15616"/>
    <col width="7.28515625" customWidth="1" style="138" min="15617" max="15617"/>
    <col width="35.85546875" customWidth="1" style="138" min="15618" max="15618"/>
    <col width="16.28515625" customWidth="1" style="138" min="15619" max="15622"/>
    <col width="29.42578125" customWidth="1" style="138" min="15623" max="15623"/>
    <col width="14.5703125" customWidth="1" style="138" min="15624" max="15624"/>
    <col width="8.85546875" customWidth="1" style="138" min="15625" max="15869"/>
    <col width="4.85546875" customWidth="1" style="138" min="15870" max="15870"/>
    <col width="16.85546875" customWidth="1" style="138" min="15871" max="15871"/>
    <col width="8.85546875" customWidth="1" style="138" min="15872" max="15872"/>
    <col width="7.28515625" customWidth="1" style="138" min="15873" max="15873"/>
    <col width="35.85546875" customWidth="1" style="138" min="15874" max="15874"/>
    <col width="16.28515625" customWidth="1" style="138" min="15875" max="15878"/>
    <col width="29.42578125" customWidth="1" style="138" min="15879" max="15879"/>
    <col width="14.5703125" customWidth="1" style="138" min="15880" max="15880"/>
    <col width="8.85546875" customWidth="1" style="138" min="15881" max="16125"/>
    <col width="4.85546875" customWidth="1" style="138" min="16126" max="16126"/>
    <col width="16.85546875" customWidth="1" style="138" min="16127" max="16127"/>
    <col width="8.85546875" customWidth="1" style="138" min="16128" max="16128"/>
    <col width="7.28515625" customWidth="1" style="138" min="16129" max="16129"/>
    <col width="35.85546875" customWidth="1" style="138" min="16130" max="16130"/>
    <col width="16.28515625" customWidth="1" style="138" min="16131" max="16134"/>
    <col width="29.42578125" customWidth="1" style="138" min="16135" max="16135"/>
    <col width="14.5703125" customWidth="1" style="138" min="16136" max="16136"/>
    <col width="8.85546875" customWidth="1" style="138" min="16137" max="16381"/>
    <col width="4.85546875" customWidth="1" style="138" min="16382" max="16382"/>
    <col width="16.85546875" customWidth="1" style="138" min="16383" max="16383"/>
    <col width="8.85546875" customWidth="1" style="138" min="16384" max="16384"/>
  </cols>
  <sheetData>
    <row r="1" ht="18" customHeight="1" s="794">
      <c r="A1" s="998" t="inlineStr">
        <is>
          <t>Форма № 20 (20д)</t>
        </is>
      </c>
    </row>
    <row r="2" ht="10.5" customHeight="1" s="794">
      <c r="A2" s="139" t="n"/>
      <c r="B2" s="999" t="n"/>
      <c r="C2" s="999" t="n"/>
      <c r="D2" s="999" t="n"/>
      <c r="E2" s="999" t="n"/>
      <c r="F2" s="999" t="n"/>
      <c r="G2" s="999" t="n"/>
    </row>
    <row r="3" ht="19.5" customHeight="1" s="794">
      <c r="A3" s="1000" t="inlineStr">
        <is>
          <t>Расчет и обоснование прибыли</t>
        </is>
      </c>
    </row>
    <row r="4" ht="36.75" customHeight="1" s="794">
      <c r="A4" s="1001" t="inlineStr">
        <is>
          <t>на 2027 г. по ТЕМА</t>
        </is>
      </c>
      <c r="B4" s="1409" t="n"/>
      <c r="C4" s="1409" t="n"/>
      <c r="D4" s="1409" t="n"/>
      <c r="E4" s="1409" t="n"/>
      <c r="F4" s="1409" t="n"/>
      <c r="G4" s="1409" t="n"/>
    </row>
    <row r="5" ht="13.15" customHeight="1" s="794">
      <c r="A5" s="1003" t="inlineStr">
        <is>
          <t xml:space="preserve"> (наименование, шифр товара, работы, услуги) </t>
        </is>
      </c>
    </row>
    <row r="6" ht="14.25" customHeight="1" s="794">
      <c r="A6" s="1005" t="n"/>
      <c r="C6" s="1004" t="n"/>
      <c r="D6" s="1004" t="n"/>
      <c r="E6" s="1004" t="n"/>
      <c r="F6" s="1004" t="n"/>
      <c r="G6" s="1004" t="n"/>
    </row>
    <row r="7">
      <c r="A7" s="142" t="n"/>
      <c r="B7" s="143" t="n"/>
      <c r="C7" s="143" t="n"/>
      <c r="D7" s="143" t="n"/>
      <c r="E7" s="143" t="n"/>
      <c r="F7" s="143" t="n"/>
      <c r="G7" s="144" t="inlineStr">
        <is>
          <t>Таблица 1</t>
        </is>
      </c>
    </row>
    <row r="8" ht="19.5" customHeight="1" s="794">
      <c r="A8" s="1450" t="inlineStr">
        <is>
          <t>№№
строки</t>
        </is>
      </c>
      <c r="B8" s="1011" t="inlineStr">
        <is>
          <t>Наименование статей затрат</t>
        </is>
      </c>
      <c r="C8" s="1011" t="inlineStr">
        <is>
          <t>Затраты (руб.)</t>
        </is>
      </c>
      <c r="D8" s="1410" t="n"/>
      <c r="E8" s="1011" t="inlineStr">
        <is>
          <t>Рентабельность (%)</t>
        </is>
      </c>
      <c r="F8" s="1410" t="n"/>
      <c r="G8" s="1011" t="inlineStr">
        <is>
          <t>Величина прибыли (руб.)</t>
        </is>
      </c>
      <c r="H8" s="145" t="n"/>
    </row>
    <row r="9" ht="15" customHeight="1" s="794">
      <c r="A9" s="1413" t="n"/>
      <c r="B9" s="1413" t="n"/>
      <c r="C9" s="146" t="inlineStr">
        <is>
          <t>Собственные</t>
        </is>
      </c>
      <c r="D9" s="146" t="inlineStr">
        <is>
          <t>Привнесенные</t>
        </is>
      </c>
      <c r="E9" s="146" t="inlineStr">
        <is>
          <t>Собственные</t>
        </is>
      </c>
      <c r="F9" s="146" t="inlineStr">
        <is>
          <t>Привнесенные</t>
        </is>
      </c>
      <c r="G9" s="1413" t="n"/>
      <c r="H9" s="145" t="n"/>
    </row>
    <row r="10" ht="19.5" customHeight="1" s="794">
      <c r="A10" s="1009" t="n">
        <v>1</v>
      </c>
      <c r="B10" s="996" t="n">
        <v>2</v>
      </c>
      <c r="C10" s="1011" t="n">
        <v>3</v>
      </c>
      <c r="D10" s="150" t="n">
        <v>4</v>
      </c>
      <c r="E10" s="151" t="n">
        <v>5</v>
      </c>
      <c r="F10" s="146" t="n">
        <v>6</v>
      </c>
      <c r="G10" s="1011" t="n">
        <v>7</v>
      </c>
      <c r="H10" s="145" t="n"/>
    </row>
    <row r="11" ht="30" customHeight="1" s="794">
      <c r="A11" s="152" t="inlineStr">
        <is>
          <t>0100</t>
        </is>
      </c>
      <c r="B11" s="60" t="inlineStr">
        <is>
          <t>Материальные затраты - всего:</t>
        </is>
      </c>
      <c r="C11" s="325" t="inlineStr">
        <is>
          <t>Х</t>
        </is>
      </c>
      <c r="D11" s="325" t="inlineStr">
        <is>
          <t>-</t>
        </is>
      </c>
      <c r="E11" s="325" t="inlineStr">
        <is>
          <t>Х</t>
        </is>
      </c>
      <c r="F11" s="325" t="inlineStr">
        <is>
          <t>-</t>
        </is>
      </c>
      <c r="G11" s="326" t="inlineStr">
        <is>
          <t>-</t>
        </is>
      </c>
      <c r="H11" s="145" t="n"/>
    </row>
    <row r="12" ht="15" customHeight="1" s="794">
      <c r="A12" s="153" t="n"/>
      <c r="B12" s="60" t="inlineStr">
        <is>
          <t>в том числе:</t>
        </is>
      </c>
      <c r="C12" s="325" t="n"/>
      <c r="D12" s="325" t="n"/>
      <c r="E12" s="325" t="n"/>
      <c r="F12" s="325" t="n"/>
      <c r="G12" s="326" t="n"/>
      <c r="H12" s="145" t="n"/>
    </row>
    <row r="13" ht="34.15" customHeight="1" s="794">
      <c r="A13" s="152" t="inlineStr">
        <is>
          <t>0101</t>
        </is>
      </c>
      <c r="B13" s="60" t="inlineStr">
        <is>
          <t>приобретение сырья, материалов и вспомогательных материалов</t>
        </is>
      </c>
      <c r="C13" s="325" t="inlineStr">
        <is>
          <t>Х</t>
        </is>
      </c>
      <c r="D13" s="325" t="inlineStr">
        <is>
          <t>-</t>
        </is>
      </c>
      <c r="E13" s="325" t="inlineStr">
        <is>
          <t>Х</t>
        </is>
      </c>
      <c r="F13" s="325" t="inlineStr">
        <is>
          <t>-</t>
        </is>
      </c>
      <c r="G13" s="326" t="inlineStr">
        <is>
          <t>-</t>
        </is>
      </c>
      <c r="H13" s="145" t="n"/>
    </row>
    <row r="14" ht="15.75" customHeight="1" s="794">
      <c r="A14" s="152" t="inlineStr">
        <is>
          <t>0102</t>
        </is>
      </c>
      <c r="B14" s="60" t="inlineStr">
        <is>
          <t>приобретение полуфабрикатов</t>
        </is>
      </c>
      <c r="C14" s="325" t="inlineStr">
        <is>
          <t>Х</t>
        </is>
      </c>
      <c r="D14" s="325" t="inlineStr">
        <is>
          <t>-</t>
        </is>
      </c>
      <c r="E14" s="325" t="inlineStr">
        <is>
          <t>Х</t>
        </is>
      </c>
      <c r="F14" s="325" t="inlineStr">
        <is>
          <t>-</t>
        </is>
      </c>
      <c r="G14" s="326" t="inlineStr">
        <is>
          <t>-</t>
        </is>
      </c>
      <c r="H14" s="145" t="n"/>
    </row>
    <row r="15" ht="21" customHeight="1" s="794">
      <c r="A15" s="152" t="inlineStr">
        <is>
          <t>0103</t>
        </is>
      </c>
      <c r="B15" s="60" t="inlineStr">
        <is>
          <t>возвратные отходы</t>
        </is>
      </c>
      <c r="C15" s="325" t="inlineStr">
        <is>
          <t>-</t>
        </is>
      </c>
      <c r="D15" s="325" t="inlineStr">
        <is>
          <t>-</t>
        </is>
      </c>
      <c r="E15" s="325" t="inlineStr">
        <is>
          <t>-</t>
        </is>
      </c>
      <c r="F15" s="325" t="inlineStr">
        <is>
          <t>-</t>
        </is>
      </c>
      <c r="G15" s="326" t="inlineStr">
        <is>
          <t>-</t>
        </is>
      </c>
      <c r="H15" s="145" t="n"/>
    </row>
    <row r="16" ht="22.15" customHeight="1" s="794">
      <c r="A16" s="152" t="inlineStr">
        <is>
          <t>0104</t>
        </is>
      </c>
      <c r="B16" s="60" t="inlineStr">
        <is>
          <t>приобретение комплектующих изделий</t>
        </is>
      </c>
      <c r="C16" s="325" t="inlineStr">
        <is>
          <t>Х</t>
        </is>
      </c>
      <c r="D16" s="325" t="inlineStr">
        <is>
          <t>-</t>
        </is>
      </c>
      <c r="E16" s="325" t="inlineStr">
        <is>
          <t>Х</t>
        </is>
      </c>
      <c r="F16" s="325" t="inlineStr">
        <is>
          <t>-</t>
        </is>
      </c>
      <c r="G16" s="326" t="inlineStr">
        <is>
          <t>-</t>
        </is>
      </c>
      <c r="H16" s="145" t="n"/>
    </row>
    <row r="17" ht="44.25" customHeight="1" s="794">
      <c r="A17" s="152" t="inlineStr">
        <is>
          <t>0105</t>
        </is>
      </c>
      <c r="B17" s="60" t="inlineStr">
        <is>
          <t>оплата работ и услуг сторонних организаций производственного характера</t>
        </is>
      </c>
      <c r="C17" s="325" t="inlineStr">
        <is>
          <t>Х</t>
        </is>
      </c>
      <c r="D17" s="325" t="inlineStr">
        <is>
          <t>-</t>
        </is>
      </c>
      <c r="E17" s="325" t="inlineStr">
        <is>
          <t>Х</t>
        </is>
      </c>
      <c r="F17" s="325" t="inlineStr">
        <is>
          <t>-</t>
        </is>
      </c>
      <c r="G17" s="326" t="inlineStr">
        <is>
          <t>-</t>
        </is>
      </c>
      <c r="H17" s="145" t="n"/>
    </row>
    <row r="18" ht="14.25" customHeight="1" s="794">
      <c r="A18" s="152" t="inlineStr">
        <is>
          <t>0106</t>
        </is>
      </c>
      <c r="B18" s="60" t="inlineStr">
        <is>
          <t>транспортно-заготовительные затраты</t>
        </is>
      </c>
      <c r="C18" s="325" t="inlineStr">
        <is>
          <t>-</t>
        </is>
      </c>
      <c r="D18" s="325" t="inlineStr">
        <is>
          <t>-</t>
        </is>
      </c>
      <c r="E18" s="325" t="inlineStr">
        <is>
          <t>-</t>
        </is>
      </c>
      <c r="F18" s="325" t="inlineStr">
        <is>
          <t>-</t>
        </is>
      </c>
      <c r="G18" s="326" t="inlineStr">
        <is>
          <t>-</t>
        </is>
      </c>
      <c r="H18" s="188" t="n"/>
    </row>
    <row r="19" ht="15.75" customHeight="1" s="794">
      <c r="A19" s="152" t="inlineStr">
        <is>
          <t>0107</t>
        </is>
      </c>
      <c r="B19" s="60" t="inlineStr">
        <is>
          <t>топливо на технологические цели</t>
        </is>
      </c>
      <c r="C19" s="325" t="inlineStr">
        <is>
          <t>-</t>
        </is>
      </c>
      <c r="D19" s="325" t="inlineStr">
        <is>
          <t>-</t>
        </is>
      </c>
      <c r="E19" s="325" t="inlineStr">
        <is>
          <t>-</t>
        </is>
      </c>
      <c r="F19" s="325" t="inlineStr">
        <is>
          <t>-</t>
        </is>
      </c>
      <c r="G19" s="326" t="inlineStr">
        <is>
          <t>-</t>
        </is>
      </c>
      <c r="H19" s="145" t="n"/>
    </row>
    <row r="20" ht="14.45" customHeight="1" s="794">
      <c r="A20" s="152" t="inlineStr">
        <is>
          <t>0108</t>
        </is>
      </c>
      <c r="B20" s="60" t="inlineStr">
        <is>
          <t>энергия на технологические цели</t>
        </is>
      </c>
      <c r="C20" s="325" t="inlineStr">
        <is>
          <t>-</t>
        </is>
      </c>
      <c r="D20" s="325" t="inlineStr">
        <is>
          <t>-</t>
        </is>
      </c>
      <c r="E20" s="325" t="inlineStr">
        <is>
          <t>-</t>
        </is>
      </c>
      <c r="F20" s="325" t="inlineStr">
        <is>
          <t>-</t>
        </is>
      </c>
      <c r="G20" s="326" t="inlineStr">
        <is>
          <t>-</t>
        </is>
      </c>
      <c r="H20" s="145" t="n"/>
    </row>
    <row r="21" ht="19.5" customHeight="1" s="794">
      <c r="A21" s="152" t="inlineStr">
        <is>
          <t>0109</t>
        </is>
      </c>
      <c r="B21" s="60" t="inlineStr">
        <is>
          <t>тара и упаковка</t>
        </is>
      </c>
      <c r="C21" s="325" t="inlineStr">
        <is>
          <t>-</t>
        </is>
      </c>
      <c r="D21" s="325" t="inlineStr">
        <is>
          <t>-</t>
        </is>
      </c>
      <c r="E21" s="325" t="inlineStr">
        <is>
          <t>-</t>
        </is>
      </c>
      <c r="F21" s="327" t="inlineStr">
        <is>
          <t>-</t>
        </is>
      </c>
      <c r="G21" s="326" t="inlineStr">
        <is>
          <t>-</t>
        </is>
      </c>
      <c r="H21" s="145" t="n"/>
    </row>
    <row r="22" ht="30" customHeight="1" s="794">
      <c r="A22" s="152" t="inlineStr">
        <is>
          <t>0110</t>
        </is>
      </c>
      <c r="B22" s="60" t="inlineStr">
        <is>
          <t>затраты на изделия собственного производства</t>
        </is>
      </c>
      <c r="C22" s="325" t="inlineStr">
        <is>
          <t>-</t>
        </is>
      </c>
      <c r="D22" s="325" t="inlineStr">
        <is>
          <t>-</t>
        </is>
      </c>
      <c r="E22" s="325" t="inlineStr">
        <is>
          <t>-</t>
        </is>
      </c>
      <c r="F22" s="325" t="inlineStr">
        <is>
          <t>-</t>
        </is>
      </c>
      <c r="G22" s="326" t="inlineStr">
        <is>
          <t>-</t>
        </is>
      </c>
      <c r="H22" s="145" t="n"/>
    </row>
    <row r="23" ht="19.5" customHeight="1" s="794">
      <c r="A23" s="152" t="inlineStr">
        <is>
          <t>0200</t>
        </is>
      </c>
      <c r="B23" s="60" t="inlineStr">
        <is>
          <t>Затраты на оплату труда - всего:</t>
        </is>
      </c>
      <c r="C23" s="328">
        <f>C25+C26</f>
        <v/>
      </c>
      <c r="D23" s="325" t="inlineStr">
        <is>
          <t>Х</t>
        </is>
      </c>
      <c r="E23" s="329" t="n">
        <v>0</v>
      </c>
      <c r="F23" s="325" t="inlineStr">
        <is>
          <t>Х</t>
        </is>
      </c>
      <c r="G23" s="330">
        <f>G25+G26</f>
        <v/>
      </c>
      <c r="H23" s="145" t="n"/>
    </row>
    <row r="24" ht="13.5" customHeight="1" s="794">
      <c r="A24" s="153" t="n"/>
      <c r="B24" s="60" t="inlineStr">
        <is>
          <t>в том числе:</t>
        </is>
      </c>
      <c r="C24" s="325" t="n"/>
      <c r="D24" s="325" t="n"/>
      <c r="E24" s="325" t="n"/>
      <c r="F24" s="325" t="n"/>
      <c r="G24" s="326" t="n"/>
      <c r="H24" s="145" t="n"/>
    </row>
    <row r="25" ht="17.25" customHeight="1" s="794">
      <c r="A25" s="152" t="inlineStr">
        <is>
          <t>0201</t>
        </is>
      </c>
      <c r="B25" s="60" t="inlineStr">
        <is>
          <t>основная заработная плата</t>
        </is>
      </c>
      <c r="C25" s="1451">
        <f>'2д план кальк (2)'!I34</f>
        <v/>
      </c>
      <c r="D25" s="325" t="inlineStr">
        <is>
          <t>Х</t>
        </is>
      </c>
      <c r="E25" s="329">
        <f>E23</f>
        <v/>
      </c>
      <c r="F25" s="325" t="inlineStr">
        <is>
          <t>Х</t>
        </is>
      </c>
      <c r="G25" s="1452">
        <f>ROUNDUP(C25*E25/100,2)</f>
        <v/>
      </c>
      <c r="H25" s="145" t="n"/>
    </row>
    <row r="26" ht="16.5" customHeight="1" s="794">
      <c r="A26" s="152" t="inlineStr">
        <is>
          <t>0202</t>
        </is>
      </c>
      <c r="B26" s="60" t="inlineStr">
        <is>
          <t>дополнительная заработная плата</t>
        </is>
      </c>
      <c r="C26" s="1451">
        <f>'2д план кальк (2)'!I35</f>
        <v/>
      </c>
      <c r="D26" s="325" t="inlineStr">
        <is>
          <t>Х</t>
        </is>
      </c>
      <c r="E26" s="329">
        <f>E23</f>
        <v/>
      </c>
      <c r="F26" s="325" t="inlineStr">
        <is>
          <t>Х</t>
        </is>
      </c>
      <c r="G26" s="1452">
        <f>ROUND(C26*E26/100,2)</f>
        <v/>
      </c>
      <c r="H26" s="145" t="n"/>
    </row>
    <row r="27" ht="34.5" customHeight="1" s="794">
      <c r="A27" s="152" t="inlineStr">
        <is>
          <t>0300</t>
        </is>
      </c>
      <c r="B27" s="60" t="inlineStr">
        <is>
          <t>Страховые взносы на обязательное социальное страхование</t>
        </is>
      </c>
      <c r="C27" s="1451">
        <f>'2д план кальк (2)'!I36</f>
        <v/>
      </c>
      <c r="D27" s="325" t="inlineStr">
        <is>
          <t>Х</t>
        </is>
      </c>
      <c r="E27" s="329">
        <f>E23</f>
        <v/>
      </c>
      <c r="F27" s="325" t="inlineStr">
        <is>
          <t>Х</t>
        </is>
      </c>
      <c r="G27" s="1452">
        <f>ROUND(C27*E27/100,2)</f>
        <v/>
      </c>
      <c r="H27" s="145" t="n"/>
    </row>
    <row r="28" ht="30" customHeight="1" s="794">
      <c r="A28" s="152" t="inlineStr">
        <is>
          <t>0400</t>
        </is>
      </c>
      <c r="B28" s="60" t="inlineStr">
        <is>
          <t>Затраты на подготовку и освоение производства - всего:</t>
        </is>
      </c>
      <c r="C28" s="1451" t="inlineStr">
        <is>
          <t>-</t>
        </is>
      </c>
      <c r="D28" s="325" t="inlineStr">
        <is>
          <t>-</t>
        </is>
      </c>
      <c r="E28" s="329" t="inlineStr">
        <is>
          <t>-</t>
        </is>
      </c>
      <c r="F28" s="325" t="inlineStr">
        <is>
          <t>-</t>
        </is>
      </c>
      <c r="G28" s="1452" t="inlineStr">
        <is>
          <t>-</t>
        </is>
      </c>
      <c r="H28" s="145" t="n"/>
    </row>
    <row r="29" ht="18.75" customHeight="1" s="794">
      <c r="A29" s="153" t="n"/>
      <c r="B29" s="60" t="inlineStr">
        <is>
          <t>в том числе:</t>
        </is>
      </c>
      <c r="C29" s="1451" t="n"/>
      <c r="D29" s="325" t="n"/>
      <c r="E29" s="329" t="n"/>
      <c r="F29" s="325" t="n"/>
      <c r="G29" s="1452" t="n"/>
      <c r="H29" s="145" t="n"/>
    </row>
    <row r="30" ht="15.75" customHeight="1" s="794">
      <c r="A30" s="152" t="inlineStr">
        <is>
          <t>0401</t>
        </is>
      </c>
      <c r="B30" s="60" t="inlineStr">
        <is>
          <t>пусковые затраты</t>
        </is>
      </c>
      <c r="C30" s="1451" t="inlineStr">
        <is>
          <t>-</t>
        </is>
      </c>
      <c r="D30" s="325" t="inlineStr">
        <is>
          <t>-</t>
        </is>
      </c>
      <c r="E30" s="329" t="inlineStr">
        <is>
          <t>-</t>
        </is>
      </c>
      <c r="F30" s="325" t="inlineStr">
        <is>
          <t>-</t>
        </is>
      </c>
      <c r="G30" s="1452" t="inlineStr">
        <is>
          <t>-</t>
        </is>
      </c>
      <c r="H30" s="145" t="n"/>
    </row>
    <row r="31" ht="30" customHeight="1" s="794">
      <c r="A31" s="152" t="inlineStr">
        <is>
          <t>0402</t>
        </is>
      </c>
      <c r="B31" s="60" t="inlineStr">
        <is>
          <t>затраты на подготовку и освоение новых видов продукции</t>
        </is>
      </c>
      <c r="C31" s="1451" t="inlineStr">
        <is>
          <t>-</t>
        </is>
      </c>
      <c r="D31" s="325" t="inlineStr">
        <is>
          <t>-</t>
        </is>
      </c>
      <c r="E31" s="329" t="inlineStr">
        <is>
          <t>-</t>
        </is>
      </c>
      <c r="F31" s="325" t="inlineStr">
        <is>
          <t>-</t>
        </is>
      </c>
      <c r="G31" s="1452" t="inlineStr">
        <is>
          <t>-</t>
        </is>
      </c>
      <c r="H31" s="145" t="n"/>
    </row>
    <row r="32" ht="30" customHeight="1" s="794">
      <c r="A32" s="152" t="inlineStr">
        <is>
          <t>0500</t>
        </is>
      </c>
      <c r="B32" s="60" t="inlineStr">
        <is>
          <t>Затраты на специальную технологическую оснастку</t>
        </is>
      </c>
      <c r="C32" s="1453" t="inlineStr">
        <is>
          <t>-</t>
        </is>
      </c>
      <c r="D32" s="325" t="inlineStr">
        <is>
          <t>-</t>
        </is>
      </c>
      <c r="E32" s="329" t="inlineStr">
        <is>
          <t>-</t>
        </is>
      </c>
      <c r="F32" s="325" t="inlineStr">
        <is>
          <t>-</t>
        </is>
      </c>
      <c r="G32" s="1452" t="inlineStr">
        <is>
          <t>-</t>
        </is>
      </c>
      <c r="H32" s="145" t="n"/>
    </row>
    <row r="33" ht="35.25" customHeight="1" s="794">
      <c r="A33" s="152" t="inlineStr">
        <is>
          <t>0600</t>
        </is>
      </c>
      <c r="B33" s="60" t="inlineStr">
        <is>
          <t>Затраты на специальное оборудование для научных (экспериментальных) работ</t>
        </is>
      </c>
      <c r="C33" s="1451" t="inlineStr">
        <is>
          <t>-</t>
        </is>
      </c>
      <c r="D33" s="325" t="inlineStr">
        <is>
          <t>-</t>
        </is>
      </c>
      <c r="E33" s="329" t="inlineStr">
        <is>
          <t>-</t>
        </is>
      </c>
      <c r="F33" s="325" t="inlineStr">
        <is>
          <t>-</t>
        </is>
      </c>
      <c r="G33" s="1452" t="inlineStr">
        <is>
          <t>-</t>
        </is>
      </c>
      <c r="H33" s="145" t="n"/>
    </row>
    <row r="34" ht="18" customHeight="1" s="794">
      <c r="A34" s="152" t="inlineStr">
        <is>
          <t>0700</t>
        </is>
      </c>
      <c r="B34" s="60" t="inlineStr">
        <is>
          <t>Специальные затраты</t>
        </is>
      </c>
      <c r="C34" s="1451" t="inlineStr">
        <is>
          <t>-</t>
        </is>
      </c>
      <c r="D34" s="325" t="inlineStr">
        <is>
          <t>-</t>
        </is>
      </c>
      <c r="E34" s="329" t="inlineStr">
        <is>
          <t>-</t>
        </is>
      </c>
      <c r="F34" s="327" t="inlineStr">
        <is>
          <t>-</t>
        </is>
      </c>
      <c r="G34" s="1452" t="inlineStr">
        <is>
          <t>-</t>
        </is>
      </c>
      <c r="H34" s="145" t="n"/>
    </row>
    <row r="35" ht="19.9" customHeight="1" s="794">
      <c r="A35" s="152" t="inlineStr">
        <is>
          <t>0800</t>
        </is>
      </c>
      <c r="B35" s="60" t="inlineStr">
        <is>
          <t>Общепроизводственные затраты</t>
        </is>
      </c>
      <c r="C35" s="1451" t="inlineStr">
        <is>
          <t>-</t>
        </is>
      </c>
      <c r="D35" s="325" t="inlineStr">
        <is>
          <t>Х</t>
        </is>
      </c>
      <c r="E35" s="329" t="inlineStr">
        <is>
          <t>-</t>
        </is>
      </c>
      <c r="F35" s="325" t="inlineStr">
        <is>
          <t>Х</t>
        </is>
      </c>
      <c r="G35" s="1452" t="inlineStr">
        <is>
          <t>-</t>
        </is>
      </c>
      <c r="H35" s="145" t="n"/>
    </row>
    <row r="36" ht="20.45" customHeight="1" s="794">
      <c r="A36" s="152" t="inlineStr">
        <is>
          <t>0900</t>
        </is>
      </c>
      <c r="B36" s="60" t="inlineStr">
        <is>
          <t>Общехозяйственные затраты</t>
        </is>
      </c>
      <c r="C36" s="1451">
        <f>'2д план кальк (2)'!I45</f>
        <v/>
      </c>
      <c r="D36" s="325" t="inlineStr">
        <is>
          <t>Х</t>
        </is>
      </c>
      <c r="E36" s="329">
        <f>E23</f>
        <v/>
      </c>
      <c r="F36" s="325" t="inlineStr">
        <is>
          <t>Х</t>
        </is>
      </c>
      <c r="G36" s="1452">
        <f>ROUNDUP(C36*E36/100,2)</f>
        <v/>
      </c>
      <c r="H36" s="145" t="n"/>
    </row>
    <row r="37" ht="16.5" customHeight="1" s="794">
      <c r="A37" s="152" t="n">
        <v>1000</v>
      </c>
      <c r="B37" s="60" t="inlineStr">
        <is>
          <t>Затраты на командировки</t>
        </is>
      </c>
      <c r="C37" s="325" t="inlineStr">
        <is>
          <t>-</t>
        </is>
      </c>
      <c r="D37" s="325" t="inlineStr">
        <is>
          <t>Х</t>
        </is>
      </c>
      <c r="E37" s="325" t="inlineStr">
        <is>
          <t>-</t>
        </is>
      </c>
      <c r="F37" s="325" t="inlineStr">
        <is>
          <t>Х</t>
        </is>
      </c>
      <c r="G37" s="326" t="inlineStr">
        <is>
          <t>-</t>
        </is>
      </c>
      <c r="H37" s="145" t="n"/>
    </row>
    <row r="38" ht="15.75" customHeight="1" s="794">
      <c r="A38" s="152" t="n">
        <v>1100</v>
      </c>
      <c r="B38" s="60" t="inlineStr">
        <is>
          <t>Прочие прямые затраты</t>
        </is>
      </c>
      <c r="C38" s="325" t="inlineStr">
        <is>
          <t>-</t>
        </is>
      </c>
      <c r="D38" s="325" t="inlineStr">
        <is>
          <t>-</t>
        </is>
      </c>
      <c r="E38" s="325" t="inlineStr">
        <is>
          <t>-</t>
        </is>
      </c>
      <c r="F38" s="325" t="inlineStr">
        <is>
          <t>-</t>
        </is>
      </c>
      <c r="G38" s="326" t="inlineStr">
        <is>
          <t>-</t>
        </is>
      </c>
      <c r="H38" s="145" t="n"/>
    </row>
    <row r="39" ht="44.25" customHeight="1" s="794">
      <c r="A39" s="152" t="n">
        <v>1200</v>
      </c>
      <c r="B39" s="60" t="inlineStr">
        <is>
          <t>Затраты по работам (услугам), выполняемым (оказываемым) сторонними организациями</t>
        </is>
      </c>
      <c r="C39" s="325" t="inlineStr">
        <is>
          <t>Х</t>
        </is>
      </c>
      <c r="D39" s="325" t="inlineStr">
        <is>
          <t>-</t>
        </is>
      </c>
      <c r="E39" s="325" t="inlineStr">
        <is>
          <t>Х</t>
        </is>
      </c>
      <c r="F39" s="325" t="inlineStr">
        <is>
          <t>-</t>
        </is>
      </c>
      <c r="G39" s="326" t="inlineStr">
        <is>
          <t>-</t>
        </is>
      </c>
      <c r="H39" s="145" t="n"/>
    </row>
    <row r="40" ht="30.6" customHeight="1" s="794">
      <c r="A40" s="152" t="n">
        <v>1400</v>
      </c>
      <c r="B40" s="60" t="inlineStr">
        <is>
          <t>Коммерческие (внепроизводственные) затраты</t>
        </is>
      </c>
      <c r="C40" s="325" t="inlineStr">
        <is>
          <t>-</t>
        </is>
      </c>
      <c r="D40" s="325" t="inlineStr">
        <is>
          <t>-</t>
        </is>
      </c>
      <c r="E40" s="325" t="inlineStr">
        <is>
          <t>-</t>
        </is>
      </c>
      <c r="F40" s="325" t="inlineStr">
        <is>
          <t>-</t>
        </is>
      </c>
      <c r="G40" s="326" t="inlineStr">
        <is>
          <t>-</t>
        </is>
      </c>
      <c r="H40" s="145" t="n"/>
    </row>
    <row r="41" ht="15.75" customHeight="1" s="794">
      <c r="A41" s="152" t="n">
        <v>1500</v>
      </c>
      <c r="B41" s="60" t="inlineStr">
        <is>
          <t>Проценты по кредитам</t>
        </is>
      </c>
      <c r="C41" s="325" t="inlineStr">
        <is>
          <t>Х</t>
        </is>
      </c>
      <c r="D41" s="325" t="inlineStr">
        <is>
          <t>Х</t>
        </is>
      </c>
      <c r="E41" s="325" t="inlineStr">
        <is>
          <t>Х</t>
        </is>
      </c>
      <c r="F41" s="325" t="inlineStr">
        <is>
          <t>Х</t>
        </is>
      </c>
      <c r="G41" s="326" t="inlineStr">
        <is>
          <t>-</t>
        </is>
      </c>
      <c r="H41" s="145" t="n"/>
    </row>
    <row r="42" ht="30" customHeight="1" s="794">
      <c r="A42" s="152" t="n">
        <v>1600</v>
      </c>
      <c r="B42" s="60" t="inlineStr">
        <is>
          <t>Административно-управленческие расходы</t>
        </is>
      </c>
      <c r="C42" s="325" t="inlineStr">
        <is>
          <t>-</t>
        </is>
      </c>
      <c r="D42" s="325" t="inlineStr">
        <is>
          <t>Х</t>
        </is>
      </c>
      <c r="E42" s="325" t="inlineStr">
        <is>
          <t>-</t>
        </is>
      </c>
      <c r="F42" s="325" t="inlineStr">
        <is>
          <t>Х</t>
        </is>
      </c>
      <c r="G42" s="326" t="inlineStr">
        <is>
          <t>-</t>
        </is>
      </c>
      <c r="H42" s="145" t="n"/>
    </row>
    <row r="43" ht="15.75" customHeight="1" s="794">
      <c r="A43" s="1454" t="inlineStr">
        <is>
          <t>ИТОГО</t>
        </is>
      </c>
      <c r="B43" s="1410" t="n"/>
      <c r="C43" s="337">
        <f>C23+C27+C36</f>
        <v/>
      </c>
      <c r="D43" s="338" t="inlineStr">
        <is>
          <t>-</t>
        </is>
      </c>
      <c r="E43" s="339" t="inlineStr">
        <is>
          <t>Х</t>
        </is>
      </c>
      <c r="F43" s="339" t="inlineStr">
        <is>
          <t>Х</t>
        </is>
      </c>
      <c r="G43" s="337">
        <f>G23+G27+G36</f>
        <v/>
      </c>
      <c r="H43" s="145" t="n"/>
    </row>
    <row r="44" ht="15" customHeight="1" s="794">
      <c r="A44" s="154" t="n"/>
      <c r="B44" s="155" t="n"/>
      <c r="C44" s="156" t="n"/>
      <c r="D44" s="780" t="n"/>
      <c r="E44" s="157" t="n"/>
      <c r="F44" s="387" t="n"/>
      <c r="G44" s="387" t="n"/>
      <c r="H44" s="145" t="n"/>
    </row>
    <row r="45" ht="15" customHeight="1" s="794">
      <c r="A45" s="158" t="n"/>
      <c r="B45" s="1008" t="n"/>
      <c r="C45" s="1409" t="n"/>
      <c r="D45" s="1008" t="n"/>
      <c r="E45" s="1409" t="n"/>
      <c r="F45" s="1409" t="n"/>
      <c r="G45" s="159" t="inlineStr">
        <is>
          <t>Таблица 2</t>
        </is>
      </c>
      <c r="H45" s="160" t="n"/>
    </row>
    <row r="46" ht="31.5" customHeight="1" s="794">
      <c r="A46" s="334" t="inlineStr">
        <is>
          <t>№ п/п</t>
        </is>
      </c>
      <c r="B46" s="992" t="inlineStr">
        <is>
          <t>Мероприятия по распределению (направлению) прибыли</t>
        </is>
      </c>
      <c r="C46" s="1412" t="n"/>
      <c r="D46" s="1410" t="n"/>
      <c r="E46" s="992" t="inlineStr">
        <is>
          <t>Величина прибыли (руб.)</t>
        </is>
      </c>
      <c r="F46" s="1410" t="n"/>
      <c r="G46" s="992" t="inlineStr">
        <is>
          <t>Доля от общей массы прибыли (%)</t>
        </is>
      </c>
      <c r="H46" s="145" t="n"/>
    </row>
    <row r="47" ht="15.75" customHeight="1" s="794">
      <c r="A47" s="334" t="inlineStr">
        <is>
          <t>1</t>
        </is>
      </c>
      <c r="B47" s="992" t="n">
        <v>2</v>
      </c>
      <c r="C47" s="1412" t="n"/>
      <c r="D47" s="1410" t="n"/>
      <c r="E47" s="992" t="n">
        <v>3</v>
      </c>
      <c r="F47" s="1410" t="n"/>
      <c r="G47" s="992" t="n">
        <v>4</v>
      </c>
      <c r="H47" s="145" t="n"/>
    </row>
    <row r="48" ht="15.75" customHeight="1" s="794">
      <c r="A48" s="334" t="inlineStr">
        <is>
          <t>1.</t>
        </is>
      </c>
      <c r="B48" s="992" t="inlineStr">
        <is>
          <t>Налог на прибыль</t>
        </is>
      </c>
      <c r="C48" s="1412" t="n"/>
      <c r="D48" s="1410" t="n"/>
      <c r="E48" s="1455">
        <f>ROUND(G43*0.25,2)</f>
        <v/>
      </c>
      <c r="F48" s="1410" t="n"/>
      <c r="G48" s="808" t="n">
        <v>25</v>
      </c>
      <c r="H48" s="145" t="n"/>
    </row>
    <row r="49" ht="15.75" customHeight="1" s="794">
      <c r="A49" s="334" t="inlineStr">
        <is>
          <t>2.</t>
        </is>
      </c>
      <c r="B49" s="992" t="inlineStr">
        <is>
          <t>Развитие производства</t>
        </is>
      </c>
      <c r="C49" s="1412" t="n"/>
      <c r="D49" s="1410" t="n"/>
      <c r="E49" s="1455">
        <f>ROUND(G43*0.75,2)</f>
        <v/>
      </c>
      <c r="F49" s="1410" t="n"/>
      <c r="G49" s="808" t="n">
        <v>75</v>
      </c>
      <c r="H49" s="145" t="n"/>
    </row>
    <row r="50" ht="15.75" customHeight="1" s="794">
      <c r="A50" s="994" t="inlineStr">
        <is>
          <t>ИТОГО</t>
        </is>
      </c>
      <c r="B50" s="1412" t="n"/>
      <c r="C50" s="1412" t="n"/>
      <c r="D50" s="1410" t="n"/>
      <c r="E50" s="995">
        <f>E49+E48</f>
        <v/>
      </c>
      <c r="F50" s="1410" t="n"/>
      <c r="G50" s="336">
        <f>G48+G49</f>
        <v/>
      </c>
      <c r="H50" s="145" t="n"/>
    </row>
    <row r="51" ht="32.25" customHeight="1" s="794">
      <c r="A51" s="161" t="n"/>
      <c r="B51" s="162" t="n"/>
      <c r="C51" s="162" t="n"/>
      <c r="D51" s="162" t="n"/>
      <c r="E51" s="811" t="n"/>
      <c r="F51" s="162" t="n"/>
      <c r="G51" s="811" t="n"/>
      <c r="H51" s="162" t="n"/>
    </row>
    <row r="52" ht="26.25" customFormat="1" customHeight="1" s="201">
      <c r="A52" s="199" t="n"/>
      <c r="B52" s="991" t="inlineStr">
        <is>
          <t>Начальник ОФЭиАУ НИОКР</t>
        </is>
      </c>
      <c r="D52" s="200" t="n"/>
      <c r="E52" s="991" t="inlineStr">
        <is>
          <t>Руководитель договора</t>
        </is>
      </c>
      <c r="G52" s="94" t="n"/>
      <c r="H52" s="200" t="n"/>
    </row>
    <row r="53" ht="42.75" customFormat="1" customHeight="1" s="201">
      <c r="A53" s="199" t="n"/>
      <c r="B53" s="95" t="inlineStr">
        <is>
          <t>_____________________ Н.О. Васецкая</t>
        </is>
      </c>
      <c r="C53" s="200" t="n"/>
      <c r="D53" s="200" t="n"/>
      <c r="E53" s="837" t="inlineStr">
        <is>
          <t>_____________________ А.И. Боровков</t>
        </is>
      </c>
      <c r="F53" s="96" t="n"/>
      <c r="G53" s="197" t="n"/>
      <c r="H53" s="94" t="n"/>
      <c r="I53" s="94" t="n"/>
    </row>
    <row r="54" ht="18" customHeight="1" s="794">
      <c r="A54" s="161" t="n"/>
      <c r="B54" s="63" t="inlineStr">
        <is>
          <t xml:space="preserve">  (подпись)                                                (Ф.И.О.)</t>
        </is>
      </c>
      <c r="C54" s="162" t="n"/>
      <c r="D54" s="162" t="n"/>
      <c r="E54" s="63" t="inlineStr">
        <is>
          <t xml:space="preserve">  (подпись)                                                        (Ф.И.О.)</t>
        </is>
      </c>
      <c r="F54" s="49" t="n"/>
      <c r="G54" s="22" t="n"/>
      <c r="H54" s="24" t="n"/>
      <c r="I54" s="24" t="n"/>
    </row>
    <row r="55" ht="28.5" customFormat="1" customHeight="1" s="201">
      <c r="A55" s="199" t="n"/>
      <c r="B55" s="837" t="inlineStr">
        <is>
          <t>«____» __________________ 2026 г.</t>
        </is>
      </c>
      <c r="C55" s="200" t="n"/>
      <c r="D55" s="200" t="n"/>
      <c r="E55" s="837" t="inlineStr">
        <is>
          <t>«____» __________________ 2026 г.</t>
        </is>
      </c>
      <c r="F55" s="95" t="n"/>
      <c r="G55" s="194" t="n"/>
      <c r="H55" s="200" t="n"/>
    </row>
    <row r="56" hidden="1" ht="26.45" customHeight="1" s="794">
      <c r="A56" s="163" t="inlineStr">
        <is>
          <t>Примечания:</t>
        </is>
      </c>
      <c r="B56" s="163" t="n"/>
      <c r="C56" s="162" t="n"/>
      <c r="D56" s="162" t="n"/>
      <c r="E56" s="162" t="n"/>
      <c r="F56" s="162" t="n"/>
      <c r="G56" s="162" t="n"/>
      <c r="H56" s="162" t="n"/>
    </row>
    <row r="57" hidden="1" ht="47.45" customHeight="1" s="794">
      <c r="A57" s="164" t="inlineStr">
        <is>
          <t>1В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57" s="164" t="n"/>
      <c r="C57" s="164" t="n"/>
      <c r="D57" s="164" t="n"/>
      <c r="E57" s="164" t="n"/>
      <c r="F57" s="164" t="n"/>
      <c r="G57" s="164" t="n"/>
      <c r="H57" s="162" t="n"/>
    </row>
    <row r="58" hidden="1" ht="15.6" customHeight="1" s="794">
      <c r="A58" s="164" t="inlineStr">
        <is>
          <t>2Заполняется для НИР (ОКР) (по каждому этапу (подэтапу), в отношении которых формируется стоимостной показатель).</t>
        </is>
      </c>
      <c r="B58" s="164" t="n"/>
      <c r="C58" s="164" t="n"/>
      <c r="D58" s="164" t="n"/>
      <c r="E58" s="164" t="n"/>
      <c r="F58" s="164" t="n"/>
      <c r="G58" s="164" t="n"/>
      <c r="H58" s="162" t="n"/>
    </row>
    <row r="59" hidden="1" ht="19.15" customHeight="1" s="794">
      <c r="A59" s="164" t="inlineStr">
        <is>
          <t>3Таблица 1 заполняется в отношении затрат (включающие собственные и привнесенные) относящихся на себестоимость продукции.</t>
        </is>
      </c>
      <c r="B59" s="164" t="n"/>
      <c r="C59" s="164" t="n"/>
      <c r="D59" s="164" t="n"/>
      <c r="E59" s="164" t="n"/>
      <c r="F59" s="164" t="n"/>
      <c r="G59" s="164" t="n"/>
      <c r="H59" s="162" t="n"/>
    </row>
    <row r="60" hidden="1" ht="28.15" customHeight="1" s="794">
      <c r="A60" s="164" t="inlineStr">
        <is>
          <t>4Таблица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is>
      </c>
      <c r="B60" s="164" t="n"/>
      <c r="C60" s="164" t="n"/>
      <c r="D60" s="164" t="n"/>
      <c r="E60" s="164" t="n"/>
      <c r="F60" s="164" t="n"/>
      <c r="G60" s="164" t="n"/>
      <c r="H60" s="162" t="n"/>
    </row>
    <row r="61" hidden="1" ht="12.75" customHeight="1" s="794">
      <c r="A61" s="165" t="inlineStr">
        <is>
          <t>Используемые сокращения и их расшифровка:</t>
        </is>
      </c>
      <c r="B61" s="165" t="n"/>
      <c r="C61" s="165" t="n"/>
      <c r="D61" s="165" t="n"/>
      <c r="E61" s="165" t="n"/>
      <c r="F61" s="165" t="n"/>
      <c r="G61" s="165" t="n"/>
      <c r="H61" s="166" t="n"/>
    </row>
    <row r="62" hidden="1" ht="14.45" customHeight="1" s="794">
      <c r="A62" s="166" t="inlineStr">
        <is>
          <t>НИР (ОКР) – научно-исследовательская работа (опытно-конструкторская работа).</t>
        </is>
      </c>
      <c r="B62" s="166" t="n"/>
      <c r="C62" s="166" t="n"/>
      <c r="D62" s="166" t="n"/>
      <c r="E62" s="166" t="n"/>
      <c r="F62" s="166" t="n"/>
      <c r="G62" s="166" t="n"/>
      <c r="H62" s="167" t="n"/>
    </row>
    <row r="63">
      <c r="A63" s="166" t="n"/>
      <c r="B63" s="162" t="n"/>
      <c r="C63" s="162" t="n"/>
      <c r="D63" s="168" t="n"/>
      <c r="E63" s="168" t="n"/>
      <c r="H63" s="166" t="n"/>
    </row>
    <row r="64">
      <c r="A64" s="169" t="n"/>
      <c r="B64" s="999" t="n"/>
      <c r="C64" s="999" t="n"/>
      <c r="D64" s="999" t="n"/>
      <c r="E64" s="999" t="n"/>
      <c r="F64" s="999" t="n"/>
      <c r="G64" s="999" t="n"/>
    </row>
    <row r="65" ht="18.75" customHeight="1" s="794">
      <c r="A65" s="166" t="n"/>
      <c r="B65" s="999" t="n"/>
      <c r="C65" s="999" t="n"/>
      <c r="D65" s="999" t="n"/>
      <c r="E65" s="991" t="inlineStr">
        <is>
          <t>Ответственный исполнитель</t>
        </is>
      </c>
      <c r="H65" s="24" t="n"/>
      <c r="I65" s="24" t="n"/>
    </row>
    <row r="66" ht="40.5" customHeight="1" s="794">
      <c r="A66" s="167" t="n"/>
      <c r="B66" s="999" t="n"/>
      <c r="C66" s="999" t="n"/>
      <c r="D66" s="999" t="n"/>
      <c r="E66" s="837" t="inlineStr">
        <is>
          <t>_____________________ И.О. Фамилия</t>
        </is>
      </c>
      <c r="F66" s="96" t="n"/>
      <c r="G66" s="999" t="n"/>
      <c r="H66" s="30" t="n"/>
      <c r="I66" s="30" t="n"/>
    </row>
    <row r="67" ht="22.5" customHeight="1" s="794">
      <c r="A67" s="166" t="n"/>
      <c r="B67" s="999" t="n"/>
      <c r="C67" s="999" t="n"/>
      <c r="D67" s="999" t="n"/>
      <c r="E67" s="63" t="inlineStr">
        <is>
          <t xml:space="preserve">  (подпись)                                                        (Ф.И.О.)</t>
        </is>
      </c>
      <c r="F67" s="49" t="n"/>
      <c r="G67" s="999" t="n"/>
      <c r="H67" s="30" t="n"/>
      <c r="I67" s="30" t="n"/>
    </row>
    <row r="68" ht="18.75" customHeight="1" s="794">
      <c r="B68" s="999" t="n"/>
      <c r="C68" s="999" t="n"/>
      <c r="D68" s="999" t="n"/>
      <c r="E68" s="837" t="inlineStr">
        <is>
          <t>«____» __________________ 2026 г.</t>
        </is>
      </c>
      <c r="F68" s="95" t="n"/>
      <c r="G68" s="999" t="n"/>
      <c r="H68" s="24" t="n"/>
      <c r="I68" s="24" t="n"/>
    </row>
    <row r="69">
      <c r="B69" s="999" t="n"/>
      <c r="C69" s="999" t="n"/>
      <c r="D69" s="999" t="n"/>
      <c r="E69" s="999" t="n"/>
      <c r="F69" s="999" t="n"/>
      <c r="G69" s="999" t="n"/>
    </row>
    <row r="77">
      <c r="B77" s="999" t="n"/>
    </row>
  </sheetData>
  <mergeCells count="26">
    <mergeCell ref="E50:F50"/>
    <mergeCell ref="G8:G9"/>
    <mergeCell ref="B48:D48"/>
    <mergeCell ref="A4:G4"/>
    <mergeCell ref="E65:G65"/>
    <mergeCell ref="B8:B9"/>
    <mergeCell ref="E52:F52"/>
    <mergeCell ref="E48:F48"/>
    <mergeCell ref="E8:F8"/>
    <mergeCell ref="A6:B6"/>
    <mergeCell ref="B52:C52"/>
    <mergeCell ref="B49:D49"/>
    <mergeCell ref="A8:A9"/>
    <mergeCell ref="A1:G1"/>
    <mergeCell ref="E46:F46"/>
    <mergeCell ref="E49:F49"/>
    <mergeCell ref="B47:D47"/>
    <mergeCell ref="C8:D8"/>
    <mergeCell ref="A43:B43"/>
    <mergeCell ref="A50:D50"/>
    <mergeCell ref="A3:G3"/>
    <mergeCell ref="B46:D46"/>
    <mergeCell ref="B45:C45"/>
    <mergeCell ref="D45:F45"/>
    <mergeCell ref="E47:F47"/>
    <mergeCell ref="A5:G5"/>
  </mergeCells>
  <conditionalFormatting sqref="H65:I68">
    <cfRule type="duplicateValues" priority="1" dxfId="0"/>
  </conditionalFormatting>
  <printOptions horizontalCentered="1"/>
  <pageMargins left="0.7086614173228347" right="0.7086614173228347" top="0.7480314960629921" bottom="0.7480314960629921" header="0.3149606299212598" footer="0.3149606299212598"/>
  <pageSetup orientation="portrait" paperSize="9" scale="50" fitToHeight="2"/>
  <rowBreaks count="1" manualBreakCount="1">
    <brk id="69" min="0" max="6" man="1"/>
  </rowBreaks>
</worksheet>
</file>

<file path=xl/worksheets/sheet7.xml><?xml version="1.0" encoding="utf-8"?>
<worksheet xmlns="http://schemas.openxmlformats.org/spreadsheetml/2006/main">
  <sheetPr>
    <tabColor theme="9" tint="0.7999816888943144"/>
    <outlinePr summaryBelow="1" summaryRight="1"/>
    <pageSetUpPr/>
  </sheetPr>
  <dimension ref="A1:FI41"/>
  <sheetViews>
    <sheetView view="pageBreakPreview" topLeftCell="A7" zoomScaleNormal="100" zoomScaleSheetLayoutView="100" workbookViewId="0">
      <selection activeCell="D20" sqref="D20:D21"/>
    </sheetView>
  </sheetViews>
  <sheetFormatPr baseColWidth="8" defaultRowHeight="15"/>
  <cols>
    <col width="5" customWidth="1" style="794" min="1" max="1"/>
    <col width="68.85546875" customWidth="1" style="794" min="2" max="2"/>
    <col width="13.85546875" customWidth="1" style="793" min="3" max="3"/>
    <col width="15.5703125" customWidth="1" style="794" min="4" max="4"/>
    <col width="32.42578125" customWidth="1" style="59" min="5" max="5"/>
    <col width="13.7109375" customWidth="1" style="794" min="6" max="6"/>
  </cols>
  <sheetData>
    <row r="1">
      <c r="D1" s="1015" t="inlineStr">
        <is>
          <t>Форма № 22 (22д)</t>
        </is>
      </c>
    </row>
    <row r="2" ht="9.75" customHeight="1" s="794">
      <c r="D2" s="70" t="n"/>
    </row>
    <row r="3">
      <c r="A3" s="172" t="n"/>
      <c r="B3" s="172" t="n"/>
      <c r="D3" s="172" t="inlineStr">
        <is>
          <t>УТВЕРЖДАЮ</t>
        </is>
      </c>
    </row>
    <row r="4" ht="6.75" customHeight="1" s="794">
      <c r="A4" s="55" t="n"/>
      <c r="B4" s="57" t="n"/>
      <c r="C4" s="57" t="n"/>
      <c r="D4" s="45" t="n"/>
      <c r="E4" s="793" t="n"/>
    </row>
    <row r="5" ht="31.5" customHeight="1" s="794">
      <c r="A5" s="57" t="n"/>
      <c r="B5" s="57" t="n"/>
      <c r="D5" s="1016" t="inlineStr">
        <is>
          <t>Проректор по научной работе 
ФГАОУ ВО «СПбПУ»</t>
        </is>
      </c>
    </row>
    <row r="6" ht="36" customHeight="1" s="794">
      <c r="A6" s="173" t="n"/>
      <c r="B6" s="174" t="n"/>
      <c r="D6" s="426" t="inlineStr">
        <is>
          <t>__________________________   Ю.В. Фомин</t>
        </is>
      </c>
      <c r="E6" s="425" t="n"/>
    </row>
    <row r="7" ht="15.75" customFormat="1" customHeight="1" s="42">
      <c r="A7" s="226" t="n"/>
      <c r="B7" s="223" t="n"/>
      <c r="C7" s="378" t="n"/>
      <c r="D7" s="379" t="inlineStr">
        <is>
          <t xml:space="preserve">     (подпись)                                          (Ф.И.О.)</t>
        </is>
      </c>
      <c r="E7" s="380" t="n"/>
    </row>
    <row r="8" ht="16.5" customHeight="1" s="794">
      <c r="A8" s="55" t="n"/>
      <c r="B8" s="55" t="n"/>
      <c r="C8" s="267" t="n"/>
      <c r="D8" s="426" t="inlineStr">
        <is>
          <t>«____» __________________ 2025 г.</t>
        </is>
      </c>
    </row>
    <row r="9" ht="13.5" customHeight="1" s="794">
      <c r="A9" s="55" t="n"/>
      <c r="B9" s="55" t="n"/>
      <c r="C9" s="267" t="n"/>
      <c r="D9" s="426" t="n"/>
    </row>
    <row r="10" ht="34.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2025 год</t>
        </is>
      </c>
    </row>
    <row r="11" ht="15"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30" customHeight="1" s="794">
      <c r="A15" s="54" t="inlineStr">
        <is>
          <t>1.1</t>
        </is>
      </c>
      <c r="B15" s="180" t="inlineStr">
        <is>
          <t>среднемесячная заработная плата основных работников</t>
        </is>
      </c>
      <c r="C15" s="1212" t="inlineStr">
        <is>
          <t>руб.</t>
        </is>
      </c>
      <c r="D15" s="1456" t="n">
        <v>0</v>
      </c>
      <c r="E15" s="427" t="inlineStr">
        <is>
          <t>Письмо 550 ВП МО РФ № 115/550/238 от 05.05.2025г.</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0</v>
      </c>
      <c r="E16" s="1206" t="inlineStr">
        <is>
          <t>форма 10 (10д)</t>
        </is>
      </c>
    </row>
    <row r="17" ht="45"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45"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77"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32</v>
      </c>
      <c r="E22" s="433" t="inlineStr">
        <is>
          <t>Письмо 550 ВП МО РФ № 115/550/238 от 05.05.2025г.</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Format="1" customHeight="1" s="792">
      <c r="A27" s="1020" t="inlineStr">
        <is>
          <t>Начальник ОФЭАУ НИОКР ФГАОУ ВО «СПбПУ»</t>
        </is>
      </c>
      <c r="C27" s="403" t="inlineStr">
        <is>
          <t>_________________________    Н.О. Васецкая</t>
        </is>
      </c>
      <c r="D27" s="404" t="n"/>
      <c r="E27" s="421" t="n"/>
    </row>
    <row r="28" ht="15.75" customFormat="1" customHeight="1" s="42">
      <c r="C28" s="379" t="inlineStr">
        <is>
          <t xml:space="preserve">     (подпись)                                     (Ф.И.О.)</t>
        </is>
      </c>
      <c r="D28" s="380" t="n"/>
      <c r="E28" s="386" t="n"/>
    </row>
    <row r="29" ht="19.5" customFormat="1" customHeight="1" s="792">
      <c r="C29" s="792" t="inlineStr">
        <is>
          <t>«____» __________________ 2026 г.</t>
        </is>
      </c>
      <c r="D29" s="423" t="n"/>
      <c r="E29" s="423" t="n"/>
    </row>
    <row r="30" hidden="1" ht="72.59999999999999" customHeight="1" s="794">
      <c r="A30"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1" hidden="1" ht="80.25" customHeight="1" s="794">
      <c r="A31"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2" hidden="1" ht="15" customHeight="1" s="794">
      <c r="A32" s="1014" t="inlineStr">
        <is>
          <t xml:space="preserve">         3 С указанием наименования и реквизитов подтверждающих (обосновывающих) документов (при наличии).</t>
        </is>
      </c>
    </row>
    <row r="33" hidden="1" ht="15.75" customHeight="1" s="794">
      <c r="A33" s="1014" t="inlineStr">
        <is>
          <t xml:space="preserve">      4 Указывается используемая единица измерения трудоемкости: нормо-час / человеко-час / человеко-день / человеко-месяц.</t>
        </is>
      </c>
    </row>
    <row r="34" hidden="1" ht="54.75" customHeight="1" s="794">
      <c r="A34"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5" hidden="1" s="794">
      <c r="A35" s="952" t="inlineStr">
        <is>
          <t xml:space="preserve">          6 Указывается метод распределения затрат в соответствии с принятой на предприятии учетной политикой на соответствующий год.</t>
        </is>
      </c>
      <c r="F35" s="184" t="n"/>
      <c r="G35" s="184" t="n"/>
      <c r="H35" s="184" t="n"/>
      <c r="I35" s="184" t="n"/>
      <c r="J35" s="184" t="n"/>
      <c r="K35" s="184" t="n"/>
      <c r="L35" s="184" t="n"/>
      <c r="M35" s="184" t="n"/>
      <c r="N35" s="184" t="n"/>
      <c r="O35" s="184" t="n"/>
      <c r="P35" s="184" t="n"/>
      <c r="Q35" s="184" t="n"/>
      <c r="R35" s="184" t="n"/>
      <c r="S35" s="184" t="n"/>
      <c r="T35" s="184" t="n"/>
      <c r="U35" s="184" t="n"/>
      <c r="V35" s="184" t="n"/>
      <c r="W35" s="184" t="n"/>
      <c r="X35" s="184" t="n"/>
      <c r="Y35" s="184" t="n"/>
      <c r="Z35" s="184" t="n"/>
      <c r="AA35" s="184" t="n"/>
      <c r="AB35" s="184" t="n"/>
      <c r="AC35" s="184" t="n"/>
      <c r="AD35" s="184" t="n"/>
      <c r="AE35" s="184" t="n"/>
      <c r="AF35" s="184" t="n"/>
      <c r="AG35" s="184" t="n"/>
      <c r="AH35" s="184" t="n"/>
      <c r="AI35" s="184" t="n"/>
      <c r="AJ35" s="184" t="n"/>
      <c r="AK35" s="184" t="n"/>
      <c r="AL35" s="184" t="n"/>
      <c r="AM35" s="184" t="n"/>
      <c r="AN35" s="184" t="n"/>
      <c r="AO35" s="184" t="n"/>
      <c r="AP35" s="184" t="n"/>
      <c r="AQ35" s="184" t="n"/>
      <c r="AR35" s="184" t="n"/>
      <c r="AS35" s="184" t="n"/>
      <c r="AT35" s="184"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c r="BS35" s="184" t="n"/>
      <c r="BT35" s="184" t="n"/>
      <c r="BU35" s="184" t="n"/>
      <c r="BV35" s="184" t="n"/>
      <c r="BW35" s="184" t="n"/>
      <c r="BX35" s="184" t="n"/>
      <c r="BY35" s="184" t="n"/>
      <c r="BZ35" s="184" t="n"/>
      <c r="CA35" s="184" t="n"/>
      <c r="CB35" s="184" t="n"/>
      <c r="CC35" s="184" t="n"/>
      <c r="CD35" s="184" t="n"/>
      <c r="CE35" s="184" t="n"/>
      <c r="CF35" s="184" t="n"/>
      <c r="CG35" s="184" t="n"/>
      <c r="CH35" s="184" t="n"/>
      <c r="CI35" s="184" t="n"/>
      <c r="CJ35" s="184" t="n"/>
      <c r="CK35" s="184" t="n"/>
      <c r="CL35" s="184" t="n"/>
      <c r="CM35" s="184" t="n"/>
      <c r="CN35" s="184" t="n"/>
      <c r="CO35" s="184" t="n"/>
      <c r="CP35" s="184" t="n"/>
      <c r="CQ35" s="184" t="n"/>
      <c r="CR35" s="184" t="n"/>
      <c r="CS35" s="184" t="n"/>
      <c r="CT35" s="184" t="n"/>
      <c r="CU35" s="184" t="n"/>
      <c r="CV35" s="184" t="n"/>
      <c r="CW35" s="184" t="n"/>
      <c r="CX35" s="184" t="n"/>
      <c r="CY35" s="184" t="n"/>
      <c r="CZ35" s="184" t="n"/>
      <c r="DA35" s="184" t="n"/>
      <c r="DB35" s="184" t="n"/>
      <c r="DC35" s="184" t="n"/>
      <c r="DD35" s="184" t="n"/>
      <c r="DE35" s="184" t="n"/>
      <c r="DF35" s="184" t="n"/>
      <c r="DG35" s="184" t="n"/>
      <c r="DH35" s="184" t="n"/>
      <c r="DI35" s="184" t="n"/>
      <c r="DJ35" s="184" t="n"/>
      <c r="DK35" s="184" t="n"/>
      <c r="DL35" s="184" t="n"/>
      <c r="DM35" s="184" t="n"/>
      <c r="DN35" s="184" t="n"/>
      <c r="DO35" s="184" t="n"/>
      <c r="DP35" s="184" t="n"/>
      <c r="DQ35" s="184" t="n"/>
      <c r="DR35" s="184" t="n"/>
      <c r="DS35" s="184" t="n"/>
      <c r="DT35" s="184" t="n"/>
      <c r="DU35" s="184" t="n"/>
      <c r="DV35" s="184" t="n"/>
      <c r="DW35" s="184" t="n"/>
      <c r="DX35" s="184" t="n"/>
      <c r="DY35" s="184" t="n"/>
      <c r="DZ35" s="184" t="n"/>
      <c r="EA35" s="184" t="n"/>
      <c r="EB35" s="184" t="n"/>
      <c r="EC35" s="184" t="n"/>
      <c r="ED35" s="184" t="n"/>
      <c r="EE35" s="184" t="n"/>
      <c r="EF35" s="184" t="n"/>
      <c r="EG35" s="184" t="n"/>
      <c r="EH35" s="184" t="n"/>
      <c r="EI35" s="184" t="n"/>
      <c r="EJ35" s="184" t="n"/>
      <c r="EK35" s="184" t="n"/>
      <c r="EL35" s="184" t="n"/>
      <c r="EM35" s="184" t="n"/>
      <c r="EN35" s="184" t="n"/>
      <c r="EO35" s="184"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row>
    <row r="36" hidden="1" ht="12" customHeight="1" s="794">
      <c r="A36" s="42" t="n"/>
      <c r="B36" s="1014" t="n"/>
      <c r="C36" s="1014" t="n"/>
      <c r="D36" s="24" t="n"/>
      <c r="E36" s="969" t="n"/>
      <c r="F36" s="24" t="n"/>
      <c r="G36" s="24" t="n"/>
    </row>
    <row r="37" hidden="1" s="794">
      <c r="A37" s="1021" t="inlineStr">
        <is>
          <t>Используемые сокращения и их расшифровка:</t>
        </is>
      </c>
      <c r="F37" s="24" t="n"/>
      <c r="G37" s="24" t="n"/>
    </row>
    <row r="38" hidden="1" ht="33" customHeight="1" s="794">
      <c r="A38" s="42" t="n"/>
      <c r="B38" s="1014" t="inlineStr">
        <is>
          <t>ИТР – инженерно-технический работник;
НИР (ОКР) – научно-исследовательская работа (опытно-конструкторская работа).</t>
        </is>
      </c>
      <c r="E38" s="185" t="n"/>
      <c r="F38" s="24" t="n"/>
      <c r="G38" s="24" t="n"/>
    </row>
    <row r="39" hidden="1" ht="11.25" customHeight="1" s="794">
      <c r="B39" s="1014" t="n"/>
      <c r="C39" s="27" t="n"/>
      <c r="D39" s="24" t="n"/>
      <c r="E39" s="969" t="n"/>
      <c r="F39" s="24" t="n"/>
      <c r="G39" s="24" t="n"/>
    </row>
    <row r="40" hidden="1" s="794">
      <c r="B40" s="1014" t="n"/>
      <c r="C40" s="27" t="n"/>
      <c r="D40" s="24" t="n"/>
      <c r="E40" s="969" t="n"/>
      <c r="F40" s="24" t="n"/>
      <c r="G40" s="24" t="n"/>
    </row>
    <row r="41">
      <c r="E41" s="47" t="n"/>
      <c r="F41" s="18" t="n"/>
      <c r="G41" s="18" t="n"/>
    </row>
    <row r="59" ht="17.25" customHeight="1" s="794"/>
  </sheetData>
  <mergeCells count="13">
    <mergeCell ref="A30:E30"/>
    <mergeCell ref="A34:E34"/>
    <mergeCell ref="A35:E35"/>
    <mergeCell ref="F14:H14"/>
    <mergeCell ref="D1:E1"/>
    <mergeCell ref="A10:E10"/>
    <mergeCell ref="D5:E5"/>
    <mergeCell ref="A33:E33"/>
    <mergeCell ref="A37:E37"/>
    <mergeCell ref="A32:E32"/>
    <mergeCell ref="A31:E31"/>
    <mergeCell ref="A27:B27"/>
    <mergeCell ref="B38:D38"/>
  </mergeCells>
  <pageMargins left="0.3937007874015748" right="0.3149606299212598" top="0.7874015748031497" bottom="0.3937007874015748" header="0.1968503937007874" footer="0.1968503937007874"/>
  <pageSetup orientation="portrait" paperSize="9" scale="70" fitToHeight="0"/>
</worksheet>
</file>

<file path=xl/worksheets/sheet8.xml><?xml version="1.0" encoding="utf-8"?>
<worksheet xmlns="http://schemas.openxmlformats.org/spreadsheetml/2006/main">
  <sheetPr>
    <tabColor theme="9" tint="0.7999816888943144"/>
    <outlinePr summaryBelow="1" summaryRight="1"/>
    <pageSetUpPr/>
  </sheetPr>
  <dimension ref="A1:FI41"/>
  <sheetViews>
    <sheetView view="pageBreakPreview" zoomScale="70" zoomScaleNormal="100" zoomScaleSheetLayoutView="70" workbookViewId="0">
      <selection activeCell="D15" sqref="D15"/>
    </sheetView>
  </sheetViews>
  <sheetFormatPr baseColWidth="8" defaultRowHeight="15"/>
  <cols>
    <col width="5" customWidth="1" style="794" min="1" max="1"/>
    <col width="68.85546875" customWidth="1" style="794" min="2" max="2"/>
    <col width="13.42578125" customWidth="1" style="793" min="3" max="3"/>
    <col width="15.28515625" customWidth="1" style="794" min="4" max="4"/>
    <col width="46.85546875" customWidth="1" style="59" min="5" max="5"/>
    <col width="13.7109375" customWidth="1" style="794" min="6" max="6"/>
  </cols>
  <sheetData>
    <row r="1">
      <c r="D1" s="1015" t="inlineStr">
        <is>
          <t>Форма № 22 (22д)</t>
        </is>
      </c>
    </row>
    <row r="2" ht="9.75" customHeight="1" s="794">
      <c r="D2" s="70" t="n"/>
    </row>
    <row r="3">
      <c r="A3" s="172" t="n"/>
      <c r="B3" s="172" t="n"/>
      <c r="E3" s="172" t="inlineStr">
        <is>
          <t>УТВЕРЖДАЮ</t>
        </is>
      </c>
    </row>
    <row r="4" ht="6.75" customHeight="1" s="794">
      <c r="A4" s="55" t="n"/>
      <c r="B4" s="57" t="n"/>
      <c r="C4" s="57" t="n"/>
      <c r="D4" s="45" t="n"/>
      <c r="E4" s="793" t="n"/>
    </row>
    <row r="5" ht="31.5" customHeight="1" s="794">
      <c r="A5" s="57" t="n"/>
      <c r="B5" s="57" t="n"/>
      <c r="E5" s="243" t="inlineStr">
        <is>
          <t>Проректор по научной работе 
ФГАОУ ВО «СПбПУ»</t>
        </is>
      </c>
    </row>
    <row r="6" ht="30.75" customHeight="1" s="794">
      <c r="A6" s="173" t="n"/>
      <c r="B6" s="174" t="n"/>
      <c r="E6" s="426" t="inlineStr">
        <is>
          <t>__________________________   Ю.В. Фомин</t>
        </is>
      </c>
    </row>
    <row r="7" ht="14.25" customFormat="1" customHeight="1" s="42">
      <c r="A7" s="226" t="n"/>
      <c r="B7" s="223" t="n"/>
      <c r="C7" s="378" t="n"/>
      <c r="E7" s="379" t="inlineStr">
        <is>
          <t xml:space="preserve">     (подпись)                                          (Ф.И.О.)</t>
        </is>
      </c>
    </row>
    <row r="8" ht="16.5" customHeight="1" s="794">
      <c r="A8" s="55" t="n"/>
      <c r="B8" s="55" t="n"/>
      <c r="C8" s="267" t="n"/>
      <c r="E8" s="426" t="inlineStr">
        <is>
          <t>«____» __________________ 2026 г.</t>
        </is>
      </c>
    </row>
    <row r="9" ht="16.5" customHeight="1" s="794">
      <c r="A9" s="55" t="n"/>
      <c r="B9" s="55" t="n"/>
      <c r="C9" s="267" t="n"/>
      <c r="D9" s="55" t="n"/>
    </row>
    <row r="10" ht="33.7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2026 год</t>
        </is>
      </c>
    </row>
    <row r="11" ht="15"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63" customHeight="1" s="794">
      <c r="A15" s="54" t="inlineStr">
        <is>
          <t>1.1</t>
        </is>
      </c>
      <c r="B15" s="180" t="inlineStr">
        <is>
          <t>среднемесячная заработная плата основных работников</t>
        </is>
      </c>
      <c r="C15" s="1212" t="inlineStr">
        <is>
          <t>руб.</t>
        </is>
      </c>
      <c r="D15" s="1456" t="n">
        <v>112261</v>
      </c>
      <c r="E15" s="810" t="inlineStr">
        <is>
          <t>Письмо 550 ВП МО РФ № 115/550/231/1 от 25.05.2026г.</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8.6866</v>
      </c>
      <c r="E16" s="177" t="inlineStr">
        <is>
          <t>форма 10 (10д)</t>
        </is>
      </c>
    </row>
    <row r="17" ht="30"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30"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206"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0</v>
      </c>
      <c r="E22" s="810" t="inlineStr">
        <is>
          <t>Письмо 550 ВП МО РФ № 115/550/231/1 от 25.05.2026г.</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Format="1" customHeight="1" s="792">
      <c r="A27" s="1022" t="inlineStr">
        <is>
          <t>Начальник ОФЭАУ НИОКР ФГАОУ ВО «СПбПУ»</t>
        </is>
      </c>
      <c r="C27" s="792" t="inlineStr">
        <is>
          <t>_________________________    Н.О. Васецкая</t>
        </is>
      </c>
      <c r="D27" s="404" t="n"/>
      <c r="E27" s="421" t="n"/>
    </row>
    <row r="28" ht="15.75" customFormat="1" customHeight="1" s="42">
      <c r="C28" s="379" t="inlineStr">
        <is>
          <t xml:space="preserve">     (подпись)                                                                        (Ф.И.О.)</t>
        </is>
      </c>
      <c r="D28" s="380" t="n"/>
      <c r="E28" s="386" t="n"/>
    </row>
    <row r="29" ht="19.5" customFormat="1" customHeight="1" s="792">
      <c r="C29" s="792" t="inlineStr">
        <is>
          <t>«____» __________________ 2026 г.</t>
        </is>
      </c>
      <c r="D29" s="423" t="n"/>
      <c r="E29" s="423" t="n"/>
    </row>
    <row r="30" hidden="1" ht="72.59999999999999" customHeight="1" s="794">
      <c r="A30"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1" hidden="1" ht="80.25" customHeight="1" s="794">
      <c r="A31"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2" hidden="1" ht="15" customHeight="1" s="794">
      <c r="A32" s="1014" t="inlineStr">
        <is>
          <t xml:space="preserve">         3 С указанием наименования и реквизитов подтверждающих (обосновывающих) документов (при наличии).</t>
        </is>
      </c>
    </row>
    <row r="33" hidden="1" ht="15.75" customHeight="1" s="794">
      <c r="A33" s="1014" t="inlineStr">
        <is>
          <t xml:space="preserve">      4 Указывается используемая единица измерения трудоемкости: нормо-час / человеко-час / человеко-день / человеко-месяц.</t>
        </is>
      </c>
    </row>
    <row r="34" hidden="1" ht="54.75" customHeight="1" s="794">
      <c r="A34"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5" hidden="1" s="794">
      <c r="A35" s="952" t="inlineStr">
        <is>
          <t xml:space="preserve">          6 Указывается метод распределения затрат в соответствии с принятой на предприятии учетной политикой на соответствующий год.</t>
        </is>
      </c>
      <c r="F35" s="184" t="n"/>
      <c r="G35" s="184" t="n"/>
      <c r="H35" s="184" t="n"/>
      <c r="I35" s="184" t="n"/>
      <c r="J35" s="184" t="n"/>
      <c r="K35" s="184" t="n"/>
      <c r="L35" s="184" t="n"/>
      <c r="M35" s="184" t="n"/>
      <c r="N35" s="184" t="n"/>
      <c r="O35" s="184" t="n"/>
      <c r="P35" s="184" t="n"/>
      <c r="Q35" s="184" t="n"/>
      <c r="R35" s="184" t="n"/>
      <c r="S35" s="184" t="n"/>
      <c r="T35" s="184" t="n"/>
      <c r="U35" s="184" t="n"/>
      <c r="V35" s="184" t="n"/>
      <c r="W35" s="184" t="n"/>
      <c r="X35" s="184" t="n"/>
      <c r="Y35" s="184" t="n"/>
      <c r="Z35" s="184" t="n"/>
      <c r="AA35" s="184" t="n"/>
      <c r="AB35" s="184" t="n"/>
      <c r="AC35" s="184" t="n"/>
      <c r="AD35" s="184" t="n"/>
      <c r="AE35" s="184" t="n"/>
      <c r="AF35" s="184" t="n"/>
      <c r="AG35" s="184" t="n"/>
      <c r="AH35" s="184" t="n"/>
      <c r="AI35" s="184" t="n"/>
      <c r="AJ35" s="184" t="n"/>
      <c r="AK35" s="184" t="n"/>
      <c r="AL35" s="184" t="n"/>
      <c r="AM35" s="184" t="n"/>
      <c r="AN35" s="184" t="n"/>
      <c r="AO35" s="184" t="n"/>
      <c r="AP35" s="184" t="n"/>
      <c r="AQ35" s="184" t="n"/>
      <c r="AR35" s="184" t="n"/>
      <c r="AS35" s="184" t="n"/>
      <c r="AT35" s="184"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c r="BS35" s="184" t="n"/>
      <c r="BT35" s="184" t="n"/>
      <c r="BU35" s="184" t="n"/>
      <c r="BV35" s="184" t="n"/>
      <c r="BW35" s="184" t="n"/>
      <c r="BX35" s="184" t="n"/>
      <c r="BY35" s="184" t="n"/>
      <c r="BZ35" s="184" t="n"/>
      <c r="CA35" s="184" t="n"/>
      <c r="CB35" s="184" t="n"/>
      <c r="CC35" s="184" t="n"/>
      <c r="CD35" s="184" t="n"/>
      <c r="CE35" s="184" t="n"/>
      <c r="CF35" s="184" t="n"/>
      <c r="CG35" s="184" t="n"/>
      <c r="CH35" s="184" t="n"/>
      <c r="CI35" s="184" t="n"/>
      <c r="CJ35" s="184" t="n"/>
      <c r="CK35" s="184" t="n"/>
      <c r="CL35" s="184" t="n"/>
      <c r="CM35" s="184" t="n"/>
      <c r="CN35" s="184" t="n"/>
      <c r="CO35" s="184" t="n"/>
      <c r="CP35" s="184" t="n"/>
      <c r="CQ35" s="184" t="n"/>
      <c r="CR35" s="184" t="n"/>
      <c r="CS35" s="184" t="n"/>
      <c r="CT35" s="184" t="n"/>
      <c r="CU35" s="184" t="n"/>
      <c r="CV35" s="184" t="n"/>
      <c r="CW35" s="184" t="n"/>
      <c r="CX35" s="184" t="n"/>
      <c r="CY35" s="184" t="n"/>
      <c r="CZ35" s="184" t="n"/>
      <c r="DA35" s="184" t="n"/>
      <c r="DB35" s="184" t="n"/>
      <c r="DC35" s="184" t="n"/>
      <c r="DD35" s="184" t="n"/>
      <c r="DE35" s="184" t="n"/>
      <c r="DF35" s="184" t="n"/>
      <c r="DG35" s="184" t="n"/>
      <c r="DH35" s="184" t="n"/>
      <c r="DI35" s="184" t="n"/>
      <c r="DJ35" s="184" t="n"/>
      <c r="DK35" s="184" t="n"/>
      <c r="DL35" s="184" t="n"/>
      <c r="DM35" s="184" t="n"/>
      <c r="DN35" s="184" t="n"/>
      <c r="DO35" s="184" t="n"/>
      <c r="DP35" s="184" t="n"/>
      <c r="DQ35" s="184" t="n"/>
      <c r="DR35" s="184" t="n"/>
      <c r="DS35" s="184" t="n"/>
      <c r="DT35" s="184" t="n"/>
      <c r="DU35" s="184" t="n"/>
      <c r="DV35" s="184" t="n"/>
      <c r="DW35" s="184" t="n"/>
      <c r="DX35" s="184" t="n"/>
      <c r="DY35" s="184" t="n"/>
      <c r="DZ35" s="184" t="n"/>
      <c r="EA35" s="184" t="n"/>
      <c r="EB35" s="184" t="n"/>
      <c r="EC35" s="184" t="n"/>
      <c r="ED35" s="184" t="n"/>
      <c r="EE35" s="184" t="n"/>
      <c r="EF35" s="184" t="n"/>
      <c r="EG35" s="184" t="n"/>
      <c r="EH35" s="184" t="n"/>
      <c r="EI35" s="184" t="n"/>
      <c r="EJ35" s="184" t="n"/>
      <c r="EK35" s="184" t="n"/>
      <c r="EL35" s="184" t="n"/>
      <c r="EM35" s="184" t="n"/>
      <c r="EN35" s="184" t="n"/>
      <c r="EO35" s="184"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row>
    <row r="36" hidden="1" ht="12" customHeight="1" s="794">
      <c r="A36" s="42" t="n"/>
      <c r="B36" s="1014" t="n"/>
      <c r="C36" s="1014" t="n"/>
      <c r="D36" s="24" t="n"/>
      <c r="E36" s="969" t="n"/>
      <c r="F36" s="24" t="n"/>
      <c r="G36" s="24" t="n"/>
    </row>
    <row r="37" hidden="1" s="794">
      <c r="A37" s="1021" t="inlineStr">
        <is>
          <t>Используемые сокращения и их расшифровка:</t>
        </is>
      </c>
      <c r="F37" s="24" t="n"/>
      <c r="G37" s="24" t="n"/>
    </row>
    <row r="38" hidden="1" ht="33" customHeight="1" s="794">
      <c r="A38" s="42" t="n"/>
      <c r="B38" s="1014" t="inlineStr">
        <is>
          <t>ИТР – инженерно-технический работник;
НИР (ОКР) – научно-исследовательская работа (опытно-конструкторская работа).</t>
        </is>
      </c>
      <c r="E38" s="185" t="n"/>
      <c r="F38" s="24" t="n"/>
      <c r="G38" s="24" t="n"/>
    </row>
    <row r="39" hidden="1" ht="11.25" customHeight="1" s="794">
      <c r="B39" s="1014" t="n"/>
      <c r="C39" s="27" t="n"/>
      <c r="D39" s="24" t="n"/>
      <c r="E39" s="969" t="n"/>
      <c r="F39" s="24" t="n"/>
      <c r="G39" s="24" t="n"/>
    </row>
    <row r="40" hidden="1" s="794">
      <c r="B40" s="1014" t="n"/>
      <c r="C40" s="27" t="n"/>
      <c r="D40" s="24" t="n"/>
      <c r="E40" s="969" t="n"/>
      <c r="F40" s="24" t="n"/>
      <c r="G40" s="24" t="n"/>
    </row>
    <row r="41">
      <c r="E41" s="47" t="n"/>
      <c r="F41" s="18" t="n"/>
      <c r="G41" s="18" t="n"/>
    </row>
    <row r="59" ht="17.25" customHeight="1" s="794"/>
  </sheetData>
  <mergeCells count="12">
    <mergeCell ref="A30:E30"/>
    <mergeCell ref="A34:E34"/>
    <mergeCell ref="A35:E35"/>
    <mergeCell ref="F14:H14"/>
    <mergeCell ref="D1:E1"/>
    <mergeCell ref="A10:E10"/>
    <mergeCell ref="A33:E33"/>
    <mergeCell ref="A37:E37"/>
    <mergeCell ref="A32:E32"/>
    <mergeCell ref="A31:E31"/>
    <mergeCell ref="A27:B27"/>
    <mergeCell ref="B38:D38"/>
  </mergeCells>
  <pageMargins left="0.3937007874015748" right="0.3149606299212598" top="0.7874015748031497" bottom="0.3937007874015748" header="0.1968503937007874" footer="0.1968503937007874"/>
  <pageSetup orientation="portrait" paperSize="9" scale="64" fitToHeight="0"/>
</worksheet>
</file>

<file path=xl/worksheets/sheet9.xml><?xml version="1.0" encoding="utf-8"?>
<worksheet xmlns="http://schemas.openxmlformats.org/spreadsheetml/2006/main">
  <sheetPr>
    <tabColor theme="9" tint="0.7999816888943144"/>
    <outlinePr summaryBelow="1" summaryRight="1"/>
    <pageSetUpPr/>
  </sheetPr>
  <dimension ref="A1:FI42"/>
  <sheetViews>
    <sheetView tabSelected="1" view="pageBreakPreview" topLeftCell="A10" zoomScaleNormal="100" zoomScaleSheetLayoutView="100" workbookViewId="0">
      <selection activeCell="D15" sqref="D15"/>
    </sheetView>
  </sheetViews>
  <sheetFormatPr baseColWidth="8" defaultRowHeight="15"/>
  <cols>
    <col width="5" customWidth="1" style="794" min="1" max="1"/>
    <col width="68.85546875" customWidth="1" style="794" min="2" max="2"/>
    <col width="12.140625" customWidth="1" style="793" min="3" max="3"/>
    <col width="14.42578125" customWidth="1" style="794" min="4" max="4"/>
    <col width="35.28515625" customWidth="1" style="59" min="5" max="5"/>
    <col width="13.7109375" customWidth="1" style="794" min="6" max="6"/>
  </cols>
  <sheetData>
    <row r="1">
      <c r="D1" s="1015" t="inlineStr">
        <is>
          <t>Форма № 22 (22д)</t>
        </is>
      </c>
    </row>
    <row r="2" ht="9.75" customHeight="1" s="794">
      <c r="D2" s="70" t="n"/>
    </row>
    <row r="3">
      <c r="A3" s="172" t="n"/>
      <c r="B3" s="172" t="n"/>
      <c r="D3" s="172" t="inlineStr">
        <is>
          <t>УТВЕРЖДАЮ</t>
        </is>
      </c>
    </row>
    <row r="4" ht="6.75" customHeight="1" s="794">
      <c r="A4" s="55" t="n"/>
      <c r="B4" s="57" t="n"/>
      <c r="C4" s="57" t="n"/>
      <c r="D4" s="45" t="n"/>
      <c r="E4" s="793" t="n"/>
    </row>
    <row r="5" ht="31.5" customHeight="1" s="794">
      <c r="A5" s="57" t="n"/>
      <c r="B5" s="57" t="n"/>
      <c r="D5" s="1016" t="inlineStr">
        <is>
          <t>Проректор по научной работе 
ФГАОУ ВО «СПбПУ»</t>
        </is>
      </c>
    </row>
    <row r="6" ht="30" customHeight="1" s="794">
      <c r="A6" s="173" t="n"/>
      <c r="B6" s="174" t="n"/>
      <c r="D6" s="426" t="inlineStr">
        <is>
          <t>__________________________   Ю.В. Фомин</t>
        </is>
      </c>
      <c r="E6" s="425" t="n"/>
    </row>
    <row r="7" ht="19.5" customFormat="1" customHeight="1" s="42">
      <c r="A7" s="226" t="n"/>
      <c r="B7" s="223" t="n"/>
      <c r="C7" s="378" t="n"/>
      <c r="D7" s="379" t="inlineStr">
        <is>
          <t xml:space="preserve">     (подпись)                                          (Ф.И.О.)</t>
        </is>
      </c>
      <c r="E7" s="380" t="n"/>
    </row>
    <row r="8" ht="16.5" customHeight="1" s="794">
      <c r="A8" s="55" t="n"/>
      <c r="B8" s="55" t="n"/>
      <c r="C8" s="267" t="n"/>
      <c r="D8" s="426" t="inlineStr">
        <is>
          <t>«____» __________________ 2026 г.</t>
        </is>
      </c>
    </row>
    <row r="9" ht="16.5" customHeight="1" s="794">
      <c r="A9" s="55" t="n"/>
      <c r="B9" s="55" t="n"/>
      <c r="C9" s="267" t="n"/>
      <c r="D9" s="426" t="n"/>
    </row>
    <row r="10" ht="36.7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2027 год</t>
        </is>
      </c>
    </row>
    <row r="11" ht="12"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75" customHeight="1" s="794">
      <c r="A15" s="54" t="inlineStr">
        <is>
          <t>1.1</t>
        </is>
      </c>
      <c r="B15" s="180" t="inlineStr">
        <is>
          <t>среднемесячная заработная плата основных работников</t>
        </is>
      </c>
      <c r="C15" s="1212" t="inlineStr">
        <is>
          <t>руб.</t>
        </is>
      </c>
      <c r="D15" s="1456">
        <f>ROUND('22 (22д) свед. о норм_26'!D15*1.04*1.039,0)</f>
        <v/>
      </c>
      <c r="E15" s="797" t="inlineStr">
        <is>
          <t>Норматив 2026 с учетом письма Мин.эконом.развития №37099-ПК/Д03и от 30.09.2025 применены индексы:
2027 ИПЦ-1,04 и ИРЗП-1,039</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0</v>
      </c>
      <c r="E16" s="177" t="inlineStr">
        <is>
          <t>форма 10 (10д)</t>
        </is>
      </c>
    </row>
    <row r="17" ht="45"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45"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77"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32</v>
      </c>
      <c r="E22" s="1206" t="inlineStr">
        <is>
          <t>форма 12</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Height="1" s="794">
      <c r="A27" s="1022" t="inlineStr">
        <is>
          <t>Начальник ОФЭАУ НИОКР ФГАОУ ВО «СПбПУ»</t>
        </is>
      </c>
      <c r="C27" s="792" t="inlineStr">
        <is>
          <t>_________________________    Н.О. Васецкая</t>
        </is>
      </c>
      <c r="D27" s="793" t="n"/>
      <c r="E27" s="56" t="n"/>
    </row>
    <row r="28" ht="15.75" customFormat="1" customHeight="1" s="42">
      <c r="C28" s="379" t="inlineStr">
        <is>
          <t xml:space="preserve">     (подпись)                                                                  (Ф.И.О.)</t>
        </is>
      </c>
      <c r="D28" s="380" t="n"/>
      <c r="E28" s="386" t="n"/>
    </row>
    <row r="29" ht="24" customHeight="1" s="794">
      <c r="C29" s="792" t="inlineStr">
        <is>
          <t>«____» __________________ 2026 г.</t>
        </is>
      </c>
      <c r="D29" s="59" t="n"/>
    </row>
    <row r="30" ht="14.25" customHeight="1" s="794">
      <c r="C30" s="55" t="n"/>
      <c r="D30" s="59" t="n"/>
    </row>
    <row r="31" hidden="1" ht="72.59999999999999" customHeight="1" s="794">
      <c r="A31"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2" hidden="1" ht="80.25" customHeight="1" s="794">
      <c r="A32"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3" hidden="1" ht="15" customHeight="1" s="794">
      <c r="A33" s="1014" t="inlineStr">
        <is>
          <t xml:space="preserve">         3 С указанием наименования и реквизитов подтверждающих (обосновывающих) документов (при наличии).</t>
        </is>
      </c>
    </row>
    <row r="34" hidden="1" ht="15.75" customHeight="1" s="794">
      <c r="A34" s="1014" t="inlineStr">
        <is>
          <t xml:space="preserve">      4 Указывается используемая единица измерения трудоемкости: нормо-час / человеко-час / человеко-день / человеко-месяц.</t>
        </is>
      </c>
    </row>
    <row r="35" hidden="1" ht="54.75" customHeight="1" s="794">
      <c r="A35"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6" hidden="1" s="794">
      <c r="A36" s="952" t="inlineStr">
        <is>
          <t xml:space="preserve">          6 Указывается метод распределения затрат в соответствии с принятой на предприятии учетной политикой на соответствующий год.</t>
        </is>
      </c>
      <c r="F36" s="184" t="n"/>
      <c r="G36" s="184" t="n"/>
      <c r="H36" s="184" t="n"/>
      <c r="I36" s="184" t="n"/>
      <c r="J36" s="184" t="n"/>
      <c r="K36" s="184" t="n"/>
      <c r="L36" s="184" t="n"/>
      <c r="M36" s="184" t="n"/>
      <c r="N36" s="184" t="n"/>
      <c r="O36" s="184" t="n"/>
      <c r="P36" s="184" t="n"/>
      <c r="Q36" s="184" t="n"/>
      <c r="R36" s="184" t="n"/>
      <c r="S36" s="184" t="n"/>
      <c r="T36" s="184" t="n"/>
      <c r="U36" s="184" t="n"/>
      <c r="V36" s="184" t="n"/>
      <c r="W36" s="184" t="n"/>
      <c r="X36" s="184" t="n"/>
      <c r="Y36" s="184" t="n"/>
      <c r="Z36" s="184" t="n"/>
      <c r="AA36" s="184" t="n"/>
      <c r="AB36" s="184" t="n"/>
      <c r="AC36" s="184" t="n"/>
      <c r="AD36" s="184" t="n"/>
      <c r="AE36" s="184" t="n"/>
      <c r="AF36" s="184" t="n"/>
      <c r="AG36" s="184" t="n"/>
      <c r="AH36" s="184" t="n"/>
      <c r="AI36" s="184" t="n"/>
      <c r="AJ36" s="184" t="n"/>
      <c r="AK36" s="184" t="n"/>
      <c r="AL36" s="184" t="n"/>
      <c r="AM36" s="184" t="n"/>
      <c r="AN36" s="184" t="n"/>
      <c r="AO36" s="184" t="n"/>
      <c r="AP36" s="184" t="n"/>
      <c r="AQ36" s="184" t="n"/>
      <c r="AR36" s="184" t="n"/>
      <c r="AS36" s="184" t="n"/>
      <c r="AT36" s="184" t="n"/>
      <c r="AU36" s="184" t="n"/>
      <c r="AV36" s="184" t="n"/>
      <c r="AW36" s="184" t="n"/>
      <c r="AX36" s="184" t="n"/>
      <c r="AY36" s="184" t="n"/>
      <c r="AZ36" s="184" t="n"/>
      <c r="BA36" s="184" t="n"/>
      <c r="BB36" s="184" t="n"/>
      <c r="BC36" s="184" t="n"/>
      <c r="BD36" s="184" t="n"/>
      <c r="BE36" s="184" t="n"/>
      <c r="BF36" s="184" t="n"/>
      <c r="BG36" s="184" t="n"/>
      <c r="BH36" s="184" t="n"/>
      <c r="BI36" s="184" t="n"/>
      <c r="BJ36" s="184" t="n"/>
      <c r="BK36" s="184" t="n"/>
      <c r="BL36" s="184" t="n"/>
      <c r="BM36" s="184" t="n"/>
      <c r="BN36" s="184" t="n"/>
      <c r="BO36" s="184" t="n"/>
      <c r="BP36" s="184" t="n"/>
      <c r="BQ36" s="184" t="n"/>
      <c r="BR36" s="184" t="n"/>
      <c r="BS36" s="184" t="n"/>
      <c r="BT36" s="184" t="n"/>
      <c r="BU36" s="184" t="n"/>
      <c r="BV36" s="184" t="n"/>
      <c r="BW36" s="184" t="n"/>
      <c r="BX36" s="184" t="n"/>
      <c r="BY36" s="184" t="n"/>
      <c r="BZ36" s="184" t="n"/>
      <c r="CA36" s="184" t="n"/>
      <c r="CB36" s="184" t="n"/>
      <c r="CC36" s="184" t="n"/>
      <c r="CD36" s="184" t="n"/>
      <c r="CE36" s="184" t="n"/>
      <c r="CF36" s="184" t="n"/>
      <c r="CG36" s="184" t="n"/>
      <c r="CH36" s="184" t="n"/>
      <c r="CI36" s="184" t="n"/>
      <c r="CJ36" s="184" t="n"/>
      <c r="CK36" s="184" t="n"/>
      <c r="CL36" s="184" t="n"/>
      <c r="CM36" s="184" t="n"/>
      <c r="CN36" s="184" t="n"/>
      <c r="CO36" s="184" t="n"/>
      <c r="CP36" s="184" t="n"/>
      <c r="CQ36" s="184" t="n"/>
      <c r="CR36" s="184" t="n"/>
      <c r="CS36" s="184" t="n"/>
      <c r="CT36" s="184" t="n"/>
      <c r="CU36" s="184" t="n"/>
      <c r="CV36" s="184" t="n"/>
      <c r="CW36" s="184" t="n"/>
      <c r="CX36" s="184" t="n"/>
      <c r="CY36" s="184" t="n"/>
      <c r="CZ36" s="184" t="n"/>
      <c r="DA36" s="184" t="n"/>
      <c r="DB36" s="184" t="n"/>
      <c r="DC36" s="184" t="n"/>
      <c r="DD36" s="184" t="n"/>
      <c r="DE36" s="184" t="n"/>
      <c r="DF36" s="184" t="n"/>
      <c r="DG36" s="184" t="n"/>
      <c r="DH36" s="184" t="n"/>
      <c r="DI36" s="184" t="n"/>
      <c r="DJ36" s="184" t="n"/>
      <c r="DK36" s="184" t="n"/>
      <c r="DL36" s="184" t="n"/>
      <c r="DM36" s="184" t="n"/>
      <c r="DN36" s="184" t="n"/>
      <c r="DO36" s="184" t="n"/>
      <c r="DP36" s="184" t="n"/>
      <c r="DQ36" s="184" t="n"/>
      <c r="DR36" s="184" t="n"/>
      <c r="DS36" s="184" t="n"/>
      <c r="DT36" s="184" t="n"/>
      <c r="DU36" s="184" t="n"/>
      <c r="DV36" s="184" t="n"/>
      <c r="DW36" s="184" t="n"/>
      <c r="DX36" s="184" t="n"/>
      <c r="DY36" s="184" t="n"/>
      <c r="DZ36" s="184" t="n"/>
      <c r="EA36" s="184" t="n"/>
      <c r="EB36" s="184" t="n"/>
      <c r="EC36" s="184" t="n"/>
      <c r="ED36" s="184" t="n"/>
      <c r="EE36" s="184" t="n"/>
      <c r="EF36" s="184" t="n"/>
      <c r="EG36" s="184" t="n"/>
      <c r="EH36" s="184" t="n"/>
      <c r="EI36" s="184" t="n"/>
      <c r="EJ36" s="184" t="n"/>
      <c r="EK36" s="184" t="n"/>
      <c r="EL36" s="184" t="n"/>
      <c r="EM36" s="184" t="n"/>
      <c r="EN36" s="184" t="n"/>
      <c r="EO36" s="184" t="n"/>
      <c r="EP36" s="184" t="n"/>
      <c r="EQ36" s="184" t="n"/>
      <c r="ER36" s="184" t="n"/>
      <c r="ES36" s="184" t="n"/>
      <c r="ET36" s="184" t="n"/>
      <c r="EU36" s="184" t="n"/>
      <c r="EV36" s="184" t="n"/>
      <c r="EW36" s="184" t="n"/>
      <c r="EX36" s="184" t="n"/>
      <c r="EY36" s="184" t="n"/>
      <c r="EZ36" s="184" t="n"/>
      <c r="FA36" s="184" t="n"/>
      <c r="FB36" s="184" t="n"/>
      <c r="FC36" s="184" t="n"/>
      <c r="FD36" s="184" t="n"/>
      <c r="FE36" s="184" t="n"/>
      <c r="FF36" s="184" t="n"/>
      <c r="FG36" s="184" t="n"/>
      <c r="FH36" s="184" t="n"/>
      <c r="FI36" s="184" t="n"/>
    </row>
    <row r="37" hidden="1" ht="12" customHeight="1" s="794">
      <c r="A37" s="42" t="n"/>
      <c r="B37" s="1014" t="n"/>
      <c r="C37" s="1014" t="n"/>
      <c r="D37" s="24" t="n"/>
      <c r="E37" s="969" t="n"/>
      <c r="F37" s="24" t="n"/>
      <c r="G37" s="24" t="n"/>
    </row>
    <row r="38" hidden="1" s="794">
      <c r="A38" s="1021" t="inlineStr">
        <is>
          <t>Используемые сокращения и их расшифровка:</t>
        </is>
      </c>
      <c r="F38" s="24" t="n"/>
      <c r="G38" s="24" t="n"/>
    </row>
    <row r="39" hidden="1" ht="33" customHeight="1" s="794">
      <c r="A39" s="42" t="n"/>
      <c r="B39" s="1014" t="inlineStr">
        <is>
          <t>ИТР – инженерно-технический работник;
НИР (ОКР) – научно-исследовательская работа (опытно-конструкторская работа).</t>
        </is>
      </c>
      <c r="E39" s="185" t="n"/>
      <c r="F39" s="24" t="n"/>
      <c r="G39" s="24" t="n"/>
    </row>
    <row r="40" ht="11.25" customHeight="1" s="794">
      <c r="B40" s="1014" t="n"/>
      <c r="C40" s="27" t="n"/>
      <c r="D40" s="24" t="n"/>
      <c r="E40" s="969" t="n"/>
      <c r="F40" s="24" t="n"/>
      <c r="G40" s="24" t="n"/>
    </row>
    <row r="41">
      <c r="B41" s="1014" t="n"/>
      <c r="C41" s="27" t="n"/>
      <c r="D41" s="24" t="n"/>
      <c r="E41" s="969" t="n"/>
      <c r="F41" s="24" t="n"/>
      <c r="G41" s="24" t="n"/>
    </row>
    <row r="42">
      <c r="E42" s="47" t="n"/>
      <c r="F42" s="18" t="n"/>
      <c r="G42" s="18" t="n"/>
    </row>
    <row r="60" ht="17.25" customHeight="1" s="794"/>
  </sheetData>
  <mergeCells count="13">
    <mergeCell ref="A34:E34"/>
    <mergeCell ref="A35:E35"/>
    <mergeCell ref="A38:E38"/>
    <mergeCell ref="F14:H14"/>
    <mergeCell ref="D1:E1"/>
    <mergeCell ref="A10:E10"/>
    <mergeCell ref="D5:E5"/>
    <mergeCell ref="A33:E33"/>
    <mergeCell ref="A27:B27"/>
    <mergeCell ref="A32:E32"/>
    <mergeCell ref="A36:E36"/>
    <mergeCell ref="A31:E31"/>
    <mergeCell ref="B39:D39"/>
  </mergeCells>
  <pageMargins left="0.3937007874015748" right="0.3149606299212598" top="0.7874015748031497" bottom="0.3937007874015748" header="0.1968503937007874" footer="0.1968503937007874"/>
  <pageSetup orientation="portrait" paperSize="9" scale="70" fitToHeight="0"/>
</worksheet>
</file>

<file path=xl/worksheets/sheet10.xml><?xml version="1.0" encoding="utf-8"?>
<worksheet xmlns="http://schemas.openxmlformats.org/spreadsheetml/2006/main">
  <sheetPr>
    <tabColor theme="5" tint="0.7999816888943144"/>
    <outlinePr summaryBelow="1" summaryRight="1"/>
    <pageSetUpPr fitToPage="1"/>
  </sheetPr>
  <dimension ref="A1:I85"/>
  <sheetViews>
    <sheetView view="pageBreakPreview" zoomScale="80" zoomScaleNormal="65" zoomScaleSheetLayoutView="80" zoomScalePageLayoutView="30" workbookViewId="0">
      <selection activeCell="C21" sqref="C21"/>
    </sheetView>
  </sheetViews>
  <sheetFormatPr baseColWidth="8" defaultRowHeight="18.75"/>
  <cols>
    <col width="8.28515625" customWidth="1" style="17" min="1" max="1"/>
    <col width="57.140625" customWidth="1" style="7" min="2" max="2"/>
    <col width="26.7109375" customWidth="1" style="7" min="3" max="3"/>
    <col width="23" customWidth="1" style="7" min="4" max="4"/>
    <col width="20.7109375" customWidth="1" style="7" min="5" max="5"/>
    <col width="25.28515625" customWidth="1" style="7" min="6" max="8"/>
    <col width="20.42578125" customWidth="1" style="7" min="9" max="9"/>
    <col width="9.140625" customWidth="1" style="7" min="10" max="10"/>
    <col width="89.42578125" customWidth="1" style="7" min="11" max="11"/>
    <col width="9.140625" customWidth="1" style="7" min="12" max="16384"/>
  </cols>
  <sheetData>
    <row r="1" ht="17.25" customHeight="1" s="794">
      <c r="A1" s="4" t="n"/>
      <c r="B1" s="5" t="n"/>
      <c r="C1" s="5" t="n"/>
      <c r="D1" s="5" t="n"/>
      <c r="E1" s="5" t="n"/>
      <c r="G1" s="6" t="n"/>
      <c r="H1" s="6" t="inlineStr">
        <is>
          <t>Форма № 10 (10д)</t>
        </is>
      </c>
      <c r="I1" s="5" t="n"/>
    </row>
    <row r="2" ht="11.25" customHeight="1" s="794">
      <c r="A2" s="4" t="n"/>
      <c r="B2" s="5" t="n"/>
      <c r="C2" s="5" t="n"/>
      <c r="D2" s="5" t="n"/>
      <c r="E2" s="5" t="n"/>
      <c r="F2" s="5" t="n"/>
      <c r="G2" s="5" t="n"/>
      <c r="H2" s="5" t="n"/>
      <c r="I2" s="5" t="n"/>
    </row>
    <row r="3">
      <c r="B3" s="1028" t="inlineStr">
        <is>
          <t>Расчет-обоснование уровня (%) дополнительной заработной платы основных работников попо приносящей доход деятельности (КФО 2) на 2025-2027 гг</t>
        </is>
      </c>
      <c r="H3" s="1028" t="n"/>
      <c r="I3" s="5" t="n"/>
    </row>
    <row r="4" ht="21" customFormat="1" customHeight="1" s="8">
      <c r="B4" s="1029" t="inlineStr">
        <is>
          <t>по ФГАОУ ВО «Санкт-Петербургский политехнический университет Петра Великого»</t>
        </is>
      </c>
      <c r="C4" s="1409" t="n"/>
      <c r="D4" s="1409" t="n"/>
      <c r="E4" s="1409" t="n"/>
      <c r="F4" s="1409" t="n"/>
      <c r="G4" s="1409" t="n"/>
      <c r="H4" s="586" t="n"/>
      <c r="I4" s="1" t="n"/>
    </row>
    <row r="5" ht="18" customHeight="1" s="794">
      <c r="A5" s="9" t="n"/>
      <c r="B5" s="1030" t="inlineStr">
        <is>
          <t>(наименование организации-поставщика (подрядчика, исполнителя))</t>
        </is>
      </c>
      <c r="H5" s="10" t="n"/>
      <c r="I5" s="5" t="n"/>
    </row>
    <row r="6" ht="16.5" customHeight="1" s="794">
      <c r="A6" s="9" t="n"/>
      <c r="B6" s="1028" t="n"/>
      <c r="C6" s="1028" t="n"/>
      <c r="D6" s="1028" t="n"/>
      <c r="E6" s="1028" t="n"/>
      <c r="F6" s="6" t="n"/>
      <c r="G6" s="6" t="n"/>
      <c r="H6" s="6" t="inlineStr">
        <is>
          <t>(руб.)</t>
        </is>
      </c>
      <c r="I6" s="5" t="n"/>
    </row>
    <row r="7" ht="38.25" customHeight="1" s="794">
      <c r="A7" s="1023" t="inlineStr">
        <is>
          <t>№ п/п</t>
        </is>
      </c>
      <c r="B7" s="1460" t="inlineStr">
        <is>
          <t>Наименование</t>
        </is>
      </c>
      <c r="C7" s="1026" t="inlineStr">
        <is>
          <t>Период, предшествующий отчетному (2023 г.)</t>
        </is>
      </c>
      <c r="D7" s="1026" t="inlineStr">
        <is>
          <t>Отчетный период / период, предшествующий планируемому (2024 г.)</t>
        </is>
      </c>
      <c r="E7" s="1410" t="n"/>
      <c r="F7" s="1026" t="inlineStr">
        <is>
          <t>Планируемый период
(2025 г.)</t>
        </is>
      </c>
      <c r="G7" s="1026" t="inlineStr">
        <is>
          <t>Планируемый период
(2026 г.)</t>
        </is>
      </c>
      <c r="H7" s="1026" t="inlineStr">
        <is>
          <t>Планируемый период
(2027 г.)</t>
        </is>
      </c>
      <c r="I7" s="5" t="n"/>
    </row>
    <row r="8" ht="18" customHeight="1" s="794">
      <c r="A8" s="1413" t="n"/>
      <c r="B8" s="1421" t="n"/>
      <c r="C8" s="125" t="inlineStr">
        <is>
          <t>факт</t>
        </is>
      </c>
      <c r="D8" s="125" t="inlineStr">
        <is>
          <t>план</t>
        </is>
      </c>
      <c r="E8" s="1026" t="inlineStr">
        <is>
          <t>факт</t>
        </is>
      </c>
      <c r="F8" s="1026" t="inlineStr">
        <is>
          <t>план</t>
        </is>
      </c>
      <c r="G8" s="1026" t="inlineStr">
        <is>
          <t>план</t>
        </is>
      </c>
      <c r="H8" s="1026" t="inlineStr">
        <is>
          <t>план</t>
        </is>
      </c>
      <c r="I8" s="5" t="n"/>
    </row>
    <row r="9" ht="15" customHeight="1" s="794">
      <c r="A9" s="1023" t="inlineStr">
        <is>
          <t>1</t>
        </is>
      </c>
      <c r="B9" s="127" t="n">
        <v>2</v>
      </c>
      <c r="C9" s="128" t="n">
        <v>3</v>
      </c>
      <c r="D9" s="129" t="inlineStr">
        <is>
          <t>4.1</t>
        </is>
      </c>
      <c r="E9" s="129" t="inlineStr">
        <is>
          <t>4.2</t>
        </is>
      </c>
      <c r="F9" s="130" t="n">
        <v>5</v>
      </c>
      <c r="G9" s="130" t="n">
        <v>6</v>
      </c>
      <c r="H9" s="130" t="n">
        <v>7</v>
      </c>
      <c r="I9" s="5" t="n"/>
    </row>
    <row r="10" ht="23.25" customHeight="1" s="794">
      <c r="A10" s="1023" t="inlineStr">
        <is>
          <t>1.</t>
        </is>
      </c>
      <c r="B10" s="587" t="inlineStr">
        <is>
          <t>Основная заработная плата основных работников</t>
        </is>
      </c>
      <c r="C10" s="588" t="n">
        <v>0</v>
      </c>
      <c r="D10" s="588" t="n">
        <v>0</v>
      </c>
      <c r="E10" s="588" t="n">
        <v>0</v>
      </c>
      <c r="F10" s="588" t="n">
        <v>0</v>
      </c>
      <c r="G10" s="588" t="n">
        <v>0</v>
      </c>
      <c r="H10" s="588" t="n">
        <v>0</v>
      </c>
      <c r="I10" s="5" t="n"/>
    </row>
    <row r="11" ht="23.25" customHeight="1" s="794">
      <c r="A11" s="1023" t="inlineStr">
        <is>
          <t>2.</t>
        </is>
      </c>
      <c r="B11" s="587" t="inlineStr">
        <is>
          <t>Дополнительная заработная плата основных работников,</t>
        </is>
      </c>
      <c r="C11" s="588" t="n">
        <v>0</v>
      </c>
      <c r="D11" s="588" t="n">
        <v>0</v>
      </c>
      <c r="E11" s="588" t="n">
        <v>0</v>
      </c>
      <c r="F11" s="588" t="n">
        <v>0</v>
      </c>
      <c r="G11" s="588" t="n">
        <v>0</v>
      </c>
      <c r="H11" s="588" t="n">
        <v>0</v>
      </c>
      <c r="I11" s="5" t="n"/>
    </row>
    <row r="12" ht="23.25" customHeight="1" s="794">
      <c r="A12" s="1023" t="inlineStr">
        <is>
          <t>2.1</t>
        </is>
      </c>
      <c r="B12" s="587" t="inlineStr">
        <is>
          <t xml:space="preserve">     в % к основной заработной плате основных работников, %</t>
        </is>
      </c>
      <c r="C12" s="1461">
        <f>C11/C10</f>
        <v/>
      </c>
      <c r="D12" s="1461">
        <f>D11/D10</f>
        <v/>
      </c>
      <c r="E12" s="1461">
        <f>E11/E10</f>
        <v/>
      </c>
      <c r="F12" s="1461">
        <f>F11/F10</f>
        <v/>
      </c>
      <c r="G12" s="1461">
        <f>G11/G10</f>
        <v/>
      </c>
      <c r="H12" s="1461">
        <f>H11/H10</f>
        <v/>
      </c>
      <c r="I12" s="5" t="n"/>
    </row>
    <row r="13" ht="12.75" customHeight="1" s="794">
      <c r="A13" s="1038" t="n"/>
      <c r="B13" s="1038" t="n"/>
      <c r="C13" s="1038" t="n"/>
      <c r="D13" s="1038" t="n"/>
      <c r="E13" s="1038" t="n"/>
      <c r="F13" s="1038" t="n"/>
      <c r="G13" s="1038" t="n"/>
      <c r="H13" s="1038" t="n"/>
      <c r="I13" s="5" t="n"/>
    </row>
    <row r="14" ht="15" customHeight="1" s="794">
      <c r="A14" s="1027" t="inlineStr">
        <is>
          <t xml:space="preserve">                        Структура дополнительной заработной платы</t>
        </is>
      </c>
      <c r="G14" s="1027" t="n"/>
      <c r="H14" s="1027" t="n"/>
      <c r="I14" s="5" t="n"/>
    </row>
    <row r="15" ht="18.75" customHeight="1" s="794">
      <c r="A15" s="131" t="n"/>
      <c r="B15" s="132" t="n"/>
      <c r="C15" s="132" t="n"/>
      <c r="D15" s="132" t="n"/>
      <c r="E15" s="132" t="n"/>
      <c r="G15" s="133" t="n"/>
      <c r="H15" s="133" t="inlineStr">
        <is>
          <t>(руб.)</t>
        </is>
      </c>
      <c r="I15" s="5" t="n"/>
    </row>
    <row r="16" ht="38.25" customHeight="1" s="794">
      <c r="A16" s="1023" t="inlineStr">
        <is>
          <t>№ п/п</t>
        </is>
      </c>
      <c r="B16" s="1462" t="inlineStr">
        <is>
          <t>Наименование выплат</t>
        </is>
      </c>
      <c r="C16" s="1026" t="inlineStr">
        <is>
          <t>Период, предшествующий отчетному (2023 г.)</t>
        </is>
      </c>
      <c r="D16" s="1026" t="inlineStr">
        <is>
          <t>Отчетный период / период, предшествующий планируемому (2024 г.)</t>
        </is>
      </c>
      <c r="E16" s="1410" t="n"/>
      <c r="F16" s="1026" t="inlineStr">
        <is>
          <t>Планируемый период
(2025 г.)</t>
        </is>
      </c>
      <c r="G16" s="1026" t="inlineStr">
        <is>
          <t>Планируемый период
(2026 г.)</t>
        </is>
      </c>
      <c r="H16" s="1026" t="inlineStr">
        <is>
          <t>Планируемый период
(2027 г.)</t>
        </is>
      </c>
      <c r="I16" s="5" t="n"/>
    </row>
    <row r="17" ht="17.25" customHeight="1" s="794">
      <c r="A17" s="1413" t="n"/>
      <c r="B17" s="1414" t="n"/>
      <c r="C17" s="128" t="inlineStr">
        <is>
          <t>факт</t>
        </is>
      </c>
      <c r="D17" s="128" t="inlineStr">
        <is>
          <t>план</t>
        </is>
      </c>
      <c r="E17" s="130" t="inlineStr">
        <is>
          <t>факт</t>
        </is>
      </c>
      <c r="F17" s="130" t="inlineStr">
        <is>
          <t>план</t>
        </is>
      </c>
      <c r="G17" s="130" t="inlineStr">
        <is>
          <t>план</t>
        </is>
      </c>
      <c r="H17" s="130" t="inlineStr">
        <is>
          <t>план</t>
        </is>
      </c>
      <c r="I17" s="5" t="n"/>
    </row>
    <row r="18" ht="16.5" customHeight="1" s="794">
      <c r="A18" s="1023" t="inlineStr">
        <is>
          <t>1</t>
        </is>
      </c>
      <c r="B18" s="1035" t="n">
        <v>2</v>
      </c>
      <c r="C18" s="128" t="n">
        <v>3</v>
      </c>
      <c r="D18" s="129" t="inlineStr">
        <is>
          <t>4.1</t>
        </is>
      </c>
      <c r="E18" s="129" t="inlineStr">
        <is>
          <t>4.2</t>
        </is>
      </c>
      <c r="F18" s="130" t="n">
        <v>5</v>
      </c>
      <c r="G18" s="130" t="n">
        <v>6</v>
      </c>
      <c r="H18" s="130" t="n">
        <v>7</v>
      </c>
      <c r="I18" s="5" t="n"/>
    </row>
    <row r="19" ht="26.25" customHeight="1" s="794">
      <c r="A19" s="1023" t="inlineStr">
        <is>
          <t>1.</t>
        </is>
      </c>
      <c r="B19" s="590" t="inlineStr">
        <is>
          <t>Выплаты отпусков работникам  из резервного отпускного фонда</t>
        </is>
      </c>
      <c r="C19" s="588">
        <f>C11</f>
        <v/>
      </c>
      <c r="D19" s="588">
        <f>D11</f>
        <v/>
      </c>
      <c r="E19" s="588">
        <f>E11</f>
        <v/>
      </c>
      <c r="F19" s="588">
        <f>F11</f>
        <v/>
      </c>
      <c r="G19" s="588">
        <f>G11</f>
        <v/>
      </c>
      <c r="H19" s="588">
        <f>H11</f>
        <v/>
      </c>
      <c r="I19" s="5" t="n"/>
    </row>
    <row r="20" ht="19.5" customHeight="1" s="794">
      <c r="A20" s="590" t="inlineStr">
        <is>
          <t>ИТОГО</t>
        </is>
      </c>
      <c r="B20" s="1410" t="n"/>
      <c r="C20" s="588">
        <f>C19</f>
        <v/>
      </c>
      <c r="D20" s="588">
        <f>D19</f>
        <v/>
      </c>
      <c r="E20" s="588">
        <f>E19</f>
        <v/>
      </c>
      <c r="F20" s="588">
        <f>F19</f>
        <v/>
      </c>
      <c r="G20" s="588">
        <f>G19</f>
        <v/>
      </c>
      <c r="H20" s="588">
        <f>H19</f>
        <v/>
      </c>
      <c r="I20" s="5" t="n"/>
    </row>
    <row r="21" ht="16.5" customHeight="1" s="794">
      <c r="A21" s="11" t="n"/>
      <c r="B21" s="135" t="n"/>
      <c r="C21" s="1027" t="n"/>
      <c r="D21" s="1027" t="n"/>
      <c r="E21" s="1463" t="n"/>
      <c r="F21" s="1038" t="n"/>
      <c r="G21" s="1038" t="n"/>
      <c r="H21" s="1038" t="n"/>
      <c r="I21" s="5" t="n"/>
    </row>
    <row r="22" ht="36" customHeight="1" s="794">
      <c r="A22" s="240" t="n"/>
      <c r="B22" s="1039" t="inlineStr">
        <is>
          <t>Начальник ОФЭАУ НИОКР</t>
        </is>
      </c>
      <c r="E22" s="732" t="n"/>
      <c r="F22" s="1039" t="inlineStr">
        <is>
          <t>Главный бухгалтер ФГАОУ ВО «СПБПУ»</t>
        </is>
      </c>
      <c r="I22" s="5" t="n"/>
    </row>
    <row r="23" ht="42.75" customFormat="1" customHeight="1" s="1038">
      <c r="A23" s="18" t="n"/>
      <c r="B23" s="734" t="inlineStr">
        <is>
          <t>__________________________ Н.О. Васецкая</t>
        </is>
      </c>
      <c r="C23" s="735" t="n"/>
      <c r="E23" s="735" t="n"/>
      <c r="F23" s="734" t="inlineStr">
        <is>
          <t>________________________ Н.В. Иванова</t>
        </is>
      </c>
      <c r="G23" s="18" t="n"/>
      <c r="H23" s="18" t="n"/>
    </row>
    <row r="24" ht="13.5" customFormat="1" customHeight="1" s="14">
      <c r="A24" s="30" t="n"/>
      <c r="B24" s="30" t="inlineStr">
        <is>
          <t xml:space="preserve">  (подпись)                                                                       (Ф.И.О.)</t>
        </is>
      </c>
      <c r="C24" s="30" t="n"/>
      <c r="E24" s="287" t="n"/>
      <c r="F24" s="58" t="inlineStr">
        <is>
          <t xml:space="preserve">  (подпись)                                                              (Ф.И.О.)</t>
        </is>
      </c>
      <c r="G24" s="287" t="n"/>
      <c r="H24" s="287" t="n"/>
    </row>
    <row r="25" ht="20.25" customHeight="1" s="794">
      <c r="A25" s="240" t="n"/>
      <c r="B25" s="1039" t="inlineStr">
        <is>
          <t>«____» __________________ 2026 г.</t>
        </is>
      </c>
      <c r="E25" s="732" t="n"/>
      <c r="F25" s="735" t="inlineStr">
        <is>
          <t>«____» __________________ 2026 г.</t>
        </is>
      </c>
      <c r="G25" s="240" t="n"/>
      <c r="H25" s="240" t="n"/>
      <c r="I25" s="5" t="n"/>
    </row>
    <row r="26" ht="20.25" customHeight="1" s="794">
      <c r="A26" s="11" t="n"/>
      <c r="B26" s="135" t="n"/>
      <c r="C26" s="1027" t="n"/>
      <c r="D26" s="1027" t="n"/>
      <c r="E26" s="1463" t="n"/>
      <c r="F26" s="1038" t="n"/>
      <c r="G26" s="1038" t="n"/>
      <c r="H26" s="1038" t="n"/>
      <c r="I26" s="5" t="n"/>
    </row>
    <row r="27" hidden="1" ht="29.25" customHeight="1" s="794">
      <c r="A27" s="1032"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G27" s="1032" t="n"/>
      <c r="H27" s="1032" t="n"/>
      <c r="I27" s="5" t="n"/>
    </row>
    <row r="28" hidden="1" ht="43.5" customHeight="1" s="794">
      <c r="A28" s="1033"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G28" s="1033" t="n"/>
      <c r="H28" s="1033" t="n"/>
      <c r="I28" s="5" t="n"/>
    </row>
    <row r="29" hidden="1" ht="33" customHeight="1" s="794">
      <c r="A29" s="1033"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G29" s="1033" t="n"/>
      <c r="H29" s="1033" t="n"/>
      <c r="I29" s="5" t="n"/>
    </row>
    <row r="30" hidden="1" ht="29.25" customHeight="1" s="794">
      <c r="A30" s="1033"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G30" s="1033" t="n"/>
      <c r="H30" s="1033" t="n"/>
      <c r="I30" s="5" t="n"/>
    </row>
    <row r="31" hidden="1" ht="81" customHeight="1" s="794">
      <c r="A31" s="1033"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G31" s="1033" t="n"/>
      <c r="H31" s="1033" t="n"/>
      <c r="I31" s="5" t="n"/>
    </row>
    <row r="32" hidden="1" ht="42" customHeight="1" s="794">
      <c r="A32" s="1032"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G32" s="1032" t="n"/>
      <c r="H32" s="1032" t="n"/>
      <c r="I32" s="5" t="n"/>
    </row>
    <row r="33" hidden="1" ht="20.25" customHeight="1" s="794">
      <c r="A33" s="1038" t="n"/>
      <c r="G33" s="1038" t="n"/>
      <c r="H33" s="1038" t="n"/>
      <c r="I33" s="5" t="n"/>
    </row>
    <row r="34" hidden="1" ht="15.75" customHeight="1" s="794">
      <c r="A34" s="1027" t="inlineStr">
        <is>
          <t>Используемые сокращения и их расшифровка:</t>
        </is>
      </c>
      <c r="G34" s="1027" t="n"/>
      <c r="H34" s="1027" t="n"/>
    </row>
    <row r="35" hidden="1" ht="39" customHeight="1" s="794">
      <c r="B35" s="1031" t="inlineStr">
        <is>
          <t xml:space="preserve">ГОЗ – государственный оборонный заказ;
НИР (ОКР) – научно-исследовательская работа (опытно-конструкторская работа). </t>
        </is>
      </c>
      <c r="G35" s="1031" t="n"/>
      <c r="H35" s="1031" t="n"/>
    </row>
    <row r="36">
      <c r="A36" s="1038" t="n"/>
      <c r="B36" s="1038" t="n"/>
      <c r="C36" s="18" t="n"/>
      <c r="F36" s="1038" t="n"/>
      <c r="G36" s="1038" t="n"/>
      <c r="H36" s="1038" t="n"/>
    </row>
    <row r="37">
      <c r="A37" s="1038" t="n"/>
      <c r="B37" s="1038" t="n"/>
      <c r="C37" s="18" t="n"/>
      <c r="F37" s="1038" t="n"/>
      <c r="G37" s="1038" t="n"/>
      <c r="H37" s="1038" t="n"/>
    </row>
    <row r="38">
      <c r="A38" s="4" t="n"/>
      <c r="B38" s="5" t="n"/>
      <c r="C38" s="5" t="n"/>
      <c r="D38" s="5" t="n"/>
      <c r="E38" s="5" t="n"/>
    </row>
    <row r="40">
      <c r="A40" s="19" t="n"/>
      <c r="B40" s="20" t="n"/>
      <c r="C40" s="1249" t="n"/>
      <c r="D40" s="1249" t="n"/>
      <c r="E40" s="1249"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23">
    <mergeCell ref="B25:C25"/>
    <mergeCell ref="A27:F27"/>
    <mergeCell ref="A7:A8"/>
    <mergeCell ref="B22:C22"/>
    <mergeCell ref="A16:A17"/>
    <mergeCell ref="A33:F33"/>
    <mergeCell ref="F22:H22"/>
    <mergeCell ref="A14:F14"/>
    <mergeCell ref="A32:F32"/>
    <mergeCell ref="A29:F29"/>
    <mergeCell ref="D16:E16"/>
    <mergeCell ref="A28:F28"/>
    <mergeCell ref="D7:E7"/>
    <mergeCell ref="B5:G5"/>
    <mergeCell ref="A31:F31"/>
    <mergeCell ref="B4:G4"/>
    <mergeCell ref="A34:F34"/>
    <mergeCell ref="A30:F30"/>
    <mergeCell ref="B3:G3"/>
    <mergeCell ref="A20:B20"/>
    <mergeCell ref="B7:B8"/>
    <mergeCell ref="B16:B17"/>
    <mergeCell ref="B35:F35"/>
  </mergeCells>
  <printOptions horizontalCentered="1"/>
  <pageMargins left="0.2362204724409449" right="0.2362204724409449" top="0.5511811023622047" bottom="0.5511811023622047" header="0.3149606299212598" footer="0.3149606299212598"/>
  <pageSetup orientation="landscape" paperSize="9" scale="67" firstPageNumber="24"/>
  <rowBreaks count="1" manualBreakCount="1">
    <brk id="37" min="0" max="5" man="1"/>
  </rowBreaks>
</worksheet>
</file>

<file path=xl/worksheets/sheet11.xml><?xml version="1.0" encoding="utf-8"?>
<worksheet xmlns="http://schemas.openxmlformats.org/spreadsheetml/2006/main">
  <sheetPr>
    <tabColor theme="5" tint="0.7999816888943144"/>
    <outlinePr summaryBelow="1" summaryRight="1"/>
    <pageSetUpPr fitToPage="1"/>
  </sheetPr>
  <dimension ref="A1:I85"/>
  <sheetViews>
    <sheetView view="pageBreakPreview" zoomScale="80" zoomScaleNormal="65" zoomScaleSheetLayoutView="80" zoomScalePageLayoutView="30" workbookViewId="0">
      <selection activeCell="H10" sqref="H10:H11"/>
    </sheetView>
  </sheetViews>
  <sheetFormatPr baseColWidth="8" defaultRowHeight="18.75"/>
  <cols>
    <col width="8.28515625" customWidth="1" style="17" min="1" max="1"/>
    <col width="57.140625" customWidth="1" style="7" min="2" max="2"/>
    <col width="26.7109375" customWidth="1" style="7" min="3" max="3"/>
    <col width="23" customWidth="1" style="7" min="4" max="4"/>
    <col width="20.7109375" customWidth="1" style="7" min="5" max="5"/>
    <col width="25.28515625" customWidth="1" style="7" min="6" max="8"/>
    <col width="20.42578125" customWidth="1" style="7" min="9" max="9"/>
    <col width="9.140625" customWidth="1" style="7" min="10" max="10"/>
    <col width="89.42578125" customWidth="1" style="7" min="11" max="11"/>
    <col width="9.140625" customWidth="1" style="7" min="12" max="16384"/>
  </cols>
  <sheetData>
    <row r="1" ht="17.25" customHeight="1" s="794">
      <c r="A1" s="4" t="n"/>
      <c r="B1" s="5" t="n"/>
      <c r="C1" s="5" t="n"/>
      <c r="D1" s="5" t="n"/>
      <c r="E1" s="5" t="n"/>
      <c r="F1" s="6" t="n"/>
      <c r="H1" s="6" t="inlineStr">
        <is>
          <t>Форма № 10 (10д)</t>
        </is>
      </c>
      <c r="I1" s="5" t="n"/>
    </row>
    <row r="2" ht="11.25" customHeight="1" s="794">
      <c r="A2" s="4" t="n"/>
      <c r="B2" s="5" t="n"/>
      <c r="C2" s="5" t="n"/>
      <c r="D2" s="5" t="n"/>
      <c r="E2" s="5" t="n"/>
      <c r="F2" s="5" t="n"/>
      <c r="G2" s="5" t="n"/>
      <c r="H2" s="5" t="n"/>
      <c r="I2" s="5" t="n"/>
    </row>
    <row r="3" ht="24.75" customHeight="1" s="794">
      <c r="B3" s="1028" t="inlineStr">
        <is>
          <t>Расчет-обоснование уровня (%) дополнительной заработной платы основных работников по договорам в рамках ГОЗ на 2025-2027 гг</t>
        </is>
      </c>
      <c r="H3" s="726" t="n"/>
      <c r="I3" s="5" t="n"/>
    </row>
    <row r="4" ht="16.5" customFormat="1" customHeight="1" s="8">
      <c r="B4" s="1040" t="inlineStr">
        <is>
          <t>по ФГАОУ ВО «Санкт-Петербургский политехнический университет Петра Великого»</t>
        </is>
      </c>
      <c r="C4" s="1409" t="n"/>
      <c r="D4" s="1409" t="n"/>
      <c r="E4" s="1409" t="n"/>
      <c r="F4" s="1409" t="n"/>
      <c r="G4" s="1409" t="n"/>
      <c r="H4" s="727" t="n"/>
      <c r="I4" s="1" t="n"/>
    </row>
    <row r="5" ht="18" customHeight="1" s="794">
      <c r="A5" s="9" t="n"/>
      <c r="B5" s="1041" t="inlineStr">
        <is>
          <t>(наименование организации-поставщика (подрядчика, исполнителя))</t>
        </is>
      </c>
      <c r="C5" s="1416" t="n"/>
      <c r="D5" s="1416" t="n"/>
      <c r="E5" s="1416" t="n"/>
      <c r="F5" s="1416" t="n"/>
      <c r="G5" s="1416" t="n"/>
      <c r="H5" s="10" t="n"/>
      <c r="I5" s="5" t="n"/>
    </row>
    <row r="6" ht="16.5" customHeight="1" s="794">
      <c r="A6" s="9" t="n"/>
      <c r="B6" s="1028" t="n"/>
      <c r="C6" s="1028" t="n"/>
      <c r="D6" s="1028" t="n"/>
      <c r="E6" s="1028" t="n"/>
      <c r="F6" s="6" t="n"/>
      <c r="G6" s="6" t="n"/>
      <c r="H6" s="6" t="inlineStr">
        <is>
          <t>(руб.)</t>
        </is>
      </c>
      <c r="I6" s="5" t="n"/>
    </row>
    <row r="7" ht="38.25" customHeight="1" s="794">
      <c r="A7" s="1023" t="inlineStr">
        <is>
          <t>№ п/п</t>
        </is>
      </c>
      <c r="B7" s="1460" t="inlineStr">
        <is>
          <t>Наименование</t>
        </is>
      </c>
      <c r="C7" s="1026" t="inlineStr">
        <is>
          <t>Период, предшествующий отчетному (2023 г.)</t>
        </is>
      </c>
      <c r="D7" s="1026" t="inlineStr">
        <is>
          <t>Отчетный период / период, предшествующий планируемому (2024 г.)</t>
        </is>
      </c>
      <c r="E7" s="1410" t="n"/>
      <c r="F7" s="1026" t="inlineStr">
        <is>
          <t>Планируемый период
(2025 г.)</t>
        </is>
      </c>
      <c r="G7" s="1026" t="inlineStr">
        <is>
          <t>Планируемый период
(2026 г.)</t>
        </is>
      </c>
      <c r="H7" s="1026" t="inlineStr">
        <is>
          <t>Планируемый период
(2027 г.)</t>
        </is>
      </c>
      <c r="I7" s="5" t="n"/>
    </row>
    <row r="8" ht="18" customHeight="1" s="794">
      <c r="A8" s="1413" t="n"/>
      <c r="B8" s="1421" t="n"/>
      <c r="C8" s="125" t="inlineStr">
        <is>
          <t>факт</t>
        </is>
      </c>
      <c r="D8" s="125" t="inlineStr">
        <is>
          <t>план</t>
        </is>
      </c>
      <c r="E8" s="1026" t="inlineStr">
        <is>
          <t>факт</t>
        </is>
      </c>
      <c r="F8" s="1026" t="inlineStr">
        <is>
          <t>план</t>
        </is>
      </c>
      <c r="G8" s="1026" t="inlineStr">
        <is>
          <t>план</t>
        </is>
      </c>
      <c r="H8" s="1026" t="inlineStr">
        <is>
          <t>план</t>
        </is>
      </c>
      <c r="I8" s="5" t="n"/>
    </row>
    <row r="9" ht="15" customHeight="1" s="794">
      <c r="A9" s="1023" t="inlineStr">
        <is>
          <t>1</t>
        </is>
      </c>
      <c r="B9" s="127" t="n">
        <v>2</v>
      </c>
      <c r="C9" s="128" t="n">
        <v>3</v>
      </c>
      <c r="D9" s="129" t="inlineStr">
        <is>
          <t>4.1</t>
        </is>
      </c>
      <c r="E9" s="129" t="inlineStr">
        <is>
          <t>4.2</t>
        </is>
      </c>
      <c r="F9" s="130" t="n">
        <v>5</v>
      </c>
      <c r="G9" s="130" t="n">
        <v>6</v>
      </c>
      <c r="H9" s="130" t="n">
        <v>7</v>
      </c>
      <c r="I9" s="5" t="n"/>
    </row>
    <row r="10" ht="23.25" customHeight="1" s="794">
      <c r="A10" s="1023" t="inlineStr">
        <is>
          <t>1.</t>
        </is>
      </c>
      <c r="B10" s="587" t="inlineStr">
        <is>
          <t>Основная заработная плата основных работников</t>
        </is>
      </c>
      <c r="C10" s="588" t="n">
        <v>0</v>
      </c>
      <c r="D10" s="588" t="n">
        <v>0</v>
      </c>
      <c r="E10" s="588" t="n">
        <v>0</v>
      </c>
      <c r="F10" s="588" t="n">
        <v>0</v>
      </c>
      <c r="G10" s="588" t="n">
        <v>0</v>
      </c>
      <c r="H10" s="588" t="n">
        <v>0</v>
      </c>
      <c r="I10" s="5" t="n"/>
    </row>
    <row r="11" ht="23.25" customHeight="1" s="794">
      <c r="A11" s="1023" t="inlineStr">
        <is>
          <t>2.</t>
        </is>
      </c>
      <c r="B11" s="587" t="inlineStr">
        <is>
          <t>Дополнительная заработная плата основных работников,</t>
        </is>
      </c>
      <c r="C11" s="588" t="n">
        <v>0</v>
      </c>
      <c r="D11" s="588" t="n">
        <v>0</v>
      </c>
      <c r="E11" s="588" t="n">
        <v>0</v>
      </c>
      <c r="F11" s="588" t="n">
        <v>0</v>
      </c>
      <c r="G11" s="588" t="n">
        <v>0</v>
      </c>
      <c r="H11" s="588" t="n">
        <v>0</v>
      </c>
      <c r="I11" s="5" t="n"/>
    </row>
    <row r="12" ht="23.25" customHeight="1" s="794">
      <c r="A12" s="1023" t="inlineStr">
        <is>
          <t>2.1</t>
        </is>
      </c>
      <c r="B12" s="587" t="inlineStr">
        <is>
          <t xml:space="preserve">     в % к основной заработной плате основных работников, %</t>
        </is>
      </c>
      <c r="C12" s="1461">
        <f>C11/C10</f>
        <v/>
      </c>
      <c r="D12" s="1461">
        <f>D11/D10</f>
        <v/>
      </c>
      <c r="E12" s="1461">
        <f>E11/E10</f>
        <v/>
      </c>
      <c r="F12" s="1461">
        <f>F11/F10</f>
        <v/>
      </c>
      <c r="G12" s="1461">
        <f>G11/G10</f>
        <v/>
      </c>
      <c r="H12" s="1461">
        <f>H11/H10</f>
        <v/>
      </c>
      <c r="I12" s="5" t="n"/>
    </row>
    <row r="13" ht="12.75" customHeight="1" s="794">
      <c r="A13" s="1038" t="n"/>
      <c r="B13" s="1038" t="n"/>
      <c r="C13" s="1038" t="n"/>
      <c r="D13" s="1038" t="n"/>
      <c r="E13" s="1038" t="n"/>
      <c r="F13" s="1038" t="n"/>
      <c r="G13" s="1038" t="n"/>
      <c r="H13" s="1038" t="n"/>
      <c r="I13" s="5" t="n"/>
    </row>
    <row r="14" ht="15" customHeight="1" s="794">
      <c r="A14" s="1027" t="inlineStr">
        <is>
          <t xml:space="preserve">                        Структура дополнительной заработной платы</t>
        </is>
      </c>
      <c r="G14" s="1027" t="n"/>
      <c r="H14" s="1027" t="n"/>
      <c r="I14" s="5" t="n"/>
    </row>
    <row r="15" ht="18.75" customHeight="1" s="794">
      <c r="A15" s="131" t="n"/>
      <c r="B15" s="132" t="n"/>
      <c r="C15" s="132" t="n"/>
      <c r="D15" s="132" t="n"/>
      <c r="E15" s="132" t="n"/>
      <c r="G15" s="133" t="n"/>
      <c r="H15" s="133" t="inlineStr">
        <is>
          <t>(руб.)</t>
        </is>
      </c>
      <c r="I15" s="5" t="n"/>
    </row>
    <row r="16" ht="38.25" customHeight="1" s="794">
      <c r="A16" s="1023" t="inlineStr">
        <is>
          <t>№ п/п</t>
        </is>
      </c>
      <c r="B16" s="1462" t="inlineStr">
        <is>
          <t>Наименование выплат</t>
        </is>
      </c>
      <c r="C16" s="1026" t="inlineStr">
        <is>
          <t>Период, предшествующий отчетному (2023 г.)</t>
        </is>
      </c>
      <c r="D16" s="1026" t="inlineStr">
        <is>
          <t>Отчетный период / период, предшествующий планируемому (2024 г.)</t>
        </is>
      </c>
      <c r="E16" s="1410" t="n"/>
      <c r="F16" s="1026" t="inlineStr">
        <is>
          <t>Планируемый период
(2025 г.)</t>
        </is>
      </c>
      <c r="G16" s="1026" t="inlineStr">
        <is>
          <t>Планируемый период
(2026 г.)</t>
        </is>
      </c>
      <c r="H16" s="1026" t="inlineStr">
        <is>
          <t>Планируемый период
(2027 г.)</t>
        </is>
      </c>
      <c r="I16" s="5" t="n"/>
    </row>
    <row r="17" ht="17.25" customHeight="1" s="794">
      <c r="A17" s="1413" t="n"/>
      <c r="B17" s="1414" t="n"/>
      <c r="C17" s="128" t="inlineStr">
        <is>
          <t>факт</t>
        </is>
      </c>
      <c r="D17" s="128" t="inlineStr">
        <is>
          <t>план</t>
        </is>
      </c>
      <c r="E17" s="130" t="inlineStr">
        <is>
          <t>факт</t>
        </is>
      </c>
      <c r="F17" s="130" t="inlineStr">
        <is>
          <t>план</t>
        </is>
      </c>
      <c r="G17" s="130" t="inlineStr">
        <is>
          <t>план</t>
        </is>
      </c>
      <c r="H17" s="130" t="inlineStr">
        <is>
          <t>план</t>
        </is>
      </c>
      <c r="I17" s="5" t="n"/>
    </row>
    <row r="18" ht="16.5" customHeight="1" s="794">
      <c r="A18" s="1023" t="inlineStr">
        <is>
          <t>1</t>
        </is>
      </c>
      <c r="B18" s="1035" t="n">
        <v>2</v>
      </c>
      <c r="C18" s="128" t="n">
        <v>3</v>
      </c>
      <c r="D18" s="129" t="inlineStr">
        <is>
          <t>4.1</t>
        </is>
      </c>
      <c r="E18" s="129" t="inlineStr">
        <is>
          <t>4.2</t>
        </is>
      </c>
      <c r="F18" s="130" t="n">
        <v>5</v>
      </c>
      <c r="G18" s="130" t="n">
        <v>6</v>
      </c>
      <c r="H18" s="130" t="n">
        <v>7</v>
      </c>
      <c r="I18" s="5" t="n"/>
    </row>
    <row r="19" ht="26.25" customHeight="1" s="794">
      <c r="A19" s="1023" t="inlineStr">
        <is>
          <t>1.</t>
        </is>
      </c>
      <c r="B19" s="590" t="inlineStr">
        <is>
          <t>Выплаты отпусков работникам  из резервного отпускного фонда</t>
        </is>
      </c>
      <c r="C19" s="588">
        <f>C11</f>
        <v/>
      </c>
      <c r="D19" s="588">
        <f>D11</f>
        <v/>
      </c>
      <c r="E19" s="588">
        <f>E11</f>
        <v/>
      </c>
      <c r="F19" s="588">
        <f>F11</f>
        <v/>
      </c>
      <c r="G19" s="588">
        <f>G11</f>
        <v/>
      </c>
      <c r="H19" s="588">
        <f>H11</f>
        <v/>
      </c>
      <c r="I19" s="5" t="n"/>
    </row>
    <row r="20" ht="19.5" customHeight="1" s="794">
      <c r="A20" s="590" t="inlineStr">
        <is>
          <t>ИТОГО</t>
        </is>
      </c>
      <c r="B20" s="1410" t="n"/>
      <c r="C20" s="588">
        <f>C19</f>
        <v/>
      </c>
      <c r="D20" s="588">
        <f>D19</f>
        <v/>
      </c>
      <c r="E20" s="588">
        <f>E19</f>
        <v/>
      </c>
      <c r="F20" s="588">
        <f>F19</f>
        <v/>
      </c>
      <c r="G20" s="588">
        <f>G19</f>
        <v/>
      </c>
      <c r="H20" s="588">
        <f>H19</f>
        <v/>
      </c>
      <c r="I20" s="5" t="n"/>
    </row>
    <row r="21" ht="16.5" customHeight="1" s="794">
      <c r="A21" s="11" t="n"/>
      <c r="B21" s="135" t="n"/>
      <c r="C21" s="1027" t="n"/>
      <c r="D21" s="1027" t="n"/>
      <c r="E21" s="1463" t="n"/>
      <c r="F21" s="1038" t="n"/>
      <c r="G21" s="1038" t="n"/>
      <c r="H21" s="1038" t="n"/>
      <c r="I21" s="5" t="n"/>
    </row>
    <row r="22" ht="39" customFormat="1" customHeight="1" s="733">
      <c r="B22" s="732" t="inlineStr">
        <is>
          <t>Начальник ОФЭАУ НИОКР</t>
        </is>
      </c>
      <c r="C22" s="732" t="n"/>
      <c r="F22" s="1039" t="inlineStr">
        <is>
          <t>Главный бухгалтер ФГАОУ ВО «СПБПУ»</t>
        </is>
      </c>
    </row>
    <row r="23" ht="36.75" customFormat="1" customHeight="1" s="733">
      <c r="B23" s="734" t="inlineStr">
        <is>
          <t>__________________________ Н.О. Васецкая</t>
        </is>
      </c>
      <c r="C23" s="735" t="n"/>
      <c r="F23" s="734" t="inlineStr">
        <is>
          <t>________________________ Н.В. Иванова</t>
        </is>
      </c>
      <c r="G23" s="735" t="n"/>
      <c r="H23" s="735" t="n"/>
    </row>
    <row r="24" ht="13.5" customFormat="1" customHeight="1" s="14">
      <c r="B24" s="30" t="inlineStr">
        <is>
          <t xml:space="preserve">  (подпись)                                                                        (Ф.И.О.)</t>
        </is>
      </c>
      <c r="C24" s="30" t="n"/>
      <c r="F24" s="58" t="inlineStr">
        <is>
          <t xml:space="preserve">  (подпись)                                                        (Ф.И.О.)</t>
        </is>
      </c>
      <c r="G24" s="287" t="n"/>
      <c r="H24" s="287" t="n"/>
    </row>
    <row r="25" ht="30" customFormat="1" customHeight="1" s="733">
      <c r="B25" s="732" t="inlineStr">
        <is>
          <t>«____» __________________ 2026 г.</t>
        </is>
      </c>
      <c r="C25" s="732" t="n"/>
      <c r="F25" s="735" t="inlineStr">
        <is>
          <t>«____» __________________ 2026 г.</t>
        </is>
      </c>
      <c r="G25" s="732" t="n"/>
      <c r="H25" s="732" t="n"/>
    </row>
    <row r="26" ht="20.25" customHeight="1" s="794">
      <c r="A26" s="11" t="n"/>
      <c r="B26" s="135" t="n"/>
      <c r="C26" s="1027" t="n"/>
      <c r="D26" s="1027" t="n"/>
      <c r="E26" s="1463" t="n"/>
      <c r="F26" s="1038" t="n"/>
      <c r="G26" s="1038" t="n"/>
      <c r="H26" s="1038" t="n"/>
      <c r="I26" s="5" t="n"/>
    </row>
    <row r="27" hidden="1" ht="29.25" customHeight="1" s="794">
      <c r="A27" s="1032"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G27" s="1032" t="n"/>
      <c r="H27" s="1032" t="n"/>
      <c r="I27" s="5" t="n"/>
    </row>
    <row r="28" hidden="1" ht="43.5" customHeight="1" s="794">
      <c r="A28" s="1033"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G28" s="1033" t="n"/>
      <c r="H28" s="1033" t="n"/>
      <c r="I28" s="5" t="n"/>
    </row>
    <row r="29" hidden="1" ht="33" customHeight="1" s="794">
      <c r="A29" s="1033"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G29" s="1033" t="n"/>
      <c r="H29" s="1033" t="n"/>
      <c r="I29" s="5" t="n"/>
    </row>
    <row r="30" hidden="1" ht="29.25" customHeight="1" s="794">
      <c r="A30" s="1033"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G30" s="1033" t="n"/>
      <c r="H30" s="1033" t="n"/>
      <c r="I30" s="5" t="n"/>
    </row>
    <row r="31" hidden="1" ht="81" customHeight="1" s="794">
      <c r="A31" s="1033"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G31" s="1033" t="n"/>
      <c r="H31" s="1033" t="n"/>
      <c r="I31" s="5" t="n"/>
    </row>
    <row r="32" hidden="1" ht="42" customHeight="1" s="794">
      <c r="A32" s="1032"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G32" s="1032" t="n"/>
      <c r="H32" s="1032" t="n"/>
      <c r="I32" s="5" t="n"/>
    </row>
    <row r="33" hidden="1" ht="20.25" customHeight="1" s="794">
      <c r="A33" s="1038" t="n"/>
      <c r="G33" s="1038" t="n"/>
      <c r="H33" s="1038" t="n"/>
      <c r="I33" s="5" t="n"/>
    </row>
    <row r="34" hidden="1" ht="15.75" customHeight="1" s="794">
      <c r="A34" s="1027" t="inlineStr">
        <is>
          <t>Используемые сокращения и их расшифровка:</t>
        </is>
      </c>
      <c r="G34" s="1027" t="n"/>
      <c r="H34" s="1027" t="n"/>
    </row>
    <row r="35" hidden="1" ht="39" customHeight="1" s="794">
      <c r="B35" s="1031" t="inlineStr">
        <is>
          <t xml:space="preserve">ГОЗ – государственный оборонный заказ;
НИР (ОКР) – научно-исследовательская работа (опытно-конструкторская работа). </t>
        </is>
      </c>
      <c r="G35" s="1031" t="n"/>
      <c r="H35" s="1031" t="n"/>
    </row>
    <row r="36">
      <c r="A36" s="1038" t="n"/>
      <c r="B36" s="1038" t="n"/>
      <c r="C36" s="18" t="n"/>
      <c r="F36" s="1038" t="n"/>
      <c r="G36" s="1038" t="n"/>
      <c r="H36" s="1038" t="n"/>
    </row>
    <row r="37">
      <c r="A37" s="1038" t="n"/>
      <c r="B37" s="1038" t="n"/>
      <c r="C37" s="18" t="n"/>
      <c r="F37" s="1038" t="n"/>
      <c r="G37" s="1038" t="n"/>
      <c r="H37" s="1038" t="n"/>
    </row>
    <row r="38">
      <c r="A38" s="4" t="n"/>
      <c r="B38" s="5" t="n"/>
      <c r="C38" s="5" t="n"/>
      <c r="D38" s="5" t="n"/>
      <c r="E38" s="5" t="n"/>
    </row>
    <row r="40">
      <c r="A40" s="19" t="n"/>
      <c r="B40" s="20" t="n"/>
      <c r="C40" s="1249" t="n"/>
      <c r="D40" s="1249" t="n"/>
      <c r="E40" s="1249"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21">
    <mergeCell ref="A27:F27"/>
    <mergeCell ref="A7:A8"/>
    <mergeCell ref="A16:A17"/>
    <mergeCell ref="A33:F33"/>
    <mergeCell ref="F22:H22"/>
    <mergeCell ref="A14:F14"/>
    <mergeCell ref="A32:F32"/>
    <mergeCell ref="A29:F29"/>
    <mergeCell ref="D16:E16"/>
    <mergeCell ref="A28:F28"/>
    <mergeCell ref="D7:E7"/>
    <mergeCell ref="B5:G5"/>
    <mergeCell ref="A31:F31"/>
    <mergeCell ref="B4:G4"/>
    <mergeCell ref="A34:F34"/>
    <mergeCell ref="A30:F30"/>
    <mergeCell ref="B3:G3"/>
    <mergeCell ref="A20:B20"/>
    <mergeCell ref="B7:B8"/>
    <mergeCell ref="B16:B17"/>
    <mergeCell ref="B35:F35"/>
  </mergeCells>
  <printOptions horizontalCentered="1"/>
  <pageMargins left="0.2362204724409449" right="0.2362204724409449" top="0.5511811023622047" bottom="0.5511811023622047" header="0.3149606299212598" footer="0.3149606299212598"/>
  <pageSetup orientation="landscape" paperSize="9" scale="67" firstPageNumber="24"/>
  <rowBreaks count="1" manualBreakCount="1">
    <brk id="37" min="0" max="5" man="1"/>
  </rowBreaks>
</worksheet>
</file>

<file path=xl/worksheets/sheet12.xml><?xml version="1.0" encoding="utf-8"?>
<worksheet xmlns="http://schemas.openxmlformats.org/spreadsheetml/2006/main">
  <sheetPr>
    <tabColor theme="5" tint="0.7999816888943144"/>
    <outlinePr summaryBelow="1" summaryRight="1"/>
    <pageSetUpPr/>
  </sheetPr>
  <dimension ref="A1:P59"/>
  <sheetViews>
    <sheetView view="pageBreakPreview" zoomScale="70" zoomScaleNormal="100" zoomScaleSheetLayoutView="70" workbookViewId="0">
      <pane ySplit="10" topLeftCell="A23" activePane="bottomLeft" state="frozen"/>
      <selection activeCell="A26" sqref="A26:Q31"/>
      <selection pane="bottomLeft" activeCell="N29" sqref="N29"/>
    </sheetView>
  </sheetViews>
  <sheetFormatPr baseColWidth="8" defaultRowHeight="15"/>
  <cols>
    <col width="4.7109375" customWidth="1" style="28" min="1" max="1"/>
    <col width="41.140625" customWidth="1" style="28" min="2" max="2"/>
    <col width="17" customWidth="1" style="28" min="3" max="3"/>
    <col width="14.85546875" customWidth="1" style="28" min="4" max="4"/>
    <col width="17.140625" customWidth="1" style="28" min="5" max="5"/>
    <col width="14.7109375" customWidth="1" style="28" min="6" max="6"/>
    <col width="9.7109375" customWidth="1" style="28" min="7" max="7"/>
    <col width="17" customWidth="1" style="28" min="8" max="8"/>
    <col width="15" customWidth="1" style="28" min="9" max="9"/>
    <col width="7.42578125" customWidth="1" style="28" min="10" max="10"/>
    <col width="17" customWidth="1" style="28" min="11" max="11"/>
    <col width="14.7109375" customWidth="1" style="28" min="12" max="12"/>
    <col width="7.42578125" customWidth="1" style="28" min="13" max="13"/>
    <col width="17" customWidth="1" style="28" min="14" max="14"/>
    <col width="15" customWidth="1" style="28" min="15" max="15"/>
    <col width="9.140625" customWidth="1" style="596" min="16" max="16"/>
  </cols>
  <sheetData>
    <row r="1" ht="15.75" customHeight="1" s="794">
      <c r="O1" s="595" t="inlineStr">
        <is>
          <t>Форма № 12</t>
        </is>
      </c>
    </row>
    <row r="2" ht="9" customHeight="1" s="794"/>
    <row r="3" ht="18" customHeight="1" s="794">
      <c r="B3" s="1048" t="inlineStr">
        <is>
          <t>Смета и расчет</t>
        </is>
      </c>
      <c r="O3" s="1048" t="n"/>
    </row>
    <row r="4" ht="32.25" customHeight="1" s="794">
      <c r="B4" s="1046" t="inlineStr">
        <is>
          <t>общехозяйственных затрат по приносящей доход деятельности (КФО 2) на 2025-2027 гг
по ФГАОУ ВО «Санкт-Петербургский политехнический университет Петра Великого»</t>
        </is>
      </c>
      <c r="C4" s="1409" t="n"/>
      <c r="D4" s="1409" t="n"/>
      <c r="E4" s="1409" t="n"/>
      <c r="F4" s="1409" t="n"/>
      <c r="G4" s="1409" t="n"/>
      <c r="H4" s="1409" t="n"/>
      <c r="I4" s="1409" t="n"/>
      <c r="J4" s="1409" t="n"/>
      <c r="K4" s="1409" t="n"/>
      <c r="L4" s="1409" t="n"/>
      <c r="M4" s="1409" t="n"/>
      <c r="N4" s="1409" t="n"/>
      <c r="O4" s="598" t="n"/>
    </row>
    <row r="5" ht="13.5" customHeight="1" s="794">
      <c r="A5" s="35" t="n"/>
      <c r="B5" s="1047" t="inlineStr">
        <is>
          <t>(наименование организации-поставщика (подрядчика, исполнителя))</t>
        </is>
      </c>
      <c r="C5" s="1416" t="n"/>
      <c r="D5" s="1416" t="n"/>
      <c r="E5" s="1416" t="n"/>
      <c r="F5" s="1416" t="n"/>
      <c r="G5" s="1416" t="n"/>
      <c r="H5" s="1416" t="n"/>
      <c r="I5" s="1416" t="n"/>
      <c r="J5" s="1416" t="n"/>
      <c r="K5" s="1416" t="n"/>
      <c r="L5" s="1416" t="n"/>
      <c r="M5" s="1416" t="n"/>
      <c r="N5" s="1416" t="n"/>
      <c r="O5" s="36" t="n"/>
    </row>
    <row r="6">
      <c r="A6" s="35" t="n"/>
      <c r="B6" s="35" t="n"/>
      <c r="C6" s="35" t="n"/>
      <c r="D6" s="35" t="n"/>
      <c r="E6" s="35" t="n"/>
      <c r="F6" s="35" t="n"/>
      <c r="G6" s="35" t="n"/>
      <c r="H6" s="35" t="n"/>
      <c r="I6" s="37" t="n"/>
      <c r="J6" s="35" t="n"/>
      <c r="K6" s="35" t="n"/>
      <c r="L6" s="37" t="n"/>
      <c r="M6" s="35" t="n"/>
      <c r="N6" s="35" t="n"/>
      <c r="O6" s="37" t="inlineStr">
        <is>
          <t>(руб.)</t>
        </is>
      </c>
    </row>
    <row r="7" ht="31.5" customFormat="1" customHeight="1" s="599">
      <c r="A7" s="1044" t="inlineStr">
        <is>
          <t>№ п/п</t>
        </is>
      </c>
      <c r="B7" s="1043" t="inlineStr">
        <is>
          <t>Наименование статей</t>
        </is>
      </c>
      <c r="C7" s="1044" t="inlineStr">
        <is>
          <t>Отчетный период / период, предшествующий планируемому
 (год 2024)</t>
        </is>
      </c>
      <c r="D7" s="1412" t="n"/>
      <c r="E7" s="1412" t="n"/>
      <c r="F7" s="1410" t="n"/>
      <c r="G7" s="1042" t="inlineStr">
        <is>
          <t>применяемый индекс цен</t>
        </is>
      </c>
      <c r="H7" s="1043" t="inlineStr">
        <is>
          <t>Планируемый период (год 2025)</t>
        </is>
      </c>
      <c r="I7" s="1410" t="n"/>
      <c r="J7" s="1042" t="inlineStr">
        <is>
          <t>применяемый индекс цен</t>
        </is>
      </c>
      <c r="K7" s="1043" t="inlineStr">
        <is>
          <t>Планируемый период (год 2026)</t>
        </is>
      </c>
      <c r="L7" s="1410" t="n"/>
      <c r="M7" s="1042" t="inlineStr">
        <is>
          <t>применяемый индекс цен5</t>
        </is>
      </c>
      <c r="N7" s="1043" t="inlineStr">
        <is>
          <t>Планируемый период (год 2027)</t>
        </is>
      </c>
      <c r="O7" s="1410" t="n"/>
      <c r="P7" s="596" t="n"/>
    </row>
    <row r="8" ht="54" customFormat="1" customHeight="1" s="599">
      <c r="A8" s="1418" t="n"/>
      <c r="B8" s="1418" t="n"/>
      <c r="C8" s="1043" t="inlineStr">
        <is>
          <t>план</t>
        </is>
      </c>
      <c r="D8" s="1410" t="n"/>
      <c r="E8" s="1043" t="inlineStr">
        <is>
          <t>факт</t>
        </is>
      </c>
      <c r="F8" s="1410" t="n"/>
      <c r="G8" s="1418" t="n"/>
      <c r="H8" s="1042" t="inlineStr">
        <is>
          <t>предложено организацией-поставщиком (подрядчиком, исполнителем)</t>
        </is>
      </c>
      <c r="I8" s="1410" t="n"/>
      <c r="J8" s="1418" t="n"/>
      <c r="K8" s="1042" t="inlineStr">
        <is>
          <t>предложено организацией-поставщиком (подрядчиком, исполнителем)</t>
        </is>
      </c>
      <c r="L8" s="1410" t="n"/>
      <c r="M8" s="1418" t="n"/>
      <c r="N8" s="1042" t="inlineStr">
        <is>
          <t>предложено организацией-поставщиком (подрядчиком, исполнителем)</t>
        </is>
      </c>
      <c r="O8" s="1410" t="n"/>
      <c r="P8" s="596" t="n"/>
    </row>
    <row r="9" ht="61.5" customFormat="1" customHeight="1" s="599">
      <c r="A9" s="1413" t="n"/>
      <c r="B9" s="1413" t="n"/>
      <c r="C9" s="1043" t="inlineStr">
        <is>
          <t>всего</t>
        </is>
      </c>
      <c r="D9" s="1044" t="inlineStr">
        <is>
          <t>в том числе по госконтрактам (контрактам) ГОЗ</t>
        </is>
      </c>
      <c r="E9" s="1043" t="inlineStr">
        <is>
          <t>всего</t>
        </is>
      </c>
      <c r="F9" s="1044" t="inlineStr">
        <is>
          <t>в том числе по госконтрактам (контрактам) ГОЗ</t>
        </is>
      </c>
      <c r="G9" s="1413" t="n"/>
      <c r="H9" s="1043" t="inlineStr">
        <is>
          <t>всего</t>
        </is>
      </c>
      <c r="I9" s="1044" t="inlineStr">
        <is>
          <t>в том числе по госконтрактам (контрактам) ГОЗ</t>
        </is>
      </c>
      <c r="J9" s="1413" t="n"/>
      <c r="K9" s="1043" t="inlineStr">
        <is>
          <t>всего</t>
        </is>
      </c>
      <c r="L9" s="1044" t="inlineStr">
        <is>
          <t>в том числе по госконтрактам (контрактам) ГОЗ</t>
        </is>
      </c>
      <c r="M9" s="1413" t="n"/>
      <c r="N9" s="1043" t="inlineStr">
        <is>
          <t>всего</t>
        </is>
      </c>
      <c r="O9" s="1044" t="inlineStr">
        <is>
          <t>в том числе по госконтрактам (контрактам) ГОЗ</t>
        </is>
      </c>
      <c r="P9" s="596" t="n"/>
    </row>
    <row r="10" customFormat="1" s="599">
      <c r="A10" s="602" t="n">
        <v>1</v>
      </c>
      <c r="B10" s="602" t="n">
        <v>2</v>
      </c>
      <c r="C10" s="602" t="n">
        <v>3</v>
      </c>
      <c r="D10" s="602" t="n">
        <v>4</v>
      </c>
      <c r="E10" s="602" t="n">
        <v>5</v>
      </c>
      <c r="F10" s="602" t="n">
        <v>6</v>
      </c>
      <c r="G10" s="602" t="n">
        <v>7</v>
      </c>
      <c r="H10" s="602" t="n">
        <v>8</v>
      </c>
      <c r="I10" s="602" t="n">
        <v>9</v>
      </c>
      <c r="J10" s="602" t="n">
        <v>10</v>
      </c>
      <c r="K10" s="602" t="n">
        <v>11</v>
      </c>
      <c r="L10" s="602" t="n">
        <v>12</v>
      </c>
      <c r="M10" s="602" t="n">
        <v>13</v>
      </c>
      <c r="N10" s="602" t="n">
        <v>14</v>
      </c>
      <c r="O10" s="602" t="n">
        <v>15</v>
      </c>
      <c r="P10" s="596" t="n"/>
    </row>
    <row r="11" customFormat="1" s="599">
      <c r="A11" s="1043" t="n">
        <v>1</v>
      </c>
      <c r="B11" s="603" t="inlineStr">
        <is>
          <t>211 Заработная плата</t>
        </is>
      </c>
      <c r="C11" s="604" t="n">
        <v>0</v>
      </c>
      <c r="D11" s="604" t="n">
        <v>0</v>
      </c>
      <c r="E11" s="604" t="n">
        <v>0</v>
      </c>
      <c r="F11" s="604" t="n">
        <v>0</v>
      </c>
      <c r="G11" s="605" t="n"/>
      <c r="H11" s="604" t="n">
        <v>0</v>
      </c>
      <c r="I11" s="604" t="n">
        <v>0</v>
      </c>
      <c r="J11" s="605" t="n"/>
      <c r="K11" s="604" t="n">
        <v>0</v>
      </c>
      <c r="L11" s="604" t="n">
        <v>0</v>
      </c>
      <c r="M11" s="605" t="n"/>
      <c r="N11" s="604" t="n">
        <v>0</v>
      </c>
      <c r="O11" s="604" t="n">
        <v>0</v>
      </c>
      <c r="P11" s="606" t="n"/>
    </row>
    <row r="12" customFormat="1" s="599">
      <c r="A12" s="1043" t="n">
        <v>2</v>
      </c>
      <c r="B12" s="603" t="inlineStr">
        <is>
          <t>212 Прочие выплаты</t>
        </is>
      </c>
      <c r="C12" s="604" t="n">
        <v>0</v>
      </c>
      <c r="D12" s="604" t="n">
        <v>0</v>
      </c>
      <c r="E12" s="604" t="n">
        <v>0</v>
      </c>
      <c r="F12" s="604" t="n">
        <v>0</v>
      </c>
      <c r="G12" s="605" t="n"/>
      <c r="H12" s="604" t="n">
        <v>0</v>
      </c>
      <c r="I12" s="604" t="n">
        <v>0</v>
      </c>
      <c r="J12" s="605" t="n"/>
      <c r="K12" s="604" t="n">
        <v>0</v>
      </c>
      <c r="L12" s="604" t="n">
        <v>0</v>
      </c>
      <c r="M12" s="605" t="n"/>
      <c r="N12" s="604" t="n">
        <v>0</v>
      </c>
      <c r="O12" s="604" t="n">
        <v>0</v>
      </c>
      <c r="P12" s="606" t="n"/>
    </row>
    <row r="13" customFormat="1" s="599">
      <c r="A13" s="1043" t="n">
        <v>3</v>
      </c>
      <c r="B13" s="603" t="inlineStr">
        <is>
          <t>213 Начисления на оплату труда</t>
        </is>
      </c>
      <c r="C13" s="604" t="n">
        <v>0</v>
      </c>
      <c r="D13" s="604" t="n">
        <v>0</v>
      </c>
      <c r="E13" s="604" t="n">
        <v>0</v>
      </c>
      <c r="F13" s="604" t="n">
        <v>0</v>
      </c>
      <c r="G13" s="605" t="n"/>
      <c r="H13" s="604" t="n">
        <v>0</v>
      </c>
      <c r="I13" s="604" t="n">
        <v>0</v>
      </c>
      <c r="J13" s="605" t="n"/>
      <c r="K13" s="604" t="n">
        <v>0</v>
      </c>
      <c r="L13" s="604" t="n">
        <v>0</v>
      </c>
      <c r="M13" s="605" t="n"/>
      <c r="N13" s="604" t="n">
        <v>0</v>
      </c>
      <c r="O13" s="604" t="n">
        <v>0</v>
      </c>
      <c r="P13" s="606" t="n"/>
    </row>
    <row r="14" customFormat="1" s="599">
      <c r="A14" s="1043" t="n">
        <v>4</v>
      </c>
      <c r="B14" s="603" t="inlineStr">
        <is>
          <t>221 Услуги связи</t>
        </is>
      </c>
      <c r="C14" s="604" t="n">
        <v>0</v>
      </c>
      <c r="D14" s="604" t="n">
        <v>0</v>
      </c>
      <c r="E14" s="604" t="n">
        <v>0</v>
      </c>
      <c r="F14" s="604" t="n">
        <v>0</v>
      </c>
      <c r="G14" s="605" t="n"/>
      <c r="H14" s="604" t="n">
        <v>0</v>
      </c>
      <c r="I14" s="604" t="n">
        <v>0</v>
      </c>
      <c r="J14" s="605" t="n"/>
      <c r="K14" s="604" t="n">
        <v>0</v>
      </c>
      <c r="L14" s="604" t="n">
        <v>0</v>
      </c>
      <c r="M14" s="605" t="n"/>
      <c r="N14" s="604" t="n">
        <v>0</v>
      </c>
      <c r="O14" s="604" t="n">
        <v>0</v>
      </c>
      <c r="P14" s="606" t="n"/>
    </row>
    <row r="15" customFormat="1" s="599">
      <c r="A15" s="1043" t="n">
        <v>5</v>
      </c>
      <c r="B15" s="603" t="inlineStr">
        <is>
          <t>222 Транспортные услуги</t>
        </is>
      </c>
      <c r="C15" s="604" t="n">
        <v>0</v>
      </c>
      <c r="D15" s="604" t="n">
        <v>0</v>
      </c>
      <c r="E15" s="604" t="n">
        <v>0</v>
      </c>
      <c r="F15" s="604" t="n">
        <v>0</v>
      </c>
      <c r="G15" s="605" t="n"/>
      <c r="H15" s="604" t="n">
        <v>0</v>
      </c>
      <c r="I15" s="604" t="n">
        <v>0</v>
      </c>
      <c r="J15" s="605" t="n"/>
      <c r="K15" s="604" t="n">
        <v>0</v>
      </c>
      <c r="L15" s="604" t="n">
        <v>0</v>
      </c>
      <c r="M15" s="605" t="n"/>
      <c r="N15" s="604" t="n">
        <v>0</v>
      </c>
      <c r="O15" s="604" t="n">
        <v>0</v>
      </c>
      <c r="P15" s="606" t="n"/>
    </row>
    <row r="16" customFormat="1" s="599">
      <c r="A16" s="1043" t="n">
        <v>6</v>
      </c>
      <c r="B16" s="603" t="inlineStr">
        <is>
          <t>223 Коммунальные услуги</t>
        </is>
      </c>
      <c r="C16" s="604" t="n">
        <v>0</v>
      </c>
      <c r="D16" s="604" t="n">
        <v>0</v>
      </c>
      <c r="E16" s="604" t="n">
        <v>0</v>
      </c>
      <c r="F16" s="604" t="n">
        <v>0</v>
      </c>
      <c r="G16" s="605" t="n"/>
      <c r="H16" s="604" t="n">
        <v>0</v>
      </c>
      <c r="I16" s="604" t="n">
        <v>0</v>
      </c>
      <c r="J16" s="605" t="n"/>
      <c r="K16" s="604" t="n">
        <v>0</v>
      </c>
      <c r="L16" s="604" t="n">
        <v>0</v>
      </c>
      <c r="M16" s="605" t="n"/>
      <c r="N16" s="604" t="n">
        <v>0</v>
      </c>
      <c r="O16" s="604" t="n">
        <v>0</v>
      </c>
      <c r="P16" s="606" t="n"/>
    </row>
    <row r="17" ht="30" customFormat="1" customHeight="1" s="599">
      <c r="A17" s="1043" t="n">
        <v>7</v>
      </c>
      <c r="B17" s="603" t="inlineStr">
        <is>
          <t>224 Арендная плата за пользование имуществом</t>
        </is>
      </c>
      <c r="C17" s="604" t="n">
        <v>0</v>
      </c>
      <c r="D17" s="604" t="n">
        <v>0</v>
      </c>
      <c r="E17" s="604" t="n">
        <v>0</v>
      </c>
      <c r="F17" s="604" t="n">
        <v>0</v>
      </c>
      <c r="G17" s="605" t="n"/>
      <c r="H17" s="604" t="n">
        <v>0</v>
      </c>
      <c r="I17" s="604" t="n">
        <v>0</v>
      </c>
      <c r="J17" s="605" t="n"/>
      <c r="K17" s="604" t="n">
        <v>0</v>
      </c>
      <c r="L17" s="604" t="n">
        <v>0</v>
      </c>
      <c r="M17" s="605" t="n"/>
      <c r="N17" s="604" t="n">
        <v>0</v>
      </c>
      <c r="O17" s="604" t="n">
        <v>0</v>
      </c>
      <c r="P17" s="606" t="n"/>
    </row>
    <row r="18" customFormat="1" s="599">
      <c r="A18" s="1043" t="n">
        <v>8</v>
      </c>
      <c r="B18" s="603" t="inlineStr">
        <is>
          <t>225 Услуги по содержанию имущества</t>
        </is>
      </c>
      <c r="C18" s="604" t="n">
        <v>0</v>
      </c>
      <c r="D18" s="604" t="n">
        <v>0</v>
      </c>
      <c r="E18" s="604" t="n">
        <v>0</v>
      </c>
      <c r="F18" s="604" t="n">
        <v>0</v>
      </c>
      <c r="G18" s="605" t="n"/>
      <c r="H18" s="604" t="n">
        <v>0</v>
      </c>
      <c r="I18" s="604" t="n">
        <v>0</v>
      </c>
      <c r="J18" s="605" t="n"/>
      <c r="K18" s="604" t="n">
        <v>0</v>
      </c>
      <c r="L18" s="604" t="n">
        <v>0</v>
      </c>
      <c r="M18" s="605" t="n"/>
      <c r="N18" s="604" t="n">
        <v>0</v>
      </c>
      <c r="O18" s="604" t="n">
        <v>0</v>
      </c>
      <c r="P18" s="606" t="n"/>
    </row>
    <row r="19" customFormat="1" s="599">
      <c r="A19" s="1043" t="n">
        <v>9</v>
      </c>
      <c r="B19" s="603" t="inlineStr">
        <is>
          <t>226 Прочие услуги</t>
        </is>
      </c>
      <c r="C19" s="604" t="n">
        <v>0</v>
      </c>
      <c r="D19" s="604" t="n">
        <v>0</v>
      </c>
      <c r="E19" s="604" t="n">
        <v>0</v>
      </c>
      <c r="F19" s="604" t="n">
        <v>0</v>
      </c>
      <c r="G19" s="605" t="n"/>
      <c r="H19" s="604" t="n">
        <v>0</v>
      </c>
      <c r="I19" s="604" t="n">
        <v>0</v>
      </c>
      <c r="J19" s="605" t="n"/>
      <c r="K19" s="604" t="n">
        <v>0</v>
      </c>
      <c r="L19" s="604" t="n">
        <v>0</v>
      </c>
      <c r="M19" s="605" t="n"/>
      <c r="N19" s="604" t="n">
        <v>0</v>
      </c>
      <c r="O19" s="604" t="n">
        <v>0</v>
      </c>
      <c r="P19" s="606" t="n"/>
    </row>
    <row r="20" ht="30" customFormat="1" customHeight="1" s="599">
      <c r="A20" s="1043" t="n">
        <v>10</v>
      </c>
      <c r="B20" s="603" t="inlineStr">
        <is>
          <t>226 Расходы на амортизацию прав пользования НМА</t>
        </is>
      </c>
      <c r="C20" s="604" t="n">
        <v>0</v>
      </c>
      <c r="D20" s="604" t="n">
        <v>0</v>
      </c>
      <c r="E20" s="604" t="n">
        <v>0</v>
      </c>
      <c r="F20" s="604" t="n">
        <v>0</v>
      </c>
      <c r="G20" s="605" t="n"/>
      <c r="H20" s="604" t="n">
        <v>0</v>
      </c>
      <c r="I20" s="604" t="n">
        <v>0</v>
      </c>
      <c r="J20" s="605" t="n"/>
      <c r="K20" s="604" t="n">
        <v>0</v>
      </c>
      <c r="L20" s="604" t="n">
        <v>0</v>
      </c>
      <c r="M20" s="605" t="n"/>
      <c r="N20" s="604" t="n">
        <v>0</v>
      </c>
      <c r="O20" s="604" t="n">
        <v>0</v>
      </c>
      <c r="P20" s="606" t="n"/>
    </row>
    <row r="21" customFormat="1" s="599">
      <c r="A21" s="1043" t="n">
        <v>11</v>
      </c>
      <c r="B21" s="603" t="inlineStr">
        <is>
          <t>227 Страхование</t>
        </is>
      </c>
      <c r="C21" s="604" t="n">
        <v>0</v>
      </c>
      <c r="D21" s="604" t="n">
        <v>0</v>
      </c>
      <c r="E21" s="604" t="n">
        <v>0</v>
      </c>
      <c r="F21" s="604" t="n">
        <v>0</v>
      </c>
      <c r="G21" s="605" t="n"/>
      <c r="H21" s="604" t="n">
        <v>0</v>
      </c>
      <c r="I21" s="604" t="n">
        <v>0</v>
      </c>
      <c r="J21" s="605" t="n"/>
      <c r="K21" s="604" t="n">
        <v>0</v>
      </c>
      <c r="L21" s="604" t="n">
        <v>0</v>
      </c>
      <c r="M21" s="605" t="n"/>
      <c r="N21" s="604" t="n">
        <v>0</v>
      </c>
      <c r="O21" s="604" t="n">
        <v>0</v>
      </c>
      <c r="P21" s="606" t="n"/>
    </row>
    <row r="22" ht="30" customFormat="1" customHeight="1" s="599">
      <c r="A22" s="1043" t="n">
        <v>13</v>
      </c>
      <c r="B22" s="603" t="inlineStr">
        <is>
          <t>266 Социальные пособия и компенсации персоналу в денежной форме</t>
        </is>
      </c>
      <c r="C22" s="604" t="n">
        <v>0</v>
      </c>
      <c r="D22" s="604" t="n">
        <v>0</v>
      </c>
      <c r="E22" s="604" t="n">
        <v>0</v>
      </c>
      <c r="F22" s="604" t="n">
        <v>0</v>
      </c>
      <c r="G22" s="605" t="n"/>
      <c r="H22" s="604" t="n">
        <v>0</v>
      </c>
      <c r="I22" s="604" t="n">
        <v>0</v>
      </c>
      <c r="J22" s="605" t="n"/>
      <c r="K22" s="604" t="n">
        <v>0</v>
      </c>
      <c r="L22" s="604" t="n">
        <v>0</v>
      </c>
      <c r="M22" s="605" t="n"/>
      <c r="N22" s="604" t="n">
        <v>0</v>
      </c>
      <c r="O22" s="604" t="n">
        <v>0</v>
      </c>
      <c r="P22" s="606" t="n"/>
    </row>
    <row r="23" customFormat="1" s="599">
      <c r="A23" s="1043" t="n">
        <v>14</v>
      </c>
      <c r="B23" s="603" t="inlineStr">
        <is>
          <t>271 Расходы на амортизацию ОС И НМА</t>
        </is>
      </c>
      <c r="C23" s="604" t="n">
        <v>0</v>
      </c>
      <c r="D23" s="604" t="n">
        <v>0</v>
      </c>
      <c r="E23" s="604" t="n">
        <v>0</v>
      </c>
      <c r="F23" s="604" t="n">
        <v>0</v>
      </c>
      <c r="G23" s="605" t="n"/>
      <c r="H23" s="604" t="n">
        <v>0</v>
      </c>
      <c r="I23" s="604" t="n">
        <v>0</v>
      </c>
      <c r="J23" s="605" t="n"/>
      <c r="K23" s="604" t="n">
        <v>0</v>
      </c>
      <c r="L23" s="604" t="n">
        <v>0</v>
      </c>
      <c r="M23" s="605" t="n"/>
      <c r="N23" s="604" t="n">
        <v>0</v>
      </c>
      <c r="O23" s="604" t="n">
        <v>0</v>
      </c>
      <c r="P23" s="606" t="n"/>
    </row>
    <row r="24" customFormat="1" s="599">
      <c r="A24" s="1043" t="n">
        <v>15</v>
      </c>
      <c r="B24" s="603" t="inlineStr">
        <is>
          <t>272 Расходование материальных запасов</t>
        </is>
      </c>
      <c r="C24" s="604" t="n">
        <v>0</v>
      </c>
      <c r="D24" s="604" t="n">
        <v>0</v>
      </c>
      <c r="E24" s="604" t="n">
        <v>0</v>
      </c>
      <c r="F24" s="604" t="n">
        <v>0</v>
      </c>
      <c r="G24" s="605" t="n"/>
      <c r="H24" s="604" t="n">
        <v>0</v>
      </c>
      <c r="I24" s="604" t="n">
        <v>0</v>
      </c>
      <c r="J24" s="605" t="n"/>
      <c r="K24" s="604" t="n">
        <v>0</v>
      </c>
      <c r="L24" s="604" t="n">
        <v>0</v>
      </c>
      <c r="M24" s="605" t="n"/>
      <c r="N24" s="604" t="n">
        <v>0</v>
      </c>
      <c r="O24" s="604" t="n">
        <v>0</v>
      </c>
      <c r="P24" s="606" t="n"/>
    </row>
    <row r="25" customFormat="1" s="599">
      <c r="A25" s="1043" t="n">
        <v>16</v>
      </c>
      <c r="B25" s="603" t="inlineStr">
        <is>
          <t>291  Налоги, пошлины и сборы</t>
        </is>
      </c>
      <c r="C25" s="604" t="n">
        <v>0</v>
      </c>
      <c r="D25" s="604" t="n">
        <v>0</v>
      </c>
      <c r="E25" s="604" t="n">
        <v>0</v>
      </c>
      <c r="F25" s="604" t="n">
        <v>0</v>
      </c>
      <c r="G25" s="605" t="n"/>
      <c r="H25" s="604" t="n">
        <v>0</v>
      </c>
      <c r="I25" s="604" t="n">
        <v>0</v>
      </c>
      <c r="J25" s="605" t="n"/>
      <c r="K25" s="604" t="n">
        <v>0</v>
      </c>
      <c r="L25" s="604" t="n">
        <v>0</v>
      </c>
      <c r="M25" s="605" t="n"/>
      <c r="N25" s="604" t="n">
        <v>0</v>
      </c>
      <c r="O25" s="604" t="n">
        <v>0</v>
      </c>
      <c r="P25" s="606" t="n"/>
    </row>
    <row r="26" ht="30" customFormat="1" customHeight="1" s="599">
      <c r="A26" s="1043" t="n">
        <v>17</v>
      </c>
      <c r="B26" s="603" t="inlineStr">
        <is>
          <t>297 Иные выплаты текущего характера организациям</t>
        </is>
      </c>
      <c r="C26" s="1464" t="n">
        <v>0</v>
      </c>
      <c r="D26" s="1464" t="n">
        <v>0</v>
      </c>
      <c r="E26" s="1464" t="n">
        <v>0</v>
      </c>
      <c r="F26" s="1464" t="n">
        <v>0</v>
      </c>
      <c r="G26" s="605" t="n"/>
      <c r="H26" s="1464" t="n">
        <v>0</v>
      </c>
      <c r="I26" s="1464" t="n">
        <v>0</v>
      </c>
      <c r="J26" s="605" t="n"/>
      <c r="K26" s="1464" t="n">
        <v>0</v>
      </c>
      <c r="L26" s="1464" t="n">
        <v>0</v>
      </c>
      <c r="M26" s="605" t="n"/>
      <c r="N26" s="1464" t="n">
        <v>0</v>
      </c>
      <c r="O26" s="1464" t="n">
        <v>0</v>
      </c>
      <c r="P26" s="606" t="n"/>
    </row>
    <row r="27" ht="15.75" customFormat="1" customHeight="1" s="599" thickBot="1">
      <c r="A27" s="1465" t="inlineStr">
        <is>
          <t>ИТОГО</t>
        </is>
      </c>
      <c r="B27" s="1466" t="n"/>
      <c r="C27" s="608">
        <f>SUM(C11:C26)</f>
        <v/>
      </c>
      <c r="D27" s="608">
        <f>SUM(D11:D26)</f>
        <v/>
      </c>
      <c r="E27" s="608">
        <f>SUM(E11:E26)</f>
        <v/>
      </c>
      <c r="F27" s="608">
        <f>SUM(F11:F26)</f>
        <v/>
      </c>
      <c r="G27" s="609" t="n"/>
      <c r="H27" s="608">
        <f>SUM(H11:H26)</f>
        <v/>
      </c>
      <c r="I27" s="608">
        <f>SUM(I11:I26)</f>
        <v/>
      </c>
      <c r="J27" s="609" t="n"/>
      <c r="K27" s="608">
        <f>SUM(K11:K26)</f>
        <v/>
      </c>
      <c r="L27" s="608">
        <f>SUM(L11:L26)</f>
        <v/>
      </c>
      <c r="M27" s="609" t="n"/>
      <c r="N27" s="608">
        <f>SUM(N11:N26)</f>
        <v/>
      </c>
      <c r="O27" s="608">
        <f>SUM(O11:O26)</f>
        <v/>
      </c>
      <c r="P27" s="606" t="n"/>
    </row>
    <row r="28" ht="66" customFormat="1" customHeight="1" s="599">
      <c r="A28" s="1467" t="inlineStr">
        <is>
          <t>База распределения общехозяйственных затрат / административно-управленческих расходов
(основная заработная плата)6</t>
        </is>
      </c>
      <c r="B28" s="1421" t="n"/>
      <c r="C28" s="610" t="n">
        <v>0</v>
      </c>
      <c r="D28" s="610" t="n">
        <v>0</v>
      </c>
      <c r="E28" s="610" t="n">
        <v>0</v>
      </c>
      <c r="F28" s="610" t="n">
        <v>0</v>
      </c>
      <c r="G28" s="611" t="n"/>
      <c r="H28" s="610" t="n">
        <v>0</v>
      </c>
      <c r="I28" s="610" t="n">
        <v>0</v>
      </c>
      <c r="J28" s="611" t="n"/>
      <c r="K28" s="610" t="n">
        <v>0</v>
      </c>
      <c r="L28" s="610" t="n">
        <v>0</v>
      </c>
      <c r="M28" s="611" t="n"/>
      <c r="N28" s="610" t="n">
        <v>0</v>
      </c>
      <c r="O28" s="610" t="n">
        <v>0</v>
      </c>
      <c r="P28" s="606" t="n"/>
    </row>
    <row r="29" ht="57.75" customFormat="1" customHeight="1" s="599">
      <c r="A29" s="1468" t="inlineStr">
        <is>
          <t>Отношение общехозяйственных затрат / административно-управленческих расходов к базе распределения, %</t>
        </is>
      </c>
      <c r="B29" s="1410" t="n"/>
      <c r="C29" s="612">
        <f>C27/C28</f>
        <v/>
      </c>
      <c r="D29" s="612">
        <f>D27/D28</f>
        <v/>
      </c>
      <c r="E29" s="612">
        <f>E27/E28</f>
        <v/>
      </c>
      <c r="F29" s="612">
        <f>F27/F28</f>
        <v/>
      </c>
      <c r="G29" s="1469" t="n"/>
      <c r="H29" s="612">
        <f>H27/H28</f>
        <v/>
      </c>
      <c r="I29" s="612">
        <f>I27/I28</f>
        <v/>
      </c>
      <c r="J29" s="1469" t="n"/>
      <c r="K29" s="612">
        <f>K27/K28</f>
        <v/>
      </c>
      <c r="L29" s="612">
        <f>L27/L28</f>
        <v/>
      </c>
      <c r="M29" s="1469" t="n"/>
      <c r="N29" s="612">
        <f>N27/N28</f>
        <v/>
      </c>
      <c r="O29" s="612">
        <f>O27/O28</f>
        <v/>
      </c>
      <c r="P29" s="614" t="n"/>
    </row>
    <row r="30" ht="43.5" customFormat="1" customHeight="1" s="599">
      <c r="A30" s="615" t="n"/>
      <c r="B30" s="615" t="n"/>
      <c r="C30" s="615" t="n"/>
      <c r="D30" s="615" t="n"/>
      <c r="E30" s="615" t="n"/>
      <c r="F30" s="615" t="n"/>
      <c r="G30" s="615" t="n"/>
      <c r="H30" s="615" t="n"/>
      <c r="I30" s="615" t="n"/>
      <c r="J30" s="615" t="n"/>
      <c r="K30" s="615" t="n"/>
      <c r="L30" s="615" t="n"/>
      <c r="M30" s="615" t="n"/>
      <c r="N30" s="615" t="n"/>
      <c r="O30" s="615" t="n"/>
      <c r="P30" s="596" t="n"/>
    </row>
    <row r="31" ht="30.75" customFormat="1" customHeight="1" s="197">
      <c r="B31" s="796" t="inlineStr">
        <is>
          <t>Начальник ОФЭАУ НИОКР</t>
        </is>
      </c>
      <c r="C31" s="796" t="n"/>
      <c r="D31" s="796" t="n"/>
      <c r="E31" s="194" t="n"/>
      <c r="I31" s="1049" t="inlineStr">
        <is>
          <t>Главный бухгалтер ФГАОУ ВО «СПБПУ»</t>
        </is>
      </c>
      <c r="N31" s="194" t="n"/>
      <c r="P31" s="616" t="n"/>
    </row>
    <row r="32" ht="34.5" customFormat="1" customHeight="1" s="197">
      <c r="B32" s="789" t="inlineStr">
        <is>
          <t>__________________________ Н.О. Васецкая</t>
        </is>
      </c>
      <c r="C32" s="1098" t="n"/>
      <c r="D32" s="731" t="n"/>
      <c r="E32" s="94" t="n"/>
      <c r="I32" s="795" t="inlineStr">
        <is>
          <t>__________________________ Н.В. Иванова</t>
        </is>
      </c>
      <c r="J32" s="730" t="n"/>
      <c r="K32" s="730" t="n"/>
      <c r="L32" s="730" t="n"/>
      <c r="M32" s="594" t="n"/>
      <c r="N32" s="304" t="n"/>
      <c r="P32" s="616" t="n"/>
    </row>
    <row r="33" ht="16.5" customFormat="1" customHeight="1" s="599">
      <c r="B33" s="58" t="inlineStr">
        <is>
          <t xml:space="preserve">  (подпись)                                                                    (Ф.И.О.)</t>
        </is>
      </c>
      <c r="C33" s="832" t="n"/>
      <c r="D33" s="617" t="n"/>
      <c r="E33" s="18" t="n"/>
      <c r="I33" s="58" t="inlineStr">
        <is>
          <t xml:space="preserve">  (подпись)                                                                       (Ф.И.О.)</t>
        </is>
      </c>
      <c r="M33" s="18" t="n"/>
      <c r="N33" s="58" t="n"/>
      <c r="P33" s="596" t="n"/>
    </row>
    <row r="34" ht="17.25" customFormat="1" customHeight="1" s="197">
      <c r="B34" s="795" t="inlineStr">
        <is>
          <t>«____» __________________ 2026 г.</t>
        </is>
      </c>
      <c r="C34" s="795" t="n"/>
      <c r="D34" s="731" t="n"/>
      <c r="E34" s="94" t="n"/>
      <c r="I34" s="594" t="inlineStr">
        <is>
          <t>«____» __________________ 2026 г.</t>
        </is>
      </c>
      <c r="J34" s="730" t="n"/>
      <c r="K34" s="730" t="n"/>
      <c r="L34" s="730" t="n"/>
      <c r="M34" s="731" t="n"/>
      <c r="N34" s="534" t="n"/>
      <c r="P34" s="616" t="n"/>
    </row>
    <row r="35" ht="18" customFormat="1" customHeight="1" s="599">
      <c r="A35" s="615" t="n"/>
      <c r="B35" s="615" t="n"/>
      <c r="C35" s="615" t="n"/>
      <c r="D35" s="615" t="n"/>
      <c r="E35" s="615" t="n"/>
      <c r="F35" s="615" t="n"/>
      <c r="G35" s="615" t="n"/>
      <c r="H35" s="615" t="n"/>
      <c r="I35" s="615" t="n"/>
      <c r="J35" s="615" t="n"/>
      <c r="K35" s="615" t="n"/>
      <c r="L35" s="615" t="n"/>
      <c r="M35" s="615" t="n"/>
      <c r="N35" s="615" t="n"/>
      <c r="O35" s="615" t="n"/>
      <c r="P35" s="618" t="n"/>
    </row>
    <row r="36" hidden="1" ht="100.15" customHeight="1" s="794">
      <c r="A36" s="1050" t="inlineStr">
        <is>
          <t xml:space="preserve">     1 Административно-управленческие расходы применяются в случае если учётной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
        При наличии различных уровней общехозяйственных затрат / административно-управленческих расходов для различных подразделений организации-потенциального поставщика (подрядчика, исполнителя) представляются сметы в целом по организации и по каждому такому подразделению.</t>
        </is>
      </c>
      <c r="J36" s="1051" t="n"/>
      <c r="K36" s="1051" t="n"/>
      <c r="L36" s="1051" t="n"/>
      <c r="M36" s="1051" t="n"/>
      <c r="N36" s="1051" t="n"/>
      <c r="O36" s="1051" t="n"/>
      <c r="P36" s="618" t="n"/>
    </row>
    <row r="37" hidden="1" ht="29.25" customHeight="1" s="794">
      <c r="A37" s="1050" t="inlineStr">
        <is>
          <t xml:space="preserve">    2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J37" s="1050" t="n"/>
      <c r="K37" s="1050" t="n"/>
      <c r="L37" s="1050" t="n"/>
      <c r="M37" s="1050" t="n"/>
      <c r="N37" s="1050" t="n"/>
      <c r="O37" s="1050" t="n"/>
      <c r="P37" s="621" t="n"/>
    </row>
    <row r="38" hidden="1" ht="17.45" customHeight="1" s="794">
      <c r="A38" s="1014" t="inlineStr">
        <is>
          <t xml:space="preserve">     3 Представляются по статьям затрат согласно Порядку.</t>
        </is>
      </c>
      <c r="J38" s="1014" t="n"/>
      <c r="K38" s="1014" t="n"/>
      <c r="L38" s="1014" t="n"/>
      <c r="M38" s="1014" t="n"/>
      <c r="N38" s="1014" t="n"/>
      <c r="O38" s="1014" t="n"/>
      <c r="P38" s="622" t="n"/>
    </row>
    <row r="39" hidden="1" ht="93" customHeight="1" s="794">
      <c r="A39" s="1014" t="inlineStr">
        <is>
          <t xml:space="preserve">   4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3-6 на каждый год производства продукции, дополнив форму после графы 6 графами, аналогичными по содержанию графам 3-6 соответственно (с последующей корректировкой нумерации граф), для указания информации. </t>
        </is>
      </c>
      <c r="J39" s="1014" t="n"/>
      <c r="K39" s="1014" t="n"/>
      <c r="L39" s="1014" t="n"/>
      <c r="M39" s="1014" t="n"/>
      <c r="N39" s="1014" t="n"/>
      <c r="O39" s="1014" t="n"/>
      <c r="P39" s="622" t="n"/>
    </row>
    <row r="40" hidden="1" ht="16.9" customHeight="1" s="794">
      <c r="A40" s="1014" t="inlineStr">
        <is>
          <t xml:space="preserve">     5 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is>
      </c>
      <c r="J40" s="1014" t="n"/>
      <c r="K40" s="1014" t="n"/>
      <c r="L40" s="1014" t="n"/>
      <c r="M40" s="1014" t="n"/>
      <c r="N40" s="1014" t="n"/>
      <c r="O40" s="1014" t="n"/>
      <c r="P40" s="622" t="n"/>
    </row>
    <row r="41" hidden="1" ht="18.75" customHeight="1" s="794">
      <c r="A41" s="1052" t="inlineStr">
        <is>
          <t xml:space="preserve">     6 Указывается метод распределения затрат согласно Порядку.</t>
        </is>
      </c>
      <c r="J41" s="1052" t="n"/>
      <c r="K41" s="1052" t="n"/>
      <c r="L41" s="1052" t="n"/>
      <c r="M41" s="1052" t="n"/>
      <c r="N41" s="1052" t="n"/>
      <c r="O41" s="1052" t="n"/>
      <c r="P41" s="622" t="n"/>
    </row>
    <row r="42" hidden="1" ht="15" customHeight="1" s="794">
      <c r="A42" s="1052" t="n"/>
      <c r="B42" s="1052" t="n"/>
      <c r="C42" s="1052" t="n"/>
      <c r="D42" s="1052" t="n"/>
      <c r="E42" s="1052" t="n"/>
      <c r="F42" s="1052" t="n"/>
      <c r="G42" s="1052" t="n"/>
      <c r="H42" s="1052" t="n"/>
      <c r="I42" s="1052" t="n"/>
      <c r="J42" s="1052" t="n"/>
      <c r="K42" s="1052" t="n"/>
      <c r="L42" s="1052" t="n"/>
      <c r="M42" s="1052" t="n"/>
      <c r="N42" s="1052" t="n"/>
      <c r="O42" s="1052" t="n"/>
      <c r="P42" s="622" t="n"/>
    </row>
    <row r="43" hidden="1" ht="18" customFormat="1" customHeight="1" s="28">
      <c r="A43" s="969" t="inlineStr">
        <is>
          <t>Используемые сокращения и их расшифровка:</t>
        </is>
      </c>
      <c r="J43" s="969" t="n"/>
      <c r="K43" s="969" t="n"/>
      <c r="L43" s="969" t="n"/>
      <c r="M43" s="969" t="n"/>
      <c r="N43" s="969" t="n"/>
      <c r="O43" s="969" t="n"/>
      <c r="P43" s="621" t="n"/>
    </row>
    <row r="44" hidden="1" ht="29.25" customFormat="1" customHeight="1" s="28">
      <c r="B44" s="1045" t="inlineStr">
        <is>
          <t xml:space="preserve">ГОЗ – государственный оборонный заказ;
НИР (ОКР) – научно-исследовательская работа (опытно-конструкторская работа).
</t>
        </is>
      </c>
      <c r="J44" s="1045" t="n"/>
      <c r="K44" s="1045" t="n"/>
      <c r="L44" s="1045" t="n"/>
      <c r="M44" s="1045" t="n"/>
      <c r="N44" s="1045" t="n"/>
      <c r="O44" s="1045" t="n"/>
      <c r="P44" s="625" t="n"/>
    </row>
    <row r="45" customFormat="1" s="28">
      <c r="A45" s="24" t="n"/>
      <c r="B45" s="225" t="n"/>
      <c r="C45" s="225" t="n"/>
      <c r="D45" s="24" t="n"/>
      <c r="E45" s="24" t="n"/>
      <c r="P45" s="596" t="n"/>
    </row>
    <row r="46" ht="15" customFormat="1" customHeight="1" s="28">
      <c r="A46" s="24" t="n"/>
      <c r="B46" s="13" t="n"/>
      <c r="C46" s="13" t="n"/>
      <c r="D46" s="24" t="n"/>
      <c r="E46" s="24" t="n"/>
      <c r="P46" s="626" t="n"/>
    </row>
    <row r="47" ht="16.5" customFormat="1" customHeight="1" s="28">
      <c r="A47" s="24" t="n"/>
      <c r="D47" s="24" t="n"/>
      <c r="E47" s="24" t="n"/>
      <c r="P47" s="596" t="n"/>
    </row>
    <row r="48" ht="29.25" customFormat="1" customHeight="1" s="28">
      <c r="A48" s="27" t="n"/>
      <c r="D48" s="959" t="n"/>
      <c r="E48" s="24" t="n"/>
      <c r="P48" s="596" t="n"/>
    </row>
    <row r="49" ht="20.25" customFormat="1" customHeight="1" s="28">
      <c r="A49" s="223" t="n"/>
      <c r="D49" s="222" t="n"/>
      <c r="E49" s="1014" t="n"/>
      <c r="P49" s="596" t="n"/>
    </row>
    <row r="50" customFormat="1" s="28">
      <c r="A50" s="627" t="n"/>
      <c r="D50" s="222" t="n"/>
      <c r="E50" s="27" t="n"/>
      <c r="P50" s="596" t="n"/>
    </row>
    <row r="51" customFormat="1" s="28">
      <c r="A51" s="27" t="n"/>
      <c r="D51" s="222" t="n"/>
      <c r="E51" s="223" t="n"/>
      <c r="F51" s="43" t="n"/>
      <c r="P51" s="596" t="n"/>
    </row>
    <row r="52" customFormat="1" s="28">
      <c r="B52" s="240" t="n"/>
      <c r="C52" s="628" t="n"/>
      <c r="D52" s="253" t="n"/>
      <c r="E52" s="57" t="n"/>
      <c r="P52" s="596" t="n"/>
    </row>
    <row r="59" customFormat="1" s="28">
      <c r="B59" s="44" t="n"/>
      <c r="P59" s="596" t="n"/>
    </row>
  </sheetData>
  <mergeCells count="29">
    <mergeCell ref="A41:I41"/>
    <mergeCell ref="N7:O7"/>
    <mergeCell ref="A37:I37"/>
    <mergeCell ref="J7:J9"/>
    <mergeCell ref="C7:F7"/>
    <mergeCell ref="E8:F8"/>
    <mergeCell ref="B5:N5"/>
    <mergeCell ref="B4:N4"/>
    <mergeCell ref="B7:B9"/>
    <mergeCell ref="A27:B27"/>
    <mergeCell ref="B3:N3"/>
    <mergeCell ref="N8:O8"/>
    <mergeCell ref="A38:I38"/>
    <mergeCell ref="A43:I43"/>
    <mergeCell ref="B44:I44"/>
    <mergeCell ref="K8:L8"/>
    <mergeCell ref="H7:I7"/>
    <mergeCell ref="A40:I40"/>
    <mergeCell ref="A39:I39"/>
    <mergeCell ref="C8:D8"/>
    <mergeCell ref="K7:L7"/>
    <mergeCell ref="A7:A9"/>
    <mergeCell ref="A29:B29"/>
    <mergeCell ref="G7:G9"/>
    <mergeCell ref="A36:I36"/>
    <mergeCell ref="M7:M9"/>
    <mergeCell ref="A28:B28"/>
    <mergeCell ref="H8:I8"/>
    <mergeCell ref="I31:M31"/>
  </mergeCells>
  <pageMargins left="0.2362204724409449" right="0.2362204724409449" top="0.5511811023622047" bottom="0.5511811023622047" header="0.3149606299212598" footer="0.3149606299212598"/>
  <pageSetup orientation="landscape" paperSize="9" scale="57"/>
</worksheet>
</file>

<file path=xl/worksheets/sheet13.xml><?xml version="1.0" encoding="utf-8"?>
<worksheet xmlns="http://schemas.openxmlformats.org/spreadsheetml/2006/main">
  <sheetPr>
    <tabColor theme="5" tint="0.7999816888943144"/>
    <outlinePr summaryBelow="1" summaryRight="1"/>
    <pageSetUpPr/>
  </sheetPr>
  <dimension ref="A1:AF114"/>
  <sheetViews>
    <sheetView view="pageBreakPreview" zoomScale="93" zoomScaleNormal="100" zoomScaleSheetLayoutView="93" workbookViewId="0">
      <pane xSplit="3" ySplit="10" topLeftCell="D11" activePane="bottomRight" state="frozen"/>
      <selection activeCell="A26" sqref="A26:Q31"/>
      <selection pane="topRight" activeCell="A26" sqref="A26:Q31"/>
      <selection pane="bottomLeft" activeCell="A26" sqref="A26:Q31"/>
      <selection pane="bottomRight" activeCell="V85" sqref="V85"/>
    </sheetView>
  </sheetViews>
  <sheetFormatPr baseColWidth="8" defaultColWidth="0.85546875" defaultRowHeight="12.75"/>
  <cols>
    <col width="5" customWidth="1" style="22" min="1" max="1"/>
    <col width="38.5703125" customWidth="1" style="239" min="2" max="2"/>
    <col width="8.28515625" customWidth="1" style="24" min="3" max="3"/>
    <col width="12.5703125" customWidth="1" style="22" min="4" max="4"/>
    <col width="6.5703125" customWidth="1" style="22" min="5" max="5"/>
    <col width="13.140625" customWidth="1" style="22" min="6" max="6"/>
    <col width="6.85546875" customWidth="1" style="22" min="7" max="7"/>
    <col width="10.5703125" bestFit="1" customWidth="1" style="22" min="8" max="8"/>
    <col width="6.7109375" customWidth="1" style="22" min="9" max="9"/>
    <col width="11.5703125" customWidth="1" style="22" min="10" max="10"/>
    <col width="7.140625" customWidth="1" style="22" min="11" max="11"/>
    <col width="12.85546875" customWidth="1" style="22" min="12" max="12"/>
    <col width="7" customWidth="1" style="22" min="13" max="13"/>
    <col width="11.42578125" customWidth="1" style="22" min="14" max="14"/>
    <col width="7.140625" customWidth="1" style="22" min="15" max="15"/>
    <col width="12.140625" bestFit="1" customWidth="1" style="22" min="16" max="16"/>
    <col width="6.85546875" customWidth="1" style="22" min="17" max="17"/>
    <col width="11.42578125" customWidth="1" style="22" min="18" max="18"/>
    <col width="7.140625" customWidth="1" style="22" min="19" max="19"/>
    <col width="12.7109375" customWidth="1" style="22" min="20" max="20"/>
    <col width="6.5703125" customWidth="1" style="22" min="21" max="21"/>
    <col width="11.5703125" customWidth="1" style="22" min="22" max="22"/>
    <col width="7.5703125" customWidth="1" style="22" min="23" max="23"/>
    <col width="9.140625" customWidth="1" style="22" min="24" max="24"/>
    <col width="0.85546875" customWidth="1" style="22" min="25" max="16384"/>
  </cols>
  <sheetData>
    <row r="1" ht="15.75" customFormat="1" customHeight="1" s="48">
      <c r="B1" s="252" t="n"/>
      <c r="C1" s="18" t="n"/>
      <c r="N1" s="1059" t="n"/>
      <c r="V1" s="1059" t="inlineStr">
        <is>
          <t>Форма № 21</t>
        </is>
      </c>
      <c r="W1" s="1059" t="n"/>
    </row>
    <row r="2" ht="7.15" customHeight="1" s="794"/>
    <row r="3" ht="17.25" customHeight="1" s="794">
      <c r="B3" s="854" t="inlineStr">
        <is>
          <t>Сведения об объемах поставки продукции, в том числе по государственному оборонному заказу, включая экспортные поставки</t>
        </is>
      </c>
      <c r="W3" s="854" t="n"/>
      <c r="X3" s="854" t="n"/>
    </row>
    <row r="4" ht="15" customFormat="1" customHeight="1" s="48">
      <c r="B4" s="1096" t="inlineStr">
        <is>
          <t>ФГАОУ ВО «Санкт-Петербургский политехнический университет Петра Великого»</t>
        </is>
      </c>
      <c r="C4" s="1409" t="n"/>
      <c r="D4" s="1409" t="n"/>
      <c r="E4" s="1409" t="n"/>
      <c r="F4" s="1409" t="n"/>
      <c r="G4" s="1409" t="n"/>
      <c r="H4" s="1409" t="n"/>
      <c r="I4" s="1409" t="n"/>
      <c r="J4" s="1409" t="n"/>
      <c r="K4" s="1409" t="n"/>
      <c r="L4" s="1409" t="n"/>
      <c r="M4" s="1409" t="n"/>
      <c r="N4" s="1409" t="n"/>
      <c r="O4" s="1409" t="n"/>
      <c r="P4" s="1409" t="n"/>
      <c r="Q4" s="1409" t="n"/>
      <c r="R4" s="1409" t="n"/>
      <c r="S4" s="1409" t="n"/>
      <c r="T4" s="1409" t="n"/>
      <c r="U4" s="1409" t="n"/>
      <c r="V4" s="1409" t="n"/>
    </row>
    <row r="5" ht="12" customFormat="1" customHeight="1" s="23">
      <c r="A5" s="1097" t="inlineStr">
        <is>
          <t>(наименование организации-поставщика (подрядчика, исполнителя))</t>
        </is>
      </c>
    </row>
    <row r="6" ht="6.75" customFormat="1" customHeight="1" s="23">
      <c r="B6" s="629" t="n"/>
      <c r="C6" s="630" t="n"/>
      <c r="D6" s="631" t="n"/>
      <c r="E6" s="631" t="n"/>
      <c r="F6" s="631" t="n"/>
      <c r="G6" s="631" t="n"/>
      <c r="H6" s="631" t="n"/>
      <c r="I6" s="631" t="n"/>
      <c r="J6" s="631" t="n"/>
      <c r="K6" s="631" t="n"/>
    </row>
    <row r="7" ht="18.75" customHeight="1" s="794">
      <c r="A7" s="1067" t="inlineStr">
        <is>
          <t>№ строки</t>
        </is>
      </c>
      <c r="B7" s="1069" t="inlineStr">
        <is>
          <t>Наименование</t>
        </is>
      </c>
      <c r="C7" s="1070" t="inlineStr">
        <is>
          <t>Единица
измерения</t>
        </is>
      </c>
      <c r="D7" s="1062" t="inlineStr">
        <is>
          <t>Отчет за n-ый год (2024 г.)</t>
        </is>
      </c>
      <c r="E7" s="1412" t="n"/>
      <c r="F7" s="1412" t="n"/>
      <c r="G7" s="1412" t="n"/>
      <c r="H7" s="1412" t="n"/>
      <c r="I7" s="1412" t="n"/>
      <c r="J7" s="1412" t="n"/>
      <c r="K7" s="1410" t="n"/>
      <c r="L7" s="849" t="inlineStr">
        <is>
          <t>Предусмотрено бизнес-планом на 2025 г.</t>
        </is>
      </c>
      <c r="M7" s="1412" t="n"/>
      <c r="N7" s="1412" t="n"/>
      <c r="O7" s="1410" t="n"/>
      <c r="P7" s="849" t="inlineStr">
        <is>
          <t>Предусмотрено бизнес-планом на 2026 г.</t>
        </is>
      </c>
      <c r="Q7" s="1412" t="n"/>
      <c r="R7" s="1412" t="n"/>
      <c r="S7" s="1410" t="n"/>
      <c r="T7" s="849" t="inlineStr">
        <is>
          <t>Предусмотрено бизнес-планом на 2027 г.</t>
        </is>
      </c>
      <c r="U7" s="1412" t="n"/>
      <c r="V7" s="1412" t="n"/>
      <c r="W7" s="1410" t="n"/>
      <c r="X7" s="958" t="n"/>
    </row>
    <row r="8" ht="56.25" customHeight="1" s="794">
      <c r="A8" s="1419" t="n"/>
      <c r="B8" s="1418" t="n"/>
      <c r="C8" s="1419" t="n"/>
      <c r="D8" s="1063" t="inlineStr">
        <is>
          <t>в целом по предприятию</t>
        </is>
      </c>
      <c r="E8" s="1416" t="n"/>
      <c r="F8" s="1416" t="n"/>
      <c r="G8" s="1416" t="n"/>
      <c r="H8" s="1065" t="inlineStr">
        <is>
          <t>в том числе по государственным
контрактам (контрактам) ГОЗ</t>
        </is>
      </c>
      <c r="I8" s="1416" t="n"/>
      <c r="J8" s="1416" t="n"/>
      <c r="K8" s="1416" t="n"/>
      <c r="L8" s="849" t="inlineStr">
        <is>
          <t>в целом по предприятию</t>
        </is>
      </c>
      <c r="M8" s="1410" t="n"/>
      <c r="N8" s="849" t="inlineStr">
        <is>
          <t>в том числе по государственным контрактам (контрактам) ГОЗ</t>
        </is>
      </c>
      <c r="O8" s="1410" t="n"/>
      <c r="P8" s="849" t="inlineStr">
        <is>
          <t>в целом по предприятию</t>
        </is>
      </c>
      <c r="Q8" s="1410" t="n"/>
      <c r="R8" s="849" t="inlineStr">
        <is>
          <t>в том числе по государственным контрактам (контрактам) ГОЗ</t>
        </is>
      </c>
      <c r="S8" s="1410" t="n"/>
      <c r="T8" s="849" t="inlineStr">
        <is>
          <t>в целом по предприятию</t>
        </is>
      </c>
      <c r="U8" s="1410" t="n"/>
      <c r="V8" s="849" t="inlineStr">
        <is>
          <t>в том числе по государственным контрактам (контрактам) ГОЗ</t>
        </is>
      </c>
      <c r="W8" s="1410" t="n"/>
      <c r="X8" s="958" t="n"/>
    </row>
    <row r="9" ht="46.5" customHeight="1" s="794">
      <c r="A9" s="1419" t="n"/>
      <c r="B9" s="1413" t="n"/>
      <c r="C9" s="1419" t="n"/>
      <c r="D9" s="1067" t="inlineStr">
        <is>
          <t>план</t>
        </is>
      </c>
      <c r="E9" s="1070" t="inlineStr">
        <is>
          <t>в том числе на экспорт</t>
        </is>
      </c>
      <c r="F9" s="1067" t="inlineStr">
        <is>
          <t>факт</t>
        </is>
      </c>
      <c r="G9" s="1070" t="inlineStr">
        <is>
          <t>в том числе на экспорт</t>
        </is>
      </c>
      <c r="H9" s="1067" t="inlineStr">
        <is>
          <t>план</t>
        </is>
      </c>
      <c r="I9" s="1070" t="inlineStr">
        <is>
          <t>в том числе на экспорт</t>
        </is>
      </c>
      <c r="J9" s="1067" t="inlineStr">
        <is>
          <t>факт</t>
        </is>
      </c>
      <c r="K9" s="1070" t="inlineStr">
        <is>
          <t>в том числе на экспорт</t>
        </is>
      </c>
      <c r="L9" s="634" t="inlineStr">
        <is>
          <t>план</t>
        </is>
      </c>
      <c r="M9" s="635" t="inlineStr">
        <is>
          <t>в том числе на экспорт</t>
        </is>
      </c>
      <c r="N9" s="634" t="inlineStr">
        <is>
          <t>план</t>
        </is>
      </c>
      <c r="O9" s="635" t="inlineStr">
        <is>
          <t>в том числе на экспорт</t>
        </is>
      </c>
      <c r="P9" s="634" t="inlineStr">
        <is>
          <t>план</t>
        </is>
      </c>
      <c r="Q9" s="635" t="inlineStr">
        <is>
          <t>в том числе на экспорт</t>
        </is>
      </c>
      <c r="R9" s="634" t="inlineStr">
        <is>
          <t>план</t>
        </is>
      </c>
      <c r="S9" s="635" t="inlineStr">
        <is>
          <t>в том числе на экспорт</t>
        </is>
      </c>
      <c r="T9" s="634" t="inlineStr">
        <is>
          <t>план</t>
        </is>
      </c>
      <c r="U9" s="635" t="inlineStr">
        <is>
          <t>в том числе на экспорт</t>
        </is>
      </c>
      <c r="V9" s="634" t="inlineStr">
        <is>
          <t>план</t>
        </is>
      </c>
      <c r="W9" s="635" t="inlineStr">
        <is>
          <t>в том числе на экспорт</t>
        </is>
      </c>
      <c r="X9" s="636" t="n"/>
    </row>
    <row r="10" ht="12" customFormat="1" customHeight="1" s="24">
      <c r="A10" s="1072" t="n">
        <v>1</v>
      </c>
      <c r="B10" s="637" t="n">
        <v>2</v>
      </c>
      <c r="C10" s="1072" t="n">
        <v>3</v>
      </c>
      <c r="D10" s="1072" t="n">
        <v>4</v>
      </c>
      <c r="E10" s="1072" t="n">
        <v>5</v>
      </c>
      <c r="F10" s="1072" t="n">
        <v>6</v>
      </c>
      <c r="G10" s="1072" t="n">
        <v>7</v>
      </c>
      <c r="H10" s="1072" t="n">
        <v>8</v>
      </c>
      <c r="I10" s="1072" t="n">
        <v>9</v>
      </c>
      <c r="J10" s="1072" t="n">
        <v>10</v>
      </c>
      <c r="K10" s="1072" t="n">
        <v>11</v>
      </c>
      <c r="L10" s="1062" t="n">
        <v>12</v>
      </c>
      <c r="M10" s="1062" t="n">
        <v>13</v>
      </c>
      <c r="N10" s="1062" t="n">
        <v>14</v>
      </c>
      <c r="O10" s="1062" t="n">
        <v>15</v>
      </c>
      <c r="P10" s="1062" t="n">
        <v>16</v>
      </c>
      <c r="Q10" s="1062" t="n">
        <v>17</v>
      </c>
      <c r="R10" s="1062" t="n">
        <v>18</v>
      </c>
      <c r="S10" s="1062" t="n">
        <v>19</v>
      </c>
      <c r="T10" s="1062" t="n">
        <v>20</v>
      </c>
      <c r="U10" s="1062" t="n">
        <v>21</v>
      </c>
      <c r="V10" s="1062" t="n">
        <v>22</v>
      </c>
      <c r="W10" s="1062" t="n">
        <v>23</v>
      </c>
      <c r="X10" s="969" t="n"/>
    </row>
    <row r="11" ht="25.5" customFormat="1" customHeight="1" s="300">
      <c r="A11" s="638" t="inlineStr">
        <is>
          <t>1.</t>
        </is>
      </c>
      <c r="B11" s="639" t="inlineStr">
        <is>
          <t>Выручка (нетто) от реализации продукции (без НДС)</t>
        </is>
      </c>
      <c r="C11" s="1081" t="inlineStr">
        <is>
          <t>тыс. руб.</t>
        </is>
      </c>
      <c r="D11" s="641" t="n">
        <v>0</v>
      </c>
      <c r="E11" s="1081" t="inlineStr">
        <is>
          <t>Х</t>
        </is>
      </c>
      <c r="F11" s="641" t="n">
        <v>0</v>
      </c>
      <c r="G11" s="1081" t="inlineStr">
        <is>
          <t>Х</t>
        </is>
      </c>
      <c r="H11" s="641" t="n">
        <v>0</v>
      </c>
      <c r="I11" s="1081" t="inlineStr">
        <is>
          <t>Х</t>
        </is>
      </c>
      <c r="J11" s="641" t="n">
        <v>0</v>
      </c>
      <c r="K11" s="1081" t="inlineStr">
        <is>
          <t>Х</t>
        </is>
      </c>
      <c r="L11" s="641" t="n">
        <v>0</v>
      </c>
      <c r="M11" s="1081" t="inlineStr">
        <is>
          <t>Х</t>
        </is>
      </c>
      <c r="N11" s="641" t="n">
        <v>0</v>
      </c>
      <c r="O11" s="642" t="inlineStr">
        <is>
          <t>Х</t>
        </is>
      </c>
      <c r="P11" s="641" t="n">
        <v>0</v>
      </c>
      <c r="Q11" s="1081" t="inlineStr">
        <is>
          <t>Х</t>
        </is>
      </c>
      <c r="R11" s="641" t="n">
        <v>0</v>
      </c>
      <c r="S11" s="642" t="inlineStr">
        <is>
          <t>Х</t>
        </is>
      </c>
      <c r="T11" s="641" t="n">
        <v>0</v>
      </c>
      <c r="U11" s="1081" t="inlineStr">
        <is>
          <t>Х</t>
        </is>
      </c>
      <c r="V11" s="641" t="n">
        <v>0</v>
      </c>
      <c r="W11" s="642" t="inlineStr">
        <is>
          <t>Х</t>
        </is>
      </c>
      <c r="X11" s="1114" t="n"/>
    </row>
    <row r="12" ht="42" customFormat="1" customHeight="1" s="300">
      <c r="A12" s="638" t="inlineStr">
        <is>
          <t>2.</t>
        </is>
      </c>
      <c r="B12" s="639" t="inlineStr">
        <is>
          <t>Финансовый результат (+ прибыль/ - убыток) 
от реализации продукции</t>
        </is>
      </c>
      <c r="C12" s="1081" t="inlineStr">
        <is>
          <t>тыс. руб.</t>
        </is>
      </c>
      <c r="D12" s="641">
        <f>D11-D22</f>
        <v/>
      </c>
      <c r="E12" s="1081" t="inlineStr">
        <is>
          <t>Х</t>
        </is>
      </c>
      <c r="F12" s="641">
        <f>F11-F22</f>
        <v/>
      </c>
      <c r="G12" s="1081" t="inlineStr">
        <is>
          <t>Х</t>
        </is>
      </c>
      <c r="H12" s="642" t="inlineStr">
        <is>
          <t>X</t>
        </is>
      </c>
      <c r="I12" s="1081" t="inlineStr">
        <is>
          <t>Х</t>
        </is>
      </c>
      <c r="J12" s="642" t="inlineStr">
        <is>
          <t>X</t>
        </is>
      </c>
      <c r="K12" s="1081" t="inlineStr">
        <is>
          <t>Х</t>
        </is>
      </c>
      <c r="L12" s="643">
        <f>L11-L22</f>
        <v/>
      </c>
      <c r="M12" s="1081" t="inlineStr">
        <is>
          <t>Х</t>
        </is>
      </c>
      <c r="N12" s="642" t="inlineStr">
        <is>
          <t>X</t>
        </is>
      </c>
      <c r="O12" s="642" t="inlineStr">
        <is>
          <t>Х</t>
        </is>
      </c>
      <c r="P12" s="643">
        <f>P11-P22</f>
        <v/>
      </c>
      <c r="Q12" s="1081" t="inlineStr">
        <is>
          <t>Х</t>
        </is>
      </c>
      <c r="R12" s="642" t="inlineStr">
        <is>
          <t>X</t>
        </is>
      </c>
      <c r="S12" s="642" t="inlineStr">
        <is>
          <t>Х</t>
        </is>
      </c>
      <c r="T12" s="643">
        <f>T11-T22</f>
        <v/>
      </c>
      <c r="U12" s="1081" t="inlineStr">
        <is>
          <t>Х</t>
        </is>
      </c>
      <c r="V12" s="642" t="inlineStr">
        <is>
          <t>X</t>
        </is>
      </c>
      <c r="W12" s="642" t="inlineStr">
        <is>
          <t>Х</t>
        </is>
      </c>
      <c r="X12" s="1114" t="n"/>
    </row>
    <row r="13" customFormat="1" s="300">
      <c r="A13" s="644" t="inlineStr">
        <is>
          <t>2.1</t>
        </is>
      </c>
      <c r="B13" s="645" t="inlineStr">
        <is>
          <t>валовая прибыль (убыток)</t>
        </is>
      </c>
      <c r="C13" s="572" t="inlineStr">
        <is>
          <t>тыс. руб.</t>
        </is>
      </c>
      <c r="D13" s="1470" t="n">
        <v>0</v>
      </c>
      <c r="E13" s="1081" t="inlineStr">
        <is>
          <t>Х</t>
        </is>
      </c>
      <c r="F13" s="643" t="n"/>
      <c r="G13" s="1081" t="inlineStr">
        <is>
          <t>Х</t>
        </is>
      </c>
      <c r="H13" s="1080" t="inlineStr">
        <is>
          <t>X</t>
        </is>
      </c>
      <c r="I13" s="1081" t="inlineStr">
        <is>
          <t>Х</t>
        </is>
      </c>
      <c r="J13" s="1080" t="inlineStr">
        <is>
          <t>X</t>
        </is>
      </c>
      <c r="K13" s="1081" t="inlineStr">
        <is>
          <t>Х</t>
        </is>
      </c>
      <c r="L13" s="643" t="n"/>
      <c r="M13" s="1081" t="inlineStr">
        <is>
          <t>Х</t>
        </is>
      </c>
      <c r="N13" s="1080" t="inlineStr">
        <is>
          <t>X</t>
        </is>
      </c>
      <c r="O13" s="642" t="inlineStr">
        <is>
          <t>Х</t>
        </is>
      </c>
      <c r="P13" s="643" t="n"/>
      <c r="Q13" s="1081" t="inlineStr">
        <is>
          <t>Х</t>
        </is>
      </c>
      <c r="R13" s="1080" t="inlineStr">
        <is>
          <t>X</t>
        </is>
      </c>
      <c r="S13" s="642" t="inlineStr">
        <is>
          <t>Х</t>
        </is>
      </c>
      <c r="T13" s="643" t="n"/>
      <c r="U13" s="1081" t="inlineStr">
        <is>
          <t>Х</t>
        </is>
      </c>
      <c r="V13" s="1080" t="inlineStr">
        <is>
          <t>X</t>
        </is>
      </c>
      <c r="W13" s="642" t="inlineStr">
        <is>
          <t>Х</t>
        </is>
      </c>
      <c r="X13" s="1114" t="n"/>
    </row>
    <row r="14" customFormat="1" s="300">
      <c r="A14" s="644" t="inlineStr">
        <is>
          <t>2.2</t>
        </is>
      </c>
      <c r="B14" s="645" t="inlineStr">
        <is>
          <t>прибыль (убыток) от продаж</t>
        </is>
      </c>
      <c r="C14" s="572" t="inlineStr">
        <is>
          <t>тыс. руб.</t>
        </is>
      </c>
      <c r="D14" s="1470" t="n">
        <v>0</v>
      </c>
      <c r="E14" s="1081" t="inlineStr">
        <is>
          <t>Х</t>
        </is>
      </c>
      <c r="F14" s="643" t="n"/>
      <c r="G14" s="1081" t="inlineStr">
        <is>
          <t>Х</t>
        </is>
      </c>
      <c r="H14" s="1080" t="inlineStr">
        <is>
          <t>X</t>
        </is>
      </c>
      <c r="I14" s="1081" t="inlineStr">
        <is>
          <t>Х</t>
        </is>
      </c>
      <c r="J14" s="1080" t="inlineStr">
        <is>
          <t>X</t>
        </is>
      </c>
      <c r="K14" s="1081" t="inlineStr">
        <is>
          <t>Х</t>
        </is>
      </c>
      <c r="L14" s="643" t="n"/>
      <c r="M14" s="1081" t="inlineStr">
        <is>
          <t>Х</t>
        </is>
      </c>
      <c r="N14" s="1080" t="inlineStr">
        <is>
          <t>X</t>
        </is>
      </c>
      <c r="O14" s="642" t="inlineStr">
        <is>
          <t>Х</t>
        </is>
      </c>
      <c r="P14" s="643" t="n"/>
      <c r="Q14" s="1081" t="inlineStr">
        <is>
          <t>Х</t>
        </is>
      </c>
      <c r="R14" s="1080" t="inlineStr">
        <is>
          <t>X</t>
        </is>
      </c>
      <c r="S14" s="642" t="inlineStr">
        <is>
          <t>Х</t>
        </is>
      </c>
      <c r="T14" s="643" t="n"/>
      <c r="U14" s="1081" t="inlineStr">
        <is>
          <t>Х</t>
        </is>
      </c>
      <c r="V14" s="1080" t="inlineStr">
        <is>
          <t>X</t>
        </is>
      </c>
      <c r="W14" s="642" t="inlineStr">
        <is>
          <t>Х</t>
        </is>
      </c>
      <c r="X14" s="1114" t="n"/>
    </row>
    <row r="15" customFormat="1" s="300">
      <c r="A15" s="644" t="inlineStr">
        <is>
          <t>2.3</t>
        </is>
      </c>
      <c r="B15" s="645" t="inlineStr">
        <is>
          <t>прибыль (убыток) до налогообложения</t>
        </is>
      </c>
      <c r="C15" s="572" t="inlineStr">
        <is>
          <t>тыс. руб.</t>
        </is>
      </c>
      <c r="D15" s="647">
        <f>D12</f>
        <v/>
      </c>
      <c r="E15" s="1081" t="inlineStr">
        <is>
          <t>Х</t>
        </is>
      </c>
      <c r="F15" s="641" t="n">
        <v>0</v>
      </c>
      <c r="G15" s="1081" t="inlineStr">
        <is>
          <t>Х</t>
        </is>
      </c>
      <c r="H15" s="1080" t="inlineStr">
        <is>
          <t>X</t>
        </is>
      </c>
      <c r="I15" s="1081" t="inlineStr">
        <is>
          <t>Х</t>
        </is>
      </c>
      <c r="J15" s="1080" t="inlineStr">
        <is>
          <t>X</t>
        </is>
      </c>
      <c r="K15" s="1081" t="inlineStr">
        <is>
          <t>Х</t>
        </is>
      </c>
      <c r="L15" s="643">
        <f>L12</f>
        <v/>
      </c>
      <c r="M15" s="1081" t="inlineStr">
        <is>
          <t>Х</t>
        </is>
      </c>
      <c r="N15" s="1080" t="inlineStr">
        <is>
          <t>X</t>
        </is>
      </c>
      <c r="O15" s="642" t="inlineStr">
        <is>
          <t>Х</t>
        </is>
      </c>
      <c r="P15" s="643">
        <f>P12</f>
        <v/>
      </c>
      <c r="Q15" s="1081" t="inlineStr">
        <is>
          <t>Х</t>
        </is>
      </c>
      <c r="R15" s="1080" t="inlineStr">
        <is>
          <t>X</t>
        </is>
      </c>
      <c r="S15" s="642" t="inlineStr">
        <is>
          <t>Х</t>
        </is>
      </c>
      <c r="T15" s="643">
        <f>T12</f>
        <v/>
      </c>
      <c r="U15" s="1081" t="inlineStr">
        <is>
          <t>Х</t>
        </is>
      </c>
      <c r="V15" s="1080" t="inlineStr">
        <is>
          <t>X</t>
        </is>
      </c>
      <c r="W15" s="642" t="inlineStr">
        <is>
          <t>Х</t>
        </is>
      </c>
      <c r="X15" s="1114" t="n"/>
    </row>
    <row r="16" customFormat="1" s="300">
      <c r="A16" s="644" t="inlineStr">
        <is>
          <t>2.4</t>
        </is>
      </c>
      <c r="B16" s="645" t="inlineStr">
        <is>
          <t>чистая прибыль (убыток)</t>
        </is>
      </c>
      <c r="C16" s="572" t="inlineStr">
        <is>
          <t>тыс. руб.</t>
        </is>
      </c>
      <c r="D16" s="647">
        <f>D15*0.8</f>
        <v/>
      </c>
      <c r="E16" s="1081" t="inlineStr">
        <is>
          <t>Х</t>
        </is>
      </c>
      <c r="F16" s="641" t="n">
        <v>0</v>
      </c>
      <c r="G16" s="1081" t="inlineStr">
        <is>
          <t>Х</t>
        </is>
      </c>
      <c r="H16" s="1080" t="inlineStr">
        <is>
          <t>X</t>
        </is>
      </c>
      <c r="I16" s="1081" t="inlineStr">
        <is>
          <t>Х</t>
        </is>
      </c>
      <c r="J16" s="1080" t="inlineStr">
        <is>
          <t>X</t>
        </is>
      </c>
      <c r="K16" s="1081" t="inlineStr">
        <is>
          <t>Х</t>
        </is>
      </c>
      <c r="L16" s="643" t="n">
        <v>0</v>
      </c>
      <c r="M16" s="1081" t="inlineStr">
        <is>
          <t>Х</t>
        </is>
      </c>
      <c r="N16" s="1080" t="inlineStr">
        <is>
          <t>X</t>
        </is>
      </c>
      <c r="O16" s="642" t="inlineStr">
        <is>
          <t>Х</t>
        </is>
      </c>
      <c r="P16" s="643" t="n">
        <v>0</v>
      </c>
      <c r="Q16" s="1081" t="inlineStr">
        <is>
          <t>Х</t>
        </is>
      </c>
      <c r="R16" s="1080" t="inlineStr">
        <is>
          <t>X</t>
        </is>
      </c>
      <c r="S16" s="642" t="inlineStr">
        <is>
          <t>Х</t>
        </is>
      </c>
      <c r="T16" s="643" t="n">
        <v>0</v>
      </c>
      <c r="U16" s="1081" t="inlineStr">
        <is>
          <t>Х</t>
        </is>
      </c>
      <c r="V16" s="1080" t="inlineStr">
        <is>
          <t>X</t>
        </is>
      </c>
      <c r="W16" s="642" t="inlineStr">
        <is>
          <t>Х</t>
        </is>
      </c>
      <c r="X16" s="1114" t="n"/>
    </row>
    <row r="17" customFormat="1" s="300">
      <c r="A17" s="644" t="inlineStr">
        <is>
          <t>3.</t>
        </is>
      </c>
      <c r="B17" s="648" t="inlineStr">
        <is>
          <t>Уровень рентабельности</t>
        </is>
      </c>
      <c r="C17" s="572" t="n"/>
      <c r="D17" s="572" t="n"/>
      <c r="E17" s="572" t="inlineStr">
        <is>
          <t>Х</t>
        </is>
      </c>
      <c r="F17" s="572" t="n"/>
      <c r="G17" s="572" t="inlineStr">
        <is>
          <t>Х</t>
        </is>
      </c>
      <c r="H17" s="1080" t="inlineStr">
        <is>
          <t>X</t>
        </is>
      </c>
      <c r="I17" s="572" t="inlineStr">
        <is>
          <t>Х</t>
        </is>
      </c>
      <c r="J17" s="1080" t="inlineStr">
        <is>
          <t>X</t>
        </is>
      </c>
      <c r="K17" s="572" t="inlineStr">
        <is>
          <t>Х</t>
        </is>
      </c>
      <c r="L17" s="1080" t="n"/>
      <c r="M17" s="572" t="inlineStr">
        <is>
          <t>Х</t>
        </is>
      </c>
      <c r="N17" s="1080" t="inlineStr">
        <is>
          <t>X</t>
        </is>
      </c>
      <c r="O17" s="1080" t="inlineStr">
        <is>
          <t>Х</t>
        </is>
      </c>
      <c r="P17" s="1080" t="n"/>
      <c r="Q17" s="572" t="inlineStr">
        <is>
          <t>Х</t>
        </is>
      </c>
      <c r="R17" s="1080" t="inlineStr">
        <is>
          <t>X</t>
        </is>
      </c>
      <c r="S17" s="1080" t="inlineStr">
        <is>
          <t>Х</t>
        </is>
      </c>
      <c r="T17" s="1080" t="n"/>
      <c r="U17" s="572" t="inlineStr">
        <is>
          <t>Х</t>
        </is>
      </c>
      <c r="V17" s="1080" t="inlineStr">
        <is>
          <t>X</t>
        </is>
      </c>
      <c r="W17" s="1080" t="inlineStr">
        <is>
          <t>Х</t>
        </is>
      </c>
      <c r="X17" s="1114" t="n"/>
    </row>
    <row r="18" ht="12" customFormat="1" customHeight="1" s="300">
      <c r="A18" s="644" t="inlineStr">
        <is>
          <t>3.1</t>
        </is>
      </c>
      <c r="B18" s="645" t="inlineStr">
        <is>
          <t>строка 2.1 / строка 4</t>
        </is>
      </c>
      <c r="C18" s="572" t="inlineStr">
        <is>
          <t>%</t>
        </is>
      </c>
      <c r="D18" s="1470">
        <f>D13/D22</f>
        <v/>
      </c>
      <c r="E18" s="1081" t="inlineStr">
        <is>
          <t>Х</t>
        </is>
      </c>
      <c r="F18" s="649" t="n"/>
      <c r="G18" s="1081" t="inlineStr">
        <is>
          <t>Х</t>
        </is>
      </c>
      <c r="H18" s="1080" t="inlineStr">
        <is>
          <t>X</t>
        </is>
      </c>
      <c r="I18" s="1081" t="inlineStr">
        <is>
          <t>Х</t>
        </is>
      </c>
      <c r="J18" s="1080" t="inlineStr">
        <is>
          <t>X</t>
        </is>
      </c>
      <c r="K18" s="1081" t="inlineStr">
        <is>
          <t>Х</t>
        </is>
      </c>
      <c r="L18" s="650" t="n"/>
      <c r="M18" s="1081" t="inlineStr">
        <is>
          <t>Х</t>
        </is>
      </c>
      <c r="N18" s="1080" t="inlineStr">
        <is>
          <t>X</t>
        </is>
      </c>
      <c r="O18" s="642" t="inlineStr">
        <is>
          <t>Х</t>
        </is>
      </c>
      <c r="P18" s="650" t="n"/>
      <c r="Q18" s="1081" t="inlineStr">
        <is>
          <t>Х</t>
        </is>
      </c>
      <c r="R18" s="1080" t="inlineStr">
        <is>
          <t>X</t>
        </is>
      </c>
      <c r="S18" s="642" t="inlineStr">
        <is>
          <t>Х</t>
        </is>
      </c>
      <c r="T18" s="650" t="n"/>
      <c r="U18" s="1081" t="inlineStr">
        <is>
          <t>Х</t>
        </is>
      </c>
      <c r="V18" s="1080" t="inlineStr">
        <is>
          <t>X</t>
        </is>
      </c>
      <c r="W18" s="642" t="inlineStr">
        <is>
          <t>Х</t>
        </is>
      </c>
      <c r="X18" s="1114" t="n"/>
    </row>
    <row r="19" ht="12" customFormat="1" customHeight="1" s="300">
      <c r="A19" s="644" t="inlineStr">
        <is>
          <t>3.2</t>
        </is>
      </c>
      <c r="B19" s="645" t="inlineStr">
        <is>
          <t>строка 2.2 / строка 4</t>
        </is>
      </c>
      <c r="C19" s="572" t="inlineStr">
        <is>
          <t>%</t>
        </is>
      </c>
      <c r="D19" s="1470">
        <f>D14/D22</f>
        <v/>
      </c>
      <c r="E19" s="1081" t="inlineStr">
        <is>
          <t>Х</t>
        </is>
      </c>
      <c r="F19" s="649" t="n"/>
      <c r="G19" s="1081" t="inlineStr">
        <is>
          <t>Х</t>
        </is>
      </c>
      <c r="H19" s="1080" t="inlineStr">
        <is>
          <t>X</t>
        </is>
      </c>
      <c r="I19" s="1081" t="inlineStr">
        <is>
          <t>Х</t>
        </is>
      </c>
      <c r="J19" s="1080" t="inlineStr">
        <is>
          <t>X</t>
        </is>
      </c>
      <c r="K19" s="1081" t="inlineStr">
        <is>
          <t>Х</t>
        </is>
      </c>
      <c r="L19" s="650" t="n"/>
      <c r="M19" s="1081" t="inlineStr">
        <is>
          <t>Х</t>
        </is>
      </c>
      <c r="N19" s="1080" t="inlineStr">
        <is>
          <t>X</t>
        </is>
      </c>
      <c r="O19" s="642" t="inlineStr">
        <is>
          <t>Х</t>
        </is>
      </c>
      <c r="P19" s="650" t="n"/>
      <c r="Q19" s="1081" t="inlineStr">
        <is>
          <t>Х</t>
        </is>
      </c>
      <c r="R19" s="1080" t="inlineStr">
        <is>
          <t>X</t>
        </is>
      </c>
      <c r="S19" s="642" t="inlineStr">
        <is>
          <t>Х</t>
        </is>
      </c>
      <c r="T19" s="650" t="n"/>
      <c r="U19" s="1081" t="inlineStr">
        <is>
          <t>Х</t>
        </is>
      </c>
      <c r="V19" s="1080" t="inlineStr">
        <is>
          <t>X</t>
        </is>
      </c>
      <c r="W19" s="642" t="inlineStr">
        <is>
          <t>Х</t>
        </is>
      </c>
      <c r="X19" s="1114" t="n"/>
    </row>
    <row r="20" ht="12" customFormat="1" customHeight="1" s="300">
      <c r="A20" s="644" t="inlineStr">
        <is>
          <t>3.3</t>
        </is>
      </c>
      <c r="B20" s="645" t="inlineStr">
        <is>
          <t>строка 2.3 / строка 4</t>
        </is>
      </c>
      <c r="C20" s="572" t="inlineStr">
        <is>
          <t>%</t>
        </is>
      </c>
      <c r="D20" s="649">
        <f>D15/D22*100</f>
        <v/>
      </c>
      <c r="E20" s="1081" t="inlineStr">
        <is>
          <t>Х</t>
        </is>
      </c>
      <c r="F20" s="649">
        <f>F15/F22*100</f>
        <v/>
      </c>
      <c r="G20" s="1081" t="inlineStr">
        <is>
          <t>Х</t>
        </is>
      </c>
      <c r="H20" s="1080" t="inlineStr">
        <is>
          <t>X</t>
        </is>
      </c>
      <c r="I20" s="1081" t="inlineStr">
        <is>
          <t>Х</t>
        </is>
      </c>
      <c r="J20" s="1080" t="inlineStr">
        <is>
          <t>X</t>
        </is>
      </c>
      <c r="K20" s="1081" t="inlineStr">
        <is>
          <t>Х</t>
        </is>
      </c>
      <c r="L20" s="650">
        <f>L15/L22*100</f>
        <v/>
      </c>
      <c r="M20" s="1081" t="inlineStr">
        <is>
          <t>Х</t>
        </is>
      </c>
      <c r="N20" s="1080" t="inlineStr">
        <is>
          <t>X</t>
        </is>
      </c>
      <c r="O20" s="642" t="inlineStr">
        <is>
          <t>Х</t>
        </is>
      </c>
      <c r="P20" s="650">
        <f>P15/P22*100</f>
        <v/>
      </c>
      <c r="Q20" s="1081" t="inlineStr">
        <is>
          <t>Х</t>
        </is>
      </c>
      <c r="R20" s="1080" t="inlineStr">
        <is>
          <t>X</t>
        </is>
      </c>
      <c r="S20" s="642" t="inlineStr">
        <is>
          <t>Х</t>
        </is>
      </c>
      <c r="T20" s="650">
        <f>T15/T22*100</f>
        <v/>
      </c>
      <c r="U20" s="1081" t="inlineStr">
        <is>
          <t>Х</t>
        </is>
      </c>
      <c r="V20" s="1080" t="inlineStr">
        <is>
          <t>X</t>
        </is>
      </c>
      <c r="W20" s="642" t="inlineStr">
        <is>
          <t>Х</t>
        </is>
      </c>
      <c r="X20" s="1114" t="n"/>
    </row>
    <row r="21" ht="12" customFormat="1" customHeight="1" s="300">
      <c r="A21" s="644" t="inlineStr">
        <is>
          <t>3.4</t>
        </is>
      </c>
      <c r="B21" s="645" t="inlineStr">
        <is>
          <t>строка 2.4 / строка 4</t>
        </is>
      </c>
      <c r="C21" s="572" t="inlineStr">
        <is>
          <t>%</t>
        </is>
      </c>
      <c r="D21" s="649">
        <f>D16/D22*100</f>
        <v/>
      </c>
      <c r="E21" s="1081" t="inlineStr">
        <is>
          <t>Х</t>
        </is>
      </c>
      <c r="F21" s="649">
        <f>F16/F22*100</f>
        <v/>
      </c>
      <c r="G21" s="1081" t="inlineStr">
        <is>
          <t>Х</t>
        </is>
      </c>
      <c r="H21" s="1080" t="inlineStr">
        <is>
          <t>X</t>
        </is>
      </c>
      <c r="I21" s="1081" t="inlineStr">
        <is>
          <t>Х</t>
        </is>
      </c>
      <c r="J21" s="1080" t="inlineStr">
        <is>
          <t>X</t>
        </is>
      </c>
      <c r="K21" s="1081" t="inlineStr">
        <is>
          <t>Х</t>
        </is>
      </c>
      <c r="L21" s="650">
        <f>L16/L22*100</f>
        <v/>
      </c>
      <c r="M21" s="1081" t="inlineStr">
        <is>
          <t>Х</t>
        </is>
      </c>
      <c r="N21" s="1080" t="inlineStr">
        <is>
          <t>X</t>
        </is>
      </c>
      <c r="O21" s="642" t="inlineStr">
        <is>
          <t>Х</t>
        </is>
      </c>
      <c r="P21" s="650">
        <f>P16/P22*100</f>
        <v/>
      </c>
      <c r="Q21" s="1081" t="inlineStr">
        <is>
          <t>Х</t>
        </is>
      </c>
      <c r="R21" s="1080" t="inlineStr">
        <is>
          <t>X</t>
        </is>
      </c>
      <c r="S21" s="642" t="inlineStr">
        <is>
          <t>Х</t>
        </is>
      </c>
      <c r="T21" s="650">
        <f>T16/T22*100</f>
        <v/>
      </c>
      <c r="U21" s="1081" t="inlineStr">
        <is>
          <t>Х</t>
        </is>
      </c>
      <c r="V21" s="1080" t="inlineStr">
        <is>
          <t>X</t>
        </is>
      </c>
      <c r="W21" s="642" t="inlineStr">
        <is>
          <t>Х</t>
        </is>
      </c>
      <c r="X21" s="1114" t="n"/>
    </row>
    <row r="22" ht="15.75" customFormat="1" customHeight="1" s="300">
      <c r="A22" s="651" t="inlineStr">
        <is>
          <t>4.</t>
        </is>
      </c>
      <c r="B22" s="639" t="inlineStr">
        <is>
          <t>Себестоимость реализованной продукции</t>
        </is>
      </c>
      <c r="C22" s="1081" t="inlineStr">
        <is>
          <t>тыс. руб.</t>
        </is>
      </c>
      <c r="D22" s="643" t="n">
        <v>0</v>
      </c>
      <c r="E22" s="1081" t="inlineStr">
        <is>
          <t>Х</t>
        </is>
      </c>
      <c r="F22" s="643" t="n">
        <v>0</v>
      </c>
      <c r="G22" s="1081" t="inlineStr">
        <is>
          <t>Х</t>
        </is>
      </c>
      <c r="H22" s="643" t="n">
        <v>0</v>
      </c>
      <c r="I22" s="1081" t="inlineStr">
        <is>
          <t>Х</t>
        </is>
      </c>
      <c r="J22" s="643" t="n">
        <v>0</v>
      </c>
      <c r="K22" s="1081" t="inlineStr">
        <is>
          <t>Х</t>
        </is>
      </c>
      <c r="L22" s="643" t="n">
        <v>0</v>
      </c>
      <c r="M22" s="1081" t="inlineStr">
        <is>
          <t>Х</t>
        </is>
      </c>
      <c r="N22" s="643" t="n">
        <v>0</v>
      </c>
      <c r="O22" s="642" t="inlineStr">
        <is>
          <t>Х</t>
        </is>
      </c>
      <c r="P22" s="643" t="n">
        <v>0</v>
      </c>
      <c r="Q22" s="1081" t="inlineStr">
        <is>
          <t>Х</t>
        </is>
      </c>
      <c r="R22" s="643" t="n">
        <v>0</v>
      </c>
      <c r="S22" s="642" t="inlineStr">
        <is>
          <t>Х</t>
        </is>
      </c>
      <c r="T22" s="643" t="n">
        <v>0</v>
      </c>
      <c r="U22" s="1081" t="inlineStr">
        <is>
          <t>Х</t>
        </is>
      </c>
      <c r="V22" s="643" t="n">
        <v>0</v>
      </c>
      <c r="W22" s="642" t="inlineStr">
        <is>
          <t>Х</t>
        </is>
      </c>
      <c r="X22" s="1114" t="n"/>
    </row>
    <row r="23" ht="14.25" customFormat="1" customHeight="1" s="300">
      <c r="A23" s="651" t="inlineStr">
        <is>
          <t>5.</t>
        </is>
      </c>
      <c r="B23" s="639" t="inlineStr">
        <is>
          <t>Себестоимость товарной продукции</t>
        </is>
      </c>
      <c r="C23" s="1081" t="inlineStr">
        <is>
          <t>тыс. руб.</t>
        </is>
      </c>
      <c r="D23" s="1471" t="n">
        <v>0</v>
      </c>
      <c r="E23" s="1081" t="inlineStr">
        <is>
          <t>Х</t>
        </is>
      </c>
      <c r="F23" s="1471" t="n">
        <v>0</v>
      </c>
      <c r="G23" s="1081" t="inlineStr">
        <is>
          <t>Х</t>
        </is>
      </c>
      <c r="H23" s="643" t="n">
        <v>0</v>
      </c>
      <c r="I23" s="1081" t="inlineStr">
        <is>
          <t>Х</t>
        </is>
      </c>
      <c r="J23" s="643" t="n">
        <v>0</v>
      </c>
      <c r="K23" s="1081" t="inlineStr">
        <is>
          <t>Х</t>
        </is>
      </c>
      <c r="L23" s="1471" t="n">
        <v>0</v>
      </c>
      <c r="M23" s="1081" t="inlineStr">
        <is>
          <t>Х</t>
        </is>
      </c>
      <c r="N23" s="652">
        <f>J23-J22+N22</f>
        <v/>
      </c>
      <c r="O23" s="642" t="inlineStr">
        <is>
          <t>Х</t>
        </is>
      </c>
      <c r="P23" s="1471" t="n">
        <v>0</v>
      </c>
      <c r="Q23" s="1081" t="inlineStr">
        <is>
          <t>Х</t>
        </is>
      </c>
      <c r="R23" s="652">
        <f>N23-N22+R22</f>
        <v/>
      </c>
      <c r="S23" s="642" t="inlineStr">
        <is>
          <t>Х</t>
        </is>
      </c>
      <c r="T23" s="1471" t="n">
        <v>0</v>
      </c>
      <c r="U23" s="1081" t="inlineStr">
        <is>
          <t>Х</t>
        </is>
      </c>
      <c r="V23" s="652">
        <f>R23-R22+V22</f>
        <v/>
      </c>
      <c r="W23" s="642" t="inlineStr">
        <is>
          <t>Х</t>
        </is>
      </c>
      <c r="X23" s="1114" t="n"/>
    </row>
    <row r="24" ht="28.5" customFormat="1" customHeight="1" s="300">
      <c r="A24" s="654" t="inlineStr">
        <is>
          <t>6.</t>
        </is>
      </c>
      <c r="B24" s="639" t="inlineStr">
        <is>
          <t>Среднесписочная численность работников предприятия, всего</t>
        </is>
      </c>
      <c r="C24" s="1081" t="inlineStr">
        <is>
          <t>чел.</t>
        </is>
      </c>
      <c r="D24" s="655">
        <f>D26+D35</f>
        <v/>
      </c>
      <c r="E24" s="1081" t="inlineStr">
        <is>
          <t>Х</t>
        </is>
      </c>
      <c r="F24" s="655">
        <f>F26+F35</f>
        <v/>
      </c>
      <c r="G24" s="1081" t="inlineStr">
        <is>
          <t>Х</t>
        </is>
      </c>
      <c r="H24" s="655">
        <f>H26+H35</f>
        <v/>
      </c>
      <c r="I24" s="1081" t="inlineStr">
        <is>
          <t>Х</t>
        </is>
      </c>
      <c r="J24" s="655">
        <f>J26+J35</f>
        <v/>
      </c>
      <c r="K24" s="1081" t="inlineStr">
        <is>
          <t>Х</t>
        </is>
      </c>
      <c r="L24" s="656">
        <f>L26+L35</f>
        <v/>
      </c>
      <c r="M24" s="1081" t="inlineStr">
        <is>
          <t>Х</t>
        </is>
      </c>
      <c r="N24" s="656">
        <f>N26+N35</f>
        <v/>
      </c>
      <c r="O24" s="642" t="inlineStr">
        <is>
          <t>Х</t>
        </is>
      </c>
      <c r="P24" s="656">
        <f>P26+P35</f>
        <v/>
      </c>
      <c r="Q24" s="1081" t="inlineStr">
        <is>
          <t>Х</t>
        </is>
      </c>
      <c r="R24" s="656">
        <f>R26+R35</f>
        <v/>
      </c>
      <c r="S24" s="642" t="inlineStr">
        <is>
          <t>Х</t>
        </is>
      </c>
      <c r="T24" s="656">
        <f>T26+T35</f>
        <v/>
      </c>
      <c r="U24" s="1081" t="inlineStr">
        <is>
          <t>Х</t>
        </is>
      </c>
      <c r="V24" s="656">
        <f>V26+V35</f>
        <v/>
      </c>
      <c r="W24" s="642" t="inlineStr">
        <is>
          <t>Х</t>
        </is>
      </c>
      <c r="X24" s="1114" t="n"/>
    </row>
    <row r="25" ht="11.25" customHeight="1" s="794">
      <c r="A25" s="657" t="n"/>
      <c r="B25" s="658" t="inlineStr">
        <is>
          <t>в том числе:</t>
        </is>
      </c>
      <c r="C25" s="1072" t="n"/>
      <c r="D25" s="1072" t="n"/>
      <c r="E25" s="1072" t="n"/>
      <c r="F25" s="1072" t="n"/>
      <c r="G25" s="1072" t="n"/>
      <c r="H25" s="1072" t="n"/>
      <c r="I25" s="1072" t="n"/>
      <c r="J25" s="1072" t="n"/>
      <c r="K25" s="1072" t="n"/>
      <c r="L25" s="1083" t="n"/>
      <c r="M25" s="1072" t="n"/>
      <c r="N25" s="1083" t="n"/>
      <c r="O25" s="1062" t="n"/>
      <c r="P25" s="1083" t="n"/>
      <c r="Q25" s="1072" t="n"/>
      <c r="R25" s="1083" t="n"/>
      <c r="S25" s="1062" t="n"/>
      <c r="T25" s="1083" t="n"/>
      <c r="U25" s="1072" t="n"/>
      <c r="V25" s="1083" t="n"/>
      <c r="W25" s="1062" t="n"/>
      <c r="X25" s="969" t="n"/>
    </row>
    <row r="26" ht="25.5" customHeight="1" s="794">
      <c r="A26" s="1060" t="inlineStr">
        <is>
          <t xml:space="preserve">6.1 
</t>
        </is>
      </c>
      <c r="B26" s="659" t="inlineStr">
        <is>
          <t>среднесписочная численность основных работников:</t>
        </is>
      </c>
      <c r="C26" s="1062" t="inlineStr">
        <is>
          <t>чел.</t>
        </is>
      </c>
      <c r="D26" s="660">
        <f>D29+D30+D31</f>
        <v/>
      </c>
      <c r="E26" s="1063" t="inlineStr">
        <is>
          <t>Х</t>
        </is>
      </c>
      <c r="F26" s="660">
        <f>F29+F30+F31</f>
        <v/>
      </c>
      <c r="G26" s="1063" t="inlineStr">
        <is>
          <t>Х</t>
        </is>
      </c>
      <c r="H26" s="660">
        <f>H29+H30+H31</f>
        <v/>
      </c>
      <c r="I26" s="1063" t="inlineStr">
        <is>
          <t>Х</t>
        </is>
      </c>
      <c r="J26" s="660">
        <f>J29+J30+J31</f>
        <v/>
      </c>
      <c r="K26" s="1063" t="inlineStr">
        <is>
          <t>Х</t>
        </is>
      </c>
      <c r="L26" s="660">
        <f>L29+L30+L31</f>
        <v/>
      </c>
      <c r="M26" s="1063" t="inlineStr">
        <is>
          <t>Х</t>
        </is>
      </c>
      <c r="N26" s="660">
        <f>N29+N30+N31</f>
        <v/>
      </c>
      <c r="O26" s="1083" t="inlineStr">
        <is>
          <t>Х</t>
        </is>
      </c>
      <c r="P26" s="660">
        <f>P29+P30+P31</f>
        <v/>
      </c>
      <c r="Q26" s="1063" t="inlineStr">
        <is>
          <t>Х</t>
        </is>
      </c>
      <c r="R26" s="660">
        <f>R29+R30+R31</f>
        <v/>
      </c>
      <c r="S26" s="1083" t="inlineStr">
        <is>
          <t>Х</t>
        </is>
      </c>
      <c r="T26" s="660">
        <f>T29+T30+T31</f>
        <v/>
      </c>
      <c r="U26" s="1063" t="inlineStr">
        <is>
          <t>Х</t>
        </is>
      </c>
      <c r="V26" s="660">
        <f>V29+V30+V31</f>
        <v/>
      </c>
      <c r="W26" s="1083" t="inlineStr">
        <is>
          <t>Х</t>
        </is>
      </c>
      <c r="X26" s="969" t="n"/>
    </row>
    <row r="27" ht="12.75" customHeight="1" s="794">
      <c r="A27" s="1419" t="n"/>
      <c r="B27" s="662" t="inlineStr">
        <is>
          <t>- рабочие-сдельщики;</t>
        </is>
      </c>
      <c r="C27" s="1418" t="n"/>
      <c r="D27" s="663" t="inlineStr">
        <is>
          <t>Х</t>
        </is>
      </c>
      <c r="E27" s="1089" t="inlineStr">
        <is>
          <t>Х</t>
        </is>
      </c>
      <c r="F27" s="663" t="inlineStr">
        <is>
          <t>Х</t>
        </is>
      </c>
      <c r="G27" s="1089" t="inlineStr">
        <is>
          <t>Х</t>
        </is>
      </c>
      <c r="H27" s="663" t="inlineStr">
        <is>
          <t>Х</t>
        </is>
      </c>
      <c r="I27" s="1089" t="inlineStr">
        <is>
          <t>Х</t>
        </is>
      </c>
      <c r="J27" s="663" t="inlineStr">
        <is>
          <t>Х</t>
        </is>
      </c>
      <c r="K27" s="1089" t="inlineStr">
        <is>
          <t>Х</t>
        </is>
      </c>
      <c r="L27" s="663" t="inlineStr">
        <is>
          <t>Х</t>
        </is>
      </c>
      <c r="M27" s="1089" t="inlineStr">
        <is>
          <t>Х</t>
        </is>
      </c>
      <c r="N27" s="663" t="inlineStr">
        <is>
          <t>Х</t>
        </is>
      </c>
      <c r="O27" s="1084" t="inlineStr">
        <is>
          <t>Х</t>
        </is>
      </c>
      <c r="P27" s="663" t="inlineStr">
        <is>
          <t>Х</t>
        </is>
      </c>
      <c r="Q27" s="1089" t="inlineStr">
        <is>
          <t>Х</t>
        </is>
      </c>
      <c r="R27" s="663" t="inlineStr">
        <is>
          <t>Х</t>
        </is>
      </c>
      <c r="S27" s="1084" t="inlineStr">
        <is>
          <t>Х</t>
        </is>
      </c>
      <c r="T27" s="663" t="inlineStr">
        <is>
          <t>Х</t>
        </is>
      </c>
      <c r="U27" s="1089" t="inlineStr">
        <is>
          <t>Х</t>
        </is>
      </c>
      <c r="V27" s="663" t="inlineStr">
        <is>
          <t>Х</t>
        </is>
      </c>
      <c r="W27" s="1084" t="inlineStr">
        <is>
          <t>Х</t>
        </is>
      </c>
      <c r="X27" s="969" t="n"/>
    </row>
    <row r="28" ht="12.75" customHeight="1" s="794">
      <c r="A28" s="1419" t="n"/>
      <c r="B28" s="662" t="inlineStr">
        <is>
          <t>- рабочие-повременщики;</t>
        </is>
      </c>
      <c r="C28" s="1418" t="n"/>
      <c r="D28" s="663" t="inlineStr">
        <is>
          <t>Х</t>
        </is>
      </c>
      <c r="E28" s="1089" t="inlineStr">
        <is>
          <t>Х</t>
        </is>
      </c>
      <c r="F28" s="663" t="inlineStr">
        <is>
          <t>Х</t>
        </is>
      </c>
      <c r="G28" s="1089" t="inlineStr">
        <is>
          <t>Х</t>
        </is>
      </c>
      <c r="H28" s="663" t="inlineStr">
        <is>
          <t>Х</t>
        </is>
      </c>
      <c r="I28" s="1089" t="inlineStr">
        <is>
          <t>Х</t>
        </is>
      </c>
      <c r="J28" s="663" t="inlineStr">
        <is>
          <t>Х</t>
        </is>
      </c>
      <c r="K28" s="1089" t="inlineStr">
        <is>
          <t>Х</t>
        </is>
      </c>
      <c r="L28" s="663" t="inlineStr">
        <is>
          <t>Х</t>
        </is>
      </c>
      <c r="M28" s="1089" t="inlineStr">
        <is>
          <t>Х</t>
        </is>
      </c>
      <c r="N28" s="663" t="inlineStr">
        <is>
          <t>Х</t>
        </is>
      </c>
      <c r="O28" s="1084" t="inlineStr">
        <is>
          <t>Х</t>
        </is>
      </c>
      <c r="P28" s="663" t="inlineStr">
        <is>
          <t>Х</t>
        </is>
      </c>
      <c r="Q28" s="1089" t="inlineStr">
        <is>
          <t>Х</t>
        </is>
      </c>
      <c r="R28" s="663" t="inlineStr">
        <is>
          <t>Х</t>
        </is>
      </c>
      <c r="S28" s="1084" t="inlineStr">
        <is>
          <t>Х</t>
        </is>
      </c>
      <c r="T28" s="663" t="inlineStr">
        <is>
          <t>Х</t>
        </is>
      </c>
      <c r="U28" s="1089" t="inlineStr">
        <is>
          <t>Х</t>
        </is>
      </c>
      <c r="V28" s="663" t="inlineStr">
        <is>
          <t>Х</t>
        </is>
      </c>
      <c r="W28" s="1084" t="inlineStr">
        <is>
          <t>Х</t>
        </is>
      </c>
      <c r="X28" s="969" t="n"/>
    </row>
    <row r="29" ht="12.75" customHeight="1" s="794">
      <c r="A29" s="1419" t="n"/>
      <c r="B29" s="662" t="inlineStr">
        <is>
          <t>- прочие категории</t>
        </is>
      </c>
      <c r="C29" s="1418" t="n"/>
      <c r="D29" s="1472" t="n">
        <v>0</v>
      </c>
      <c r="E29" s="1089" t="inlineStr">
        <is>
          <t>Х</t>
        </is>
      </c>
      <c r="F29" s="1472" t="n">
        <v>0</v>
      </c>
      <c r="G29" s="1089" t="inlineStr">
        <is>
          <t>Х</t>
        </is>
      </c>
      <c r="H29" s="1472" t="n">
        <v>0</v>
      </c>
      <c r="I29" s="1089" t="inlineStr">
        <is>
          <t>Х</t>
        </is>
      </c>
      <c r="J29" s="1472" t="n">
        <v>0</v>
      </c>
      <c r="K29" s="1089" t="inlineStr">
        <is>
          <t>Х</t>
        </is>
      </c>
      <c r="L29" s="1472" t="n">
        <v>0</v>
      </c>
      <c r="M29" s="1089" t="inlineStr">
        <is>
          <t>Х</t>
        </is>
      </c>
      <c r="N29" s="1472" t="n">
        <v>0</v>
      </c>
      <c r="O29" s="1084" t="inlineStr">
        <is>
          <t>Х</t>
        </is>
      </c>
      <c r="P29" s="1472" t="n">
        <v>0</v>
      </c>
      <c r="Q29" s="1089" t="inlineStr">
        <is>
          <t>Х</t>
        </is>
      </c>
      <c r="R29" s="1472" t="n">
        <v>0</v>
      </c>
      <c r="S29" s="1084" t="inlineStr">
        <is>
          <t>Х</t>
        </is>
      </c>
      <c r="T29" s="1472" t="n">
        <v>0</v>
      </c>
      <c r="U29" s="1089" t="inlineStr">
        <is>
          <t>Х</t>
        </is>
      </c>
      <c r="V29" s="1472" t="n">
        <v>0</v>
      </c>
      <c r="W29" s="1084" t="inlineStr">
        <is>
          <t>Х</t>
        </is>
      </c>
      <c r="X29" s="969" t="n"/>
    </row>
    <row r="30" ht="12.75" customHeight="1" s="794">
      <c r="A30" s="1419" t="n"/>
      <c r="B30" s="662" t="inlineStr">
        <is>
          <t>- научные, инженерные и технические работники</t>
        </is>
      </c>
      <c r="C30" s="1418" t="n"/>
      <c r="D30" s="663" t="n">
        <v>0</v>
      </c>
      <c r="E30" s="1089" t="inlineStr">
        <is>
          <t>Х</t>
        </is>
      </c>
      <c r="F30" s="663" t="n">
        <v>0</v>
      </c>
      <c r="G30" s="1089" t="inlineStr">
        <is>
          <t>Х</t>
        </is>
      </c>
      <c r="H30" s="663" t="n">
        <v>0</v>
      </c>
      <c r="I30" s="1089" t="inlineStr">
        <is>
          <t>Х</t>
        </is>
      </c>
      <c r="J30" s="663" t="n">
        <v>0</v>
      </c>
      <c r="K30" s="1089" t="inlineStr">
        <is>
          <t>Х</t>
        </is>
      </c>
      <c r="L30" s="663" t="n">
        <v>0</v>
      </c>
      <c r="M30" s="1089" t="inlineStr">
        <is>
          <t>Х</t>
        </is>
      </c>
      <c r="N30" s="663" t="n">
        <v>0</v>
      </c>
      <c r="O30" s="1084" t="inlineStr">
        <is>
          <t>Х</t>
        </is>
      </c>
      <c r="P30" s="663" t="n">
        <v>0</v>
      </c>
      <c r="Q30" s="1089" t="inlineStr">
        <is>
          <t>Х</t>
        </is>
      </c>
      <c r="R30" s="663" t="n">
        <v>0</v>
      </c>
      <c r="S30" s="1084" t="inlineStr">
        <is>
          <t>Х</t>
        </is>
      </c>
      <c r="T30" s="663" t="n">
        <v>0</v>
      </c>
      <c r="U30" s="1089" t="inlineStr">
        <is>
          <t>Х</t>
        </is>
      </c>
      <c r="V30" s="663" t="n">
        <v>0</v>
      </c>
      <c r="W30" s="1084" t="inlineStr">
        <is>
          <t>Х</t>
        </is>
      </c>
      <c r="X30" s="969" t="n"/>
    </row>
    <row r="31" ht="12.75" customHeight="1" s="794">
      <c r="A31" s="1419" t="n"/>
      <c r="B31" s="662" t="inlineStr">
        <is>
          <t>- профессорско-преподавательский состав</t>
        </is>
      </c>
      <c r="C31" s="1413" t="n"/>
      <c r="D31" s="663" t="n">
        <v>0</v>
      </c>
      <c r="E31" s="1089" t="inlineStr">
        <is>
          <t>Х</t>
        </is>
      </c>
      <c r="F31" s="663" t="n">
        <v>0</v>
      </c>
      <c r="G31" s="1089" t="inlineStr">
        <is>
          <t>Х</t>
        </is>
      </c>
      <c r="H31" s="663" t="n">
        <v>0</v>
      </c>
      <c r="I31" s="1089" t="inlineStr">
        <is>
          <t>Х</t>
        </is>
      </c>
      <c r="J31" s="663" t="n">
        <v>0</v>
      </c>
      <c r="K31" s="1089" t="inlineStr">
        <is>
          <t>Х</t>
        </is>
      </c>
      <c r="L31" s="663" t="n">
        <v>0</v>
      </c>
      <c r="M31" s="1089" t="inlineStr">
        <is>
          <t>Х</t>
        </is>
      </c>
      <c r="N31" s="663" t="n">
        <v>0</v>
      </c>
      <c r="O31" s="1084" t="inlineStr">
        <is>
          <t>Х</t>
        </is>
      </c>
      <c r="P31" s="663" t="n">
        <v>0</v>
      </c>
      <c r="Q31" s="1089" t="inlineStr">
        <is>
          <t>Х</t>
        </is>
      </c>
      <c r="R31" s="663" t="n">
        <v>0</v>
      </c>
      <c r="S31" s="1084" t="inlineStr">
        <is>
          <t>Х</t>
        </is>
      </c>
      <c r="T31" s="663" t="n">
        <v>0</v>
      </c>
      <c r="U31" s="1089" t="inlineStr">
        <is>
          <t>Х</t>
        </is>
      </c>
      <c r="V31" s="663" t="n">
        <v>0</v>
      </c>
      <c r="W31" s="1084" t="inlineStr">
        <is>
          <t>Х</t>
        </is>
      </c>
      <c r="X31" s="969" t="n"/>
    </row>
    <row r="32" ht="43.5" customHeight="1" s="794">
      <c r="A32" s="1473" t="inlineStr">
        <is>
          <t xml:space="preserve">6.2
</t>
        </is>
      </c>
      <c r="B32" s="667" t="inlineStr">
        <is>
          <t>среднесписочная численность работников,
относящихся к общепроизводственным затратам:</t>
        </is>
      </c>
      <c r="C32" s="1062" t="inlineStr">
        <is>
          <t>чел.</t>
        </is>
      </c>
      <c r="D32" s="1063" t="inlineStr">
        <is>
          <t>Х</t>
        </is>
      </c>
      <c r="E32" s="1063" t="inlineStr">
        <is>
          <t>Х</t>
        </is>
      </c>
      <c r="F32" s="1063" t="inlineStr">
        <is>
          <t>Х</t>
        </is>
      </c>
      <c r="G32" s="1063" t="inlineStr">
        <is>
          <t>Х</t>
        </is>
      </c>
      <c r="H32" s="1063" t="inlineStr">
        <is>
          <t>Х</t>
        </is>
      </c>
      <c r="I32" s="1063" t="inlineStr">
        <is>
          <t>Х</t>
        </is>
      </c>
      <c r="J32" s="1063" t="inlineStr">
        <is>
          <t>Х</t>
        </is>
      </c>
      <c r="K32" s="1063" t="inlineStr">
        <is>
          <t>Х</t>
        </is>
      </c>
      <c r="L32" s="1063" t="inlineStr">
        <is>
          <t>Х</t>
        </is>
      </c>
      <c r="M32" s="1063" t="inlineStr">
        <is>
          <t>Х</t>
        </is>
      </c>
      <c r="N32" s="1063" t="inlineStr">
        <is>
          <t>Х</t>
        </is>
      </c>
      <c r="O32" s="1083" t="inlineStr">
        <is>
          <t>Х</t>
        </is>
      </c>
      <c r="P32" s="1063" t="inlineStr">
        <is>
          <t>Х</t>
        </is>
      </c>
      <c r="Q32" s="1063" t="inlineStr">
        <is>
          <t>Х</t>
        </is>
      </c>
      <c r="R32" s="1063" t="inlineStr">
        <is>
          <t>Х</t>
        </is>
      </c>
      <c r="S32" s="1083" t="inlineStr">
        <is>
          <t>Х</t>
        </is>
      </c>
      <c r="T32" s="1063" t="inlineStr">
        <is>
          <t>Х</t>
        </is>
      </c>
      <c r="U32" s="1063" t="inlineStr">
        <is>
          <t>Х</t>
        </is>
      </c>
      <c r="V32" s="1063" t="inlineStr">
        <is>
          <t>Х</t>
        </is>
      </c>
      <c r="W32" s="1083" t="inlineStr">
        <is>
          <t>Х</t>
        </is>
      </c>
      <c r="X32" s="969" t="n"/>
    </row>
    <row r="33" ht="12.75" customHeight="1" s="794">
      <c r="A33" s="1419" t="n"/>
      <c r="B33" s="662" t="inlineStr">
        <is>
          <t>- административно-управленческий персонал;</t>
        </is>
      </c>
      <c r="C33" s="1418" t="n"/>
      <c r="D33" s="1089" t="inlineStr">
        <is>
          <t>Х</t>
        </is>
      </c>
      <c r="E33" s="1089" t="inlineStr">
        <is>
          <t>Х</t>
        </is>
      </c>
      <c r="F33" s="1089" t="inlineStr">
        <is>
          <t>Х</t>
        </is>
      </c>
      <c r="G33" s="1089" t="inlineStr">
        <is>
          <t>Х</t>
        </is>
      </c>
      <c r="H33" s="1089" t="inlineStr">
        <is>
          <t>Х</t>
        </is>
      </c>
      <c r="I33" s="1089" t="inlineStr">
        <is>
          <t>Х</t>
        </is>
      </c>
      <c r="J33" s="1089" t="inlineStr">
        <is>
          <t>Х</t>
        </is>
      </c>
      <c r="K33" s="1089" t="inlineStr">
        <is>
          <t>Х</t>
        </is>
      </c>
      <c r="L33" s="1089" t="inlineStr">
        <is>
          <t>Х</t>
        </is>
      </c>
      <c r="M33" s="1089" t="inlineStr">
        <is>
          <t>Х</t>
        </is>
      </c>
      <c r="N33" s="1089" t="inlineStr">
        <is>
          <t>Х</t>
        </is>
      </c>
      <c r="O33" s="1084" t="inlineStr">
        <is>
          <t>Х</t>
        </is>
      </c>
      <c r="P33" s="1089" t="inlineStr">
        <is>
          <t>Х</t>
        </is>
      </c>
      <c r="Q33" s="1089" t="inlineStr">
        <is>
          <t>Х</t>
        </is>
      </c>
      <c r="R33" s="1089" t="inlineStr">
        <is>
          <t>Х</t>
        </is>
      </c>
      <c r="S33" s="1084" t="inlineStr">
        <is>
          <t>Х</t>
        </is>
      </c>
      <c r="T33" s="1089" t="inlineStr">
        <is>
          <t>Х</t>
        </is>
      </c>
      <c r="U33" s="1089" t="inlineStr">
        <is>
          <t>Х</t>
        </is>
      </c>
      <c r="V33" s="1089" t="inlineStr">
        <is>
          <t>Х</t>
        </is>
      </c>
      <c r="W33" s="1084" t="inlineStr">
        <is>
          <t>Х</t>
        </is>
      </c>
      <c r="X33" s="969" t="n"/>
    </row>
    <row r="34" ht="12.75" customHeight="1" s="794">
      <c r="A34" s="1414" t="n"/>
      <c r="B34" s="668" t="inlineStr">
        <is>
          <t>- вспомогательные работники</t>
        </is>
      </c>
      <c r="C34" s="1413" t="n"/>
      <c r="D34" s="669" t="inlineStr">
        <is>
          <t>Х</t>
        </is>
      </c>
      <c r="E34" s="1090" t="inlineStr">
        <is>
          <t>Х</t>
        </is>
      </c>
      <c r="F34" s="1090" t="inlineStr">
        <is>
          <t>Х</t>
        </is>
      </c>
      <c r="G34" s="1090" t="inlineStr">
        <is>
          <t>Х</t>
        </is>
      </c>
      <c r="H34" s="1090" t="inlineStr">
        <is>
          <t>Х</t>
        </is>
      </c>
      <c r="I34" s="1090" t="inlineStr">
        <is>
          <t>Х</t>
        </is>
      </c>
      <c r="J34" s="1090" t="inlineStr">
        <is>
          <t>Х</t>
        </is>
      </c>
      <c r="K34" s="1090" t="inlineStr">
        <is>
          <t>Х</t>
        </is>
      </c>
      <c r="L34" s="1089" t="inlineStr">
        <is>
          <t>Х</t>
        </is>
      </c>
      <c r="M34" s="1090" t="inlineStr">
        <is>
          <t>Х</t>
        </is>
      </c>
      <c r="N34" s="1089" t="inlineStr">
        <is>
          <t>Х</t>
        </is>
      </c>
      <c r="O34" s="1085" t="inlineStr">
        <is>
          <t>Х</t>
        </is>
      </c>
      <c r="P34" s="1089" t="inlineStr">
        <is>
          <t>Х</t>
        </is>
      </c>
      <c r="Q34" s="1090" t="inlineStr">
        <is>
          <t>Х</t>
        </is>
      </c>
      <c r="R34" s="1089" t="inlineStr">
        <is>
          <t>Х</t>
        </is>
      </c>
      <c r="S34" s="1085" t="inlineStr">
        <is>
          <t>Х</t>
        </is>
      </c>
      <c r="T34" s="1089" t="inlineStr">
        <is>
          <t>Х</t>
        </is>
      </c>
      <c r="U34" s="1090" t="inlineStr">
        <is>
          <t>Х</t>
        </is>
      </c>
      <c r="V34" s="1089" t="inlineStr">
        <is>
          <t>Х</t>
        </is>
      </c>
      <c r="W34" s="1085" t="inlineStr">
        <is>
          <t>Х</t>
        </is>
      </c>
      <c r="X34" s="969" t="n"/>
    </row>
    <row r="35" ht="51" customFormat="1" customHeight="1" s="300">
      <c r="A35" s="1474" t="inlineStr">
        <is>
          <t xml:space="preserve">6.3
</t>
        </is>
      </c>
      <c r="B35" s="639" t="inlineStr">
        <is>
          <t>среднесписочная численность работников,
относящихся к общехозяйственным затратам / административно-управленческим расходам:</t>
        </is>
      </c>
      <c r="C35" s="1080" t="inlineStr">
        <is>
          <t>чел.</t>
        </is>
      </c>
      <c r="D35" s="670">
        <f>D36+D37</f>
        <v/>
      </c>
      <c r="E35" s="1081" t="inlineStr">
        <is>
          <t>Х</t>
        </is>
      </c>
      <c r="F35" s="670">
        <f>F36+F37</f>
        <v/>
      </c>
      <c r="G35" s="1081" t="inlineStr">
        <is>
          <t>Х</t>
        </is>
      </c>
      <c r="H35" s="670">
        <f>H36+H37</f>
        <v/>
      </c>
      <c r="I35" s="1081" t="inlineStr">
        <is>
          <t>Х</t>
        </is>
      </c>
      <c r="J35" s="670">
        <f>J36+J37</f>
        <v/>
      </c>
      <c r="K35" s="1081" t="inlineStr">
        <is>
          <t>Х</t>
        </is>
      </c>
      <c r="L35" s="670">
        <f>L36+L37</f>
        <v/>
      </c>
      <c r="M35" s="1081" t="inlineStr">
        <is>
          <t>Х</t>
        </is>
      </c>
      <c r="N35" s="670">
        <f>N36+N37</f>
        <v/>
      </c>
      <c r="O35" s="642" t="inlineStr">
        <is>
          <t>Х</t>
        </is>
      </c>
      <c r="P35" s="670">
        <f>P36+P37</f>
        <v/>
      </c>
      <c r="Q35" s="1081" t="inlineStr">
        <is>
          <t>Х</t>
        </is>
      </c>
      <c r="R35" s="670">
        <f>R36+R37</f>
        <v/>
      </c>
      <c r="S35" s="642" t="inlineStr">
        <is>
          <t>Х</t>
        </is>
      </c>
      <c r="T35" s="670">
        <f>T36+T37</f>
        <v/>
      </c>
      <c r="U35" s="1081" t="inlineStr">
        <is>
          <t>Х</t>
        </is>
      </c>
      <c r="V35" s="670">
        <f>V36+V37</f>
        <v/>
      </c>
      <c r="W35" s="642" t="inlineStr">
        <is>
          <t>Х</t>
        </is>
      </c>
      <c r="X35" s="1114" t="n"/>
    </row>
    <row r="36" ht="12.75" customFormat="1" customHeight="1" s="300">
      <c r="A36" s="1419" t="n"/>
      <c r="B36" s="671" t="inlineStr">
        <is>
          <t>- административно-управленческий персонал;</t>
        </is>
      </c>
      <c r="C36" s="1418" t="n"/>
      <c r="D36" s="655" t="n">
        <v>0</v>
      </c>
      <c r="E36" s="1082" t="inlineStr">
        <is>
          <t>Х</t>
        </is>
      </c>
      <c r="F36" s="655" t="n">
        <v>0</v>
      </c>
      <c r="G36" s="1082" t="inlineStr">
        <is>
          <t>Х</t>
        </is>
      </c>
      <c r="H36" s="655" t="n">
        <v>0</v>
      </c>
      <c r="I36" s="1082" t="inlineStr">
        <is>
          <t>Х</t>
        </is>
      </c>
      <c r="J36" s="655" t="n">
        <v>0</v>
      </c>
      <c r="K36" s="1082" t="inlineStr">
        <is>
          <t>Х</t>
        </is>
      </c>
      <c r="L36" s="655" t="n">
        <v>0</v>
      </c>
      <c r="M36" s="1082" t="inlineStr">
        <is>
          <t>Х</t>
        </is>
      </c>
      <c r="N36" s="655" t="n">
        <v>0</v>
      </c>
      <c r="O36" s="673" t="inlineStr">
        <is>
          <t>Х</t>
        </is>
      </c>
      <c r="P36" s="655" t="n">
        <v>0</v>
      </c>
      <c r="Q36" s="1082" t="inlineStr">
        <is>
          <t>Х</t>
        </is>
      </c>
      <c r="R36" s="655" t="n">
        <v>0</v>
      </c>
      <c r="S36" s="673" t="inlineStr">
        <is>
          <t>Х</t>
        </is>
      </c>
      <c r="T36" s="655" t="n">
        <v>0</v>
      </c>
      <c r="U36" s="1082" t="inlineStr">
        <is>
          <t>Х</t>
        </is>
      </c>
      <c r="V36" s="655" t="n">
        <v>0</v>
      </c>
      <c r="W36" s="673" t="inlineStr">
        <is>
          <t>Х</t>
        </is>
      </c>
      <c r="X36" s="1114" t="n"/>
    </row>
    <row r="37" customFormat="1" s="300">
      <c r="A37" s="1414" t="n"/>
      <c r="B37" s="674" t="inlineStr">
        <is>
          <t>- вспомогательные работники</t>
        </is>
      </c>
      <c r="C37" s="1413" t="n"/>
      <c r="D37" s="1475" t="n">
        <v>0</v>
      </c>
      <c r="E37" s="1086" t="inlineStr">
        <is>
          <t>Х</t>
        </is>
      </c>
      <c r="F37" s="1476" t="n">
        <v>0</v>
      </c>
      <c r="G37" s="1086" t="inlineStr">
        <is>
          <t>Х</t>
        </is>
      </c>
      <c r="H37" s="1476" t="n">
        <v>0</v>
      </c>
      <c r="I37" s="1086" t="inlineStr">
        <is>
          <t>Х</t>
        </is>
      </c>
      <c r="J37" s="1476" t="n">
        <v>0</v>
      </c>
      <c r="K37" s="1086" t="inlineStr">
        <is>
          <t>Х</t>
        </is>
      </c>
      <c r="L37" s="1476" t="n">
        <v>0</v>
      </c>
      <c r="M37" s="1086" t="inlineStr">
        <is>
          <t>Х</t>
        </is>
      </c>
      <c r="N37" s="1476" t="n">
        <v>0</v>
      </c>
      <c r="O37" s="678" t="inlineStr">
        <is>
          <t>Х</t>
        </is>
      </c>
      <c r="P37" s="1476" t="n">
        <v>0</v>
      </c>
      <c r="Q37" s="1086" t="inlineStr">
        <is>
          <t>Х</t>
        </is>
      </c>
      <c r="R37" s="1476" t="n">
        <v>0</v>
      </c>
      <c r="S37" s="678" t="inlineStr">
        <is>
          <t>Х</t>
        </is>
      </c>
      <c r="T37" s="1476" t="n">
        <v>0</v>
      </c>
      <c r="U37" s="1086" t="inlineStr">
        <is>
          <t>Х</t>
        </is>
      </c>
      <c r="V37" s="1476" t="n">
        <v>0</v>
      </c>
      <c r="W37" s="678" t="inlineStr">
        <is>
          <t>Х</t>
        </is>
      </c>
      <c r="X37" s="1114" t="n"/>
    </row>
    <row r="38" ht="27" customHeight="1" s="794">
      <c r="A38" s="679" t="inlineStr">
        <is>
          <t>7.4</t>
        </is>
      </c>
      <c r="B38" s="667" t="inlineStr">
        <is>
          <t>Основная заработная плата работников предприятия, всего:</t>
        </is>
      </c>
      <c r="C38" s="1062" t="inlineStr">
        <is>
          <t>тыс. руб.</t>
        </is>
      </c>
      <c r="D38" s="680">
        <f>D40+D49</f>
        <v/>
      </c>
      <c r="E38" s="1063" t="inlineStr">
        <is>
          <t>Х</t>
        </is>
      </c>
      <c r="F38" s="680">
        <f>F40+F49</f>
        <v/>
      </c>
      <c r="G38" s="1063" t="inlineStr">
        <is>
          <t>Х</t>
        </is>
      </c>
      <c r="H38" s="680">
        <f>H40+H49</f>
        <v/>
      </c>
      <c r="I38" s="1063" t="inlineStr">
        <is>
          <t>Х</t>
        </is>
      </c>
      <c r="J38" s="680">
        <f>J40+J49</f>
        <v/>
      </c>
      <c r="K38" s="1063" t="inlineStr">
        <is>
          <t>Х</t>
        </is>
      </c>
      <c r="L38" s="681">
        <f>L40+L49</f>
        <v/>
      </c>
      <c r="M38" s="1063" t="inlineStr">
        <is>
          <t>Х</t>
        </is>
      </c>
      <c r="N38" s="681">
        <f>N40+N49</f>
        <v/>
      </c>
      <c r="O38" s="1083" t="inlineStr">
        <is>
          <t>Х</t>
        </is>
      </c>
      <c r="P38" s="681">
        <f>P40+P49</f>
        <v/>
      </c>
      <c r="Q38" s="1063" t="inlineStr">
        <is>
          <t>Х</t>
        </is>
      </c>
      <c r="R38" s="681">
        <f>R40+R49</f>
        <v/>
      </c>
      <c r="S38" s="1083" t="inlineStr">
        <is>
          <t>Х</t>
        </is>
      </c>
      <c r="T38" s="681">
        <f>T40+T49</f>
        <v/>
      </c>
      <c r="U38" s="1063" t="inlineStr">
        <is>
          <t>Х</t>
        </is>
      </c>
      <c r="V38" s="681">
        <f>V40+V49</f>
        <v/>
      </c>
      <c r="W38" s="1083" t="inlineStr">
        <is>
          <t>Х</t>
        </is>
      </c>
      <c r="X38" s="969" t="n"/>
    </row>
    <row r="39" ht="13.5" customHeight="1" s="794">
      <c r="A39" s="657" t="n"/>
      <c r="B39" s="658" t="inlineStr">
        <is>
          <t>в том числе:</t>
        </is>
      </c>
      <c r="C39" s="1072" t="n"/>
      <c r="D39" s="1072" t="n"/>
      <c r="E39" s="1072" t="n"/>
      <c r="F39" s="1072" t="n"/>
      <c r="G39" s="1072" t="n"/>
      <c r="H39" s="1072" t="n"/>
      <c r="I39" s="1072" t="n"/>
      <c r="J39" s="1072" t="n"/>
      <c r="K39" s="1072" t="n"/>
      <c r="L39" s="1062" t="n"/>
      <c r="M39" s="1072" t="n"/>
      <c r="N39" s="1062" t="n"/>
      <c r="O39" s="1062" t="n"/>
      <c r="P39" s="1062" t="n"/>
      <c r="Q39" s="1072" t="n"/>
      <c r="R39" s="1062" t="n"/>
      <c r="S39" s="1062" t="n"/>
      <c r="T39" s="1062" t="n"/>
      <c r="U39" s="1072" t="n"/>
      <c r="V39" s="1062" t="n"/>
      <c r="W39" s="1062" t="n"/>
      <c r="X39" s="969" t="n"/>
    </row>
    <row r="40" ht="15.75" customFormat="1" customHeight="1" s="300">
      <c r="A40" s="1077" t="inlineStr">
        <is>
          <t xml:space="preserve">7.1
</t>
        </is>
      </c>
      <c r="B40" s="639" t="inlineStr">
        <is>
          <t>основные работники:</t>
        </is>
      </c>
      <c r="C40" s="1081" t="inlineStr">
        <is>
          <t>тыс. руб.</t>
        </is>
      </c>
      <c r="D40" s="641">
        <f>D43+D44+D45</f>
        <v/>
      </c>
      <c r="E40" s="1081" t="inlineStr">
        <is>
          <t>Х</t>
        </is>
      </c>
      <c r="F40" s="641">
        <f>F43+F44+F45</f>
        <v/>
      </c>
      <c r="G40" s="1081" t="inlineStr">
        <is>
          <t>Х</t>
        </is>
      </c>
      <c r="H40" s="641">
        <f>H43+H44+H45</f>
        <v/>
      </c>
      <c r="I40" s="1081" t="inlineStr">
        <is>
          <t>Х</t>
        </is>
      </c>
      <c r="J40" s="641">
        <f>J43+J44+J45</f>
        <v/>
      </c>
      <c r="K40" s="1081" t="inlineStr">
        <is>
          <t>Х</t>
        </is>
      </c>
      <c r="L40" s="641">
        <f>L43+L44+L45</f>
        <v/>
      </c>
      <c r="M40" s="1081" t="inlineStr">
        <is>
          <t>Х</t>
        </is>
      </c>
      <c r="N40" s="641">
        <f>N43+N44+N45</f>
        <v/>
      </c>
      <c r="O40" s="642" t="inlineStr">
        <is>
          <t>Х</t>
        </is>
      </c>
      <c r="P40" s="641">
        <f>P43+P44+P45</f>
        <v/>
      </c>
      <c r="Q40" s="1081" t="inlineStr">
        <is>
          <t>Х</t>
        </is>
      </c>
      <c r="R40" s="641">
        <f>R43+R44+R45</f>
        <v/>
      </c>
      <c r="S40" s="642" t="inlineStr">
        <is>
          <t>Х</t>
        </is>
      </c>
      <c r="T40" s="641">
        <f>T43+T44+T45</f>
        <v/>
      </c>
      <c r="U40" s="1081" t="inlineStr">
        <is>
          <t>Х</t>
        </is>
      </c>
      <c r="V40" s="641">
        <f>V43+V44+V45</f>
        <v/>
      </c>
      <c r="W40" s="642" t="inlineStr">
        <is>
          <t>Х</t>
        </is>
      </c>
      <c r="X40" s="1114" t="n"/>
    </row>
    <row r="41" ht="12.75" customFormat="1" customHeight="1" s="300">
      <c r="A41" s="1419" t="n"/>
      <c r="B41" s="671" t="inlineStr">
        <is>
          <t>- рабочие-сдельщики;</t>
        </is>
      </c>
      <c r="C41" s="1419" t="n"/>
      <c r="D41" s="655" t="inlineStr">
        <is>
          <t>Х</t>
        </is>
      </c>
      <c r="E41" s="1082" t="inlineStr">
        <is>
          <t>Х</t>
        </is>
      </c>
      <c r="F41" s="655" t="inlineStr">
        <is>
          <t>Х</t>
        </is>
      </c>
      <c r="G41" s="1082" t="inlineStr">
        <is>
          <t>Х</t>
        </is>
      </c>
      <c r="H41" s="655" t="inlineStr">
        <is>
          <t>Х</t>
        </is>
      </c>
      <c r="I41" s="1082" t="inlineStr">
        <is>
          <t>Х</t>
        </is>
      </c>
      <c r="J41" s="655" t="inlineStr">
        <is>
          <t>Х</t>
        </is>
      </c>
      <c r="K41" s="1082" t="inlineStr">
        <is>
          <t>Х</t>
        </is>
      </c>
      <c r="L41" s="655" t="inlineStr">
        <is>
          <t>Х</t>
        </is>
      </c>
      <c r="M41" s="1082" t="inlineStr">
        <is>
          <t>Х</t>
        </is>
      </c>
      <c r="N41" s="655" t="inlineStr">
        <is>
          <t>Х</t>
        </is>
      </c>
      <c r="O41" s="673" t="inlineStr">
        <is>
          <t>Х</t>
        </is>
      </c>
      <c r="P41" s="655" t="inlineStr">
        <is>
          <t>Х</t>
        </is>
      </c>
      <c r="Q41" s="1082" t="inlineStr">
        <is>
          <t>Х</t>
        </is>
      </c>
      <c r="R41" s="655" t="inlineStr">
        <is>
          <t>Х</t>
        </is>
      </c>
      <c r="S41" s="673" t="inlineStr">
        <is>
          <t>Х</t>
        </is>
      </c>
      <c r="T41" s="655" t="inlineStr">
        <is>
          <t>Х</t>
        </is>
      </c>
      <c r="U41" s="1082" t="inlineStr">
        <is>
          <t>Х</t>
        </is>
      </c>
      <c r="V41" s="655" t="inlineStr">
        <is>
          <t>Х</t>
        </is>
      </c>
      <c r="W41" s="673" t="inlineStr">
        <is>
          <t>Х</t>
        </is>
      </c>
      <c r="X41" s="1114" t="n"/>
    </row>
    <row r="42" ht="12.75" customFormat="1" customHeight="1" s="300">
      <c r="A42" s="1419" t="n"/>
      <c r="B42" s="671" t="inlineStr">
        <is>
          <t>- рабочие-повременщики;</t>
        </is>
      </c>
      <c r="C42" s="1419" t="n"/>
      <c r="D42" s="655" t="inlineStr">
        <is>
          <t>Х</t>
        </is>
      </c>
      <c r="E42" s="1082" t="inlineStr">
        <is>
          <t>Х</t>
        </is>
      </c>
      <c r="F42" s="655" t="inlineStr">
        <is>
          <t>Х</t>
        </is>
      </c>
      <c r="G42" s="1082" t="inlineStr">
        <is>
          <t>Х</t>
        </is>
      </c>
      <c r="H42" s="655" t="inlineStr">
        <is>
          <t>Х</t>
        </is>
      </c>
      <c r="I42" s="1082" t="inlineStr">
        <is>
          <t>Х</t>
        </is>
      </c>
      <c r="J42" s="655" t="inlineStr">
        <is>
          <t>Х</t>
        </is>
      </c>
      <c r="K42" s="1082" t="inlineStr">
        <is>
          <t>Х</t>
        </is>
      </c>
      <c r="L42" s="655" t="inlineStr">
        <is>
          <t>Х</t>
        </is>
      </c>
      <c r="M42" s="1082" t="inlineStr">
        <is>
          <t>Х</t>
        </is>
      </c>
      <c r="N42" s="655" t="inlineStr">
        <is>
          <t>Х</t>
        </is>
      </c>
      <c r="O42" s="673" t="inlineStr">
        <is>
          <t>Х</t>
        </is>
      </c>
      <c r="P42" s="655" t="inlineStr">
        <is>
          <t>Х</t>
        </is>
      </c>
      <c r="Q42" s="1082" t="inlineStr">
        <is>
          <t>Х</t>
        </is>
      </c>
      <c r="R42" s="655" t="inlineStr">
        <is>
          <t>Х</t>
        </is>
      </c>
      <c r="S42" s="673" t="inlineStr">
        <is>
          <t>Х</t>
        </is>
      </c>
      <c r="T42" s="655" t="inlineStr">
        <is>
          <t>Х</t>
        </is>
      </c>
      <c r="U42" s="1082" t="inlineStr">
        <is>
          <t>Х</t>
        </is>
      </c>
      <c r="V42" s="655" t="inlineStr">
        <is>
          <t>Х</t>
        </is>
      </c>
      <c r="W42" s="673" t="inlineStr">
        <is>
          <t>Х</t>
        </is>
      </c>
      <c r="X42" s="1114" t="n"/>
    </row>
    <row r="43" ht="12.75" customFormat="1" customHeight="1" s="300">
      <c r="A43" s="1419" t="n"/>
      <c r="B43" s="671" t="inlineStr">
        <is>
          <t>- прочие категории</t>
        </is>
      </c>
      <c r="C43" s="1419" t="n"/>
      <c r="D43" s="1477">
        <f>ROUND(D29*D55/1000*11,2)</f>
        <v/>
      </c>
      <c r="E43" s="1082" t="inlineStr">
        <is>
          <t>Х</t>
        </is>
      </c>
      <c r="F43" s="1477" t="n">
        <v>0</v>
      </c>
      <c r="G43" s="1082" t="inlineStr">
        <is>
          <t>Х</t>
        </is>
      </c>
      <c r="H43" s="1477" t="n">
        <v>0</v>
      </c>
      <c r="I43" s="1082" t="inlineStr">
        <is>
          <t>Х</t>
        </is>
      </c>
      <c r="J43" s="1477" t="n">
        <v>0</v>
      </c>
      <c r="K43" s="1082" t="inlineStr">
        <is>
          <t>Х</t>
        </is>
      </c>
      <c r="L43" s="1477" t="n">
        <v>0</v>
      </c>
      <c r="M43" s="1082" t="inlineStr">
        <is>
          <t>Х</t>
        </is>
      </c>
      <c r="N43" s="1477" t="n">
        <v>0</v>
      </c>
      <c r="O43" s="673" t="inlineStr">
        <is>
          <t>Х</t>
        </is>
      </c>
      <c r="P43" s="1477" t="n">
        <v>0</v>
      </c>
      <c r="Q43" s="1082" t="inlineStr">
        <is>
          <t>Х</t>
        </is>
      </c>
      <c r="R43" s="1477" t="n">
        <v>0</v>
      </c>
      <c r="S43" s="673" t="inlineStr">
        <is>
          <t>Х</t>
        </is>
      </c>
      <c r="T43" s="1477" t="n">
        <v>0</v>
      </c>
      <c r="U43" s="1082" t="inlineStr">
        <is>
          <t>Х</t>
        </is>
      </c>
      <c r="V43" s="1477" t="n">
        <v>0</v>
      </c>
      <c r="W43" s="673" t="inlineStr">
        <is>
          <t>Х</t>
        </is>
      </c>
      <c r="X43" s="1114" t="n"/>
    </row>
    <row r="44" ht="12.75" customFormat="1" customHeight="1" s="300">
      <c r="A44" s="1419" t="n"/>
      <c r="B44" s="671" t="inlineStr">
        <is>
          <t>- научные, инженерные и технические работники</t>
        </is>
      </c>
      <c r="C44" s="1419" t="n"/>
      <c r="D44" s="683" t="n">
        <v>0</v>
      </c>
      <c r="E44" s="1082" t="inlineStr">
        <is>
          <t>Х</t>
        </is>
      </c>
      <c r="F44" s="683" t="n">
        <v>0</v>
      </c>
      <c r="G44" s="1082" t="inlineStr">
        <is>
          <t>Х</t>
        </is>
      </c>
      <c r="H44" s="683" t="n">
        <v>0</v>
      </c>
      <c r="I44" s="1082" t="inlineStr">
        <is>
          <t>Х</t>
        </is>
      </c>
      <c r="J44" s="683" t="n">
        <v>0</v>
      </c>
      <c r="K44" s="1082" t="inlineStr">
        <is>
          <t>Х</t>
        </is>
      </c>
      <c r="L44" s="683" t="n">
        <v>0</v>
      </c>
      <c r="M44" s="1082" t="inlineStr">
        <is>
          <t>Х</t>
        </is>
      </c>
      <c r="N44" s="683" t="n">
        <v>0</v>
      </c>
      <c r="O44" s="673" t="inlineStr">
        <is>
          <t>Х</t>
        </is>
      </c>
      <c r="P44" s="683" t="n">
        <v>0</v>
      </c>
      <c r="Q44" s="1082" t="inlineStr">
        <is>
          <t>Х</t>
        </is>
      </c>
      <c r="R44" s="683" t="n">
        <v>0</v>
      </c>
      <c r="S44" s="673" t="inlineStr">
        <is>
          <t>Х</t>
        </is>
      </c>
      <c r="T44" s="683" t="n">
        <v>0</v>
      </c>
      <c r="U44" s="1082" t="inlineStr">
        <is>
          <t>Х</t>
        </is>
      </c>
      <c r="V44" s="683" t="n">
        <v>0</v>
      </c>
      <c r="W44" s="673" t="inlineStr">
        <is>
          <t>Х</t>
        </is>
      </c>
      <c r="X44" s="1114" t="n"/>
    </row>
    <row r="45" ht="12.75" customFormat="1" customHeight="1" s="300">
      <c r="A45" s="1419" t="n"/>
      <c r="B45" s="671" t="inlineStr">
        <is>
          <t>- профессорско-преподавательский состав</t>
        </is>
      </c>
      <c r="C45" s="1419" t="n"/>
      <c r="D45" s="683" t="n">
        <v>0</v>
      </c>
      <c r="E45" s="1082" t="inlineStr">
        <is>
          <t>Х</t>
        </is>
      </c>
      <c r="F45" s="683" t="n">
        <v>0</v>
      </c>
      <c r="G45" s="1082" t="inlineStr">
        <is>
          <t>Х</t>
        </is>
      </c>
      <c r="H45" s="683" t="n">
        <v>0</v>
      </c>
      <c r="I45" s="1082" t="inlineStr">
        <is>
          <t>Х</t>
        </is>
      </c>
      <c r="J45" s="683" t="n">
        <v>0</v>
      </c>
      <c r="K45" s="1082" t="inlineStr">
        <is>
          <t>Х</t>
        </is>
      </c>
      <c r="L45" s="683" t="n">
        <v>0</v>
      </c>
      <c r="M45" s="1082" t="inlineStr">
        <is>
          <t>Х</t>
        </is>
      </c>
      <c r="N45" s="683" t="n">
        <v>0</v>
      </c>
      <c r="O45" s="673" t="inlineStr">
        <is>
          <t>Х</t>
        </is>
      </c>
      <c r="P45" s="683" t="n">
        <v>0</v>
      </c>
      <c r="Q45" s="1082" t="inlineStr">
        <is>
          <t>Х</t>
        </is>
      </c>
      <c r="R45" s="1477" t="n">
        <v>0</v>
      </c>
      <c r="S45" s="673" t="inlineStr">
        <is>
          <t>Х</t>
        </is>
      </c>
      <c r="T45" s="683" t="n">
        <v>0</v>
      </c>
      <c r="U45" s="1082" t="inlineStr">
        <is>
          <t>Х</t>
        </is>
      </c>
      <c r="V45" s="1477" t="n">
        <v>0</v>
      </c>
      <c r="W45" s="673" t="inlineStr">
        <is>
          <t>Х</t>
        </is>
      </c>
      <c r="X45" s="1114" t="n"/>
    </row>
    <row r="46" ht="30.75" customHeight="1" s="794">
      <c r="A46" s="1473" t="inlineStr">
        <is>
          <t xml:space="preserve">7.2
</t>
        </is>
      </c>
      <c r="B46" s="667" t="inlineStr">
        <is>
          <t>работники, относящиеся к  общепроизводственным затратам:</t>
        </is>
      </c>
      <c r="C46" s="1062" t="inlineStr">
        <is>
          <t>тыс. руб.</t>
        </is>
      </c>
      <c r="D46" s="1064" t="inlineStr">
        <is>
          <t>Х</t>
        </is>
      </c>
      <c r="E46" s="1063" t="inlineStr">
        <is>
          <t>Х</t>
        </is>
      </c>
      <c r="F46" s="1063" t="inlineStr">
        <is>
          <t>Х</t>
        </is>
      </c>
      <c r="G46" s="1063" t="inlineStr">
        <is>
          <t>Х</t>
        </is>
      </c>
      <c r="H46" s="1063" t="inlineStr">
        <is>
          <t>Х</t>
        </is>
      </c>
      <c r="I46" s="1063" t="inlineStr">
        <is>
          <t>Х</t>
        </is>
      </c>
      <c r="J46" s="1063" t="inlineStr">
        <is>
          <t>Х</t>
        </is>
      </c>
      <c r="K46" s="1063" t="inlineStr">
        <is>
          <t>Х</t>
        </is>
      </c>
      <c r="L46" s="1063" t="inlineStr">
        <is>
          <t>Х</t>
        </is>
      </c>
      <c r="M46" s="1063" t="inlineStr">
        <is>
          <t>Х</t>
        </is>
      </c>
      <c r="N46" s="1063" t="inlineStr">
        <is>
          <t>Х</t>
        </is>
      </c>
      <c r="O46" s="1083" t="inlineStr">
        <is>
          <t>Х</t>
        </is>
      </c>
      <c r="P46" s="1063" t="inlineStr">
        <is>
          <t>Х</t>
        </is>
      </c>
      <c r="Q46" s="1063" t="inlineStr">
        <is>
          <t>Х</t>
        </is>
      </c>
      <c r="R46" s="1063" t="inlineStr">
        <is>
          <t>Х</t>
        </is>
      </c>
      <c r="S46" s="1083" t="inlineStr">
        <is>
          <t>Х</t>
        </is>
      </c>
      <c r="T46" s="1063" t="inlineStr">
        <is>
          <t>Х</t>
        </is>
      </c>
      <c r="U46" s="1063" t="inlineStr">
        <is>
          <t>Х</t>
        </is>
      </c>
      <c r="V46" s="1063" t="inlineStr">
        <is>
          <t>Х</t>
        </is>
      </c>
      <c r="W46" s="1083" t="inlineStr">
        <is>
          <t>Х</t>
        </is>
      </c>
      <c r="X46" s="969" t="n"/>
    </row>
    <row r="47" ht="13.5" customHeight="1" s="794">
      <c r="A47" s="1419" t="n"/>
      <c r="B47" s="662" t="inlineStr">
        <is>
          <t>- административно-управленческий персонал;</t>
        </is>
      </c>
      <c r="C47" s="1418" t="n"/>
      <c r="D47" s="969" t="inlineStr">
        <is>
          <t>Х</t>
        </is>
      </c>
      <c r="E47" s="1089" t="inlineStr">
        <is>
          <t>Х</t>
        </is>
      </c>
      <c r="F47" s="1089" t="inlineStr">
        <is>
          <t>Х</t>
        </is>
      </c>
      <c r="G47" s="1089" t="inlineStr">
        <is>
          <t>Х</t>
        </is>
      </c>
      <c r="H47" s="1089" t="inlineStr">
        <is>
          <t>Х</t>
        </is>
      </c>
      <c r="I47" s="1089" t="inlineStr">
        <is>
          <t>Х</t>
        </is>
      </c>
      <c r="J47" s="1089" t="inlineStr">
        <is>
          <t>Х</t>
        </is>
      </c>
      <c r="K47" s="1089" t="inlineStr">
        <is>
          <t>Х</t>
        </is>
      </c>
      <c r="L47" s="1089" t="inlineStr">
        <is>
          <t>Х</t>
        </is>
      </c>
      <c r="M47" s="1089" t="inlineStr">
        <is>
          <t>Х</t>
        </is>
      </c>
      <c r="N47" s="1089" t="inlineStr">
        <is>
          <t>Х</t>
        </is>
      </c>
      <c r="O47" s="1084" t="inlineStr">
        <is>
          <t>Х</t>
        </is>
      </c>
      <c r="P47" s="1089" t="inlineStr">
        <is>
          <t>Х</t>
        </is>
      </c>
      <c r="Q47" s="1089" t="inlineStr">
        <is>
          <t>Х</t>
        </is>
      </c>
      <c r="R47" s="1089" t="inlineStr">
        <is>
          <t>Х</t>
        </is>
      </c>
      <c r="S47" s="1084" t="inlineStr">
        <is>
          <t>Х</t>
        </is>
      </c>
      <c r="T47" s="1089" t="inlineStr">
        <is>
          <t>Х</t>
        </is>
      </c>
      <c r="U47" s="1089" t="inlineStr">
        <is>
          <t>Х</t>
        </is>
      </c>
      <c r="V47" s="1089" t="inlineStr">
        <is>
          <t>Х</t>
        </is>
      </c>
      <c r="W47" s="1084" t="inlineStr">
        <is>
          <t>Х</t>
        </is>
      </c>
      <c r="X47" s="969" t="n"/>
    </row>
    <row r="48" ht="15" customHeight="1" s="794">
      <c r="A48" s="1414" t="n"/>
      <c r="B48" s="668" t="inlineStr">
        <is>
          <t>- вспомогательные работники</t>
        </is>
      </c>
      <c r="C48" s="1413" t="n"/>
      <c r="D48" s="669" t="inlineStr">
        <is>
          <t>Х</t>
        </is>
      </c>
      <c r="E48" s="1090" t="inlineStr">
        <is>
          <t>Х</t>
        </is>
      </c>
      <c r="F48" s="1090" t="inlineStr">
        <is>
          <t>Х</t>
        </is>
      </c>
      <c r="G48" s="1090" t="inlineStr">
        <is>
          <t>Х</t>
        </is>
      </c>
      <c r="H48" s="1090" t="inlineStr">
        <is>
          <t>Х</t>
        </is>
      </c>
      <c r="I48" s="1090" t="inlineStr">
        <is>
          <t>Х</t>
        </is>
      </c>
      <c r="J48" s="1090" t="inlineStr">
        <is>
          <t>Х</t>
        </is>
      </c>
      <c r="K48" s="1090" t="inlineStr">
        <is>
          <t>Х</t>
        </is>
      </c>
      <c r="L48" s="1089" t="inlineStr">
        <is>
          <t>Х</t>
        </is>
      </c>
      <c r="M48" s="1090" t="inlineStr">
        <is>
          <t>Х</t>
        </is>
      </c>
      <c r="N48" s="1089" t="inlineStr">
        <is>
          <t>Х</t>
        </is>
      </c>
      <c r="O48" s="1085" t="inlineStr">
        <is>
          <t>Х</t>
        </is>
      </c>
      <c r="P48" s="1089" t="inlineStr">
        <is>
          <t>Х</t>
        </is>
      </c>
      <c r="Q48" s="1090" t="inlineStr">
        <is>
          <t>Х</t>
        </is>
      </c>
      <c r="R48" s="1089" t="inlineStr">
        <is>
          <t>Х</t>
        </is>
      </c>
      <c r="S48" s="1085" t="inlineStr">
        <is>
          <t>Х</t>
        </is>
      </c>
      <c r="T48" s="1089" t="inlineStr">
        <is>
          <t>Х</t>
        </is>
      </c>
      <c r="U48" s="1090" t="inlineStr">
        <is>
          <t>Х</t>
        </is>
      </c>
      <c r="V48" s="1089" t="inlineStr">
        <is>
          <t>Х</t>
        </is>
      </c>
      <c r="W48" s="1085" t="inlineStr">
        <is>
          <t>Х</t>
        </is>
      </c>
      <c r="X48" s="969" t="n"/>
    </row>
    <row r="49" ht="42" customFormat="1" customHeight="1" s="300">
      <c r="A49" s="1474" t="inlineStr">
        <is>
          <t xml:space="preserve">7.3
</t>
        </is>
      </c>
      <c r="B49" s="639" t="inlineStr">
        <is>
          <t>работники, относящиеся к общехозяйственным затратам / 
административно-управленческим расходам:</t>
        </is>
      </c>
      <c r="C49" s="572" t="inlineStr">
        <is>
          <t>тыс. руб.</t>
        </is>
      </c>
      <c r="D49" s="684">
        <f>D50+D51</f>
        <v/>
      </c>
      <c r="E49" s="1081" t="inlineStr">
        <is>
          <t>Х</t>
        </is>
      </c>
      <c r="F49" s="641">
        <f>F50+F51</f>
        <v/>
      </c>
      <c r="G49" s="1081" t="inlineStr">
        <is>
          <t>Х</t>
        </is>
      </c>
      <c r="H49" s="641">
        <f>H50+H51</f>
        <v/>
      </c>
      <c r="I49" s="1081" t="inlineStr">
        <is>
          <t>Х</t>
        </is>
      </c>
      <c r="J49" s="641">
        <f>J50+J51</f>
        <v/>
      </c>
      <c r="K49" s="1081" t="inlineStr">
        <is>
          <t>Х</t>
        </is>
      </c>
      <c r="L49" s="641">
        <f>L50+L51</f>
        <v/>
      </c>
      <c r="M49" s="1081" t="inlineStr">
        <is>
          <t>Х</t>
        </is>
      </c>
      <c r="N49" s="641">
        <f>N50+N51</f>
        <v/>
      </c>
      <c r="O49" s="642" t="inlineStr">
        <is>
          <t>Х</t>
        </is>
      </c>
      <c r="P49" s="641">
        <f>P50+P51</f>
        <v/>
      </c>
      <c r="Q49" s="1081" t="inlineStr">
        <is>
          <t>Х</t>
        </is>
      </c>
      <c r="R49" s="641">
        <f>R50+R51</f>
        <v/>
      </c>
      <c r="S49" s="642" t="inlineStr">
        <is>
          <t>Х</t>
        </is>
      </c>
      <c r="T49" s="641">
        <f>T50+T51</f>
        <v/>
      </c>
      <c r="U49" s="1081" t="inlineStr">
        <is>
          <t>Х</t>
        </is>
      </c>
      <c r="V49" s="641">
        <f>V50+V51</f>
        <v/>
      </c>
      <c r="W49" s="642" t="inlineStr">
        <is>
          <t>Х</t>
        </is>
      </c>
      <c r="X49" s="1114" t="n"/>
    </row>
    <row r="50" ht="27" customFormat="1" customHeight="1" s="300">
      <c r="A50" s="1419" t="n"/>
      <c r="B50" s="671" t="inlineStr">
        <is>
          <t>- административно-управленческий персонал;</t>
        </is>
      </c>
      <c r="C50" s="1419" t="n"/>
      <c r="D50" s="683" t="n">
        <v>0</v>
      </c>
      <c r="E50" s="1082" t="inlineStr">
        <is>
          <t>Х</t>
        </is>
      </c>
      <c r="F50" s="683" t="n">
        <v>0</v>
      </c>
      <c r="G50" s="1082" t="inlineStr">
        <is>
          <t>Х</t>
        </is>
      </c>
      <c r="H50" s="683" t="n">
        <v>0</v>
      </c>
      <c r="I50" s="1082" t="inlineStr">
        <is>
          <t>Х</t>
        </is>
      </c>
      <c r="J50" s="683" t="n">
        <v>0</v>
      </c>
      <c r="K50" s="1082" t="inlineStr">
        <is>
          <t>Х</t>
        </is>
      </c>
      <c r="L50" s="683" t="n">
        <v>0</v>
      </c>
      <c r="M50" s="1082" t="inlineStr">
        <is>
          <t>Х</t>
        </is>
      </c>
      <c r="N50" s="683" t="n">
        <v>0</v>
      </c>
      <c r="O50" s="673" t="inlineStr">
        <is>
          <t>Х</t>
        </is>
      </c>
      <c r="P50" s="683" t="n">
        <v>0</v>
      </c>
      <c r="Q50" s="1082" t="inlineStr">
        <is>
          <t>Х</t>
        </is>
      </c>
      <c r="R50" s="683" t="n">
        <v>0</v>
      </c>
      <c r="S50" s="673" t="inlineStr">
        <is>
          <t>Х</t>
        </is>
      </c>
      <c r="T50" s="683" t="n">
        <v>0</v>
      </c>
      <c r="U50" s="1082" t="inlineStr">
        <is>
          <t>Х</t>
        </is>
      </c>
      <c r="V50" s="683" t="n">
        <v>0</v>
      </c>
      <c r="W50" s="673" t="inlineStr">
        <is>
          <t>Х</t>
        </is>
      </c>
      <c r="X50" s="1114" t="n"/>
    </row>
    <row r="51" ht="15.75" customFormat="1" customHeight="1" s="300">
      <c r="A51" s="1414" t="n"/>
      <c r="B51" s="674" t="inlineStr">
        <is>
          <t>- вспомогательные работники</t>
        </is>
      </c>
      <c r="C51" s="1414" t="n"/>
      <c r="D51" s="1478" t="n">
        <v>0</v>
      </c>
      <c r="E51" s="1086" t="inlineStr">
        <is>
          <t>Х</t>
        </is>
      </c>
      <c r="F51" s="1478" t="n">
        <v>0</v>
      </c>
      <c r="G51" s="1086" t="inlineStr">
        <is>
          <t>Х</t>
        </is>
      </c>
      <c r="H51" s="1476" t="n">
        <v>0</v>
      </c>
      <c r="I51" s="1086" t="inlineStr">
        <is>
          <t>Х</t>
        </is>
      </c>
      <c r="J51" s="1476" t="n">
        <v>0</v>
      </c>
      <c r="K51" s="1086" t="inlineStr">
        <is>
          <t>Х</t>
        </is>
      </c>
      <c r="L51" s="1476" t="n">
        <v>0</v>
      </c>
      <c r="M51" s="1086" t="inlineStr">
        <is>
          <t>Х</t>
        </is>
      </c>
      <c r="N51" s="1476" t="n">
        <v>0</v>
      </c>
      <c r="O51" s="678" t="inlineStr">
        <is>
          <t>Х</t>
        </is>
      </c>
      <c r="P51" s="1476" t="n">
        <v>0</v>
      </c>
      <c r="Q51" s="1086" t="inlineStr">
        <is>
          <t>Х</t>
        </is>
      </c>
      <c r="R51" s="1476" t="n">
        <v>0</v>
      </c>
      <c r="S51" s="678" t="inlineStr">
        <is>
          <t>Х</t>
        </is>
      </c>
      <c r="T51" s="1476" t="n">
        <v>0</v>
      </c>
      <c r="U51" s="1086" t="inlineStr">
        <is>
          <t>Х</t>
        </is>
      </c>
      <c r="V51" s="1476" t="n">
        <v>0</v>
      </c>
      <c r="W51" s="678" t="inlineStr">
        <is>
          <t>Х</t>
        </is>
      </c>
      <c r="X51" s="1114" t="n"/>
    </row>
    <row r="52" ht="45" customFormat="1" customHeight="1" s="300">
      <c r="A52" s="1077" t="inlineStr">
        <is>
          <t xml:space="preserve">8.
</t>
        </is>
      </c>
      <c r="B52" s="639" t="inlineStr">
        <is>
          <t>Норматив основной заработной платы основных работников 
(стоимость человеко-месяц):</t>
        </is>
      </c>
      <c r="C52" s="1087" t="inlineStr">
        <is>
          <t>руб.-месяц</t>
        </is>
      </c>
      <c r="D52" s="641">
        <f>ROUND(D40*1000/D26/11,0)</f>
        <v/>
      </c>
      <c r="E52" s="1081" t="inlineStr">
        <is>
          <t>Х</t>
        </is>
      </c>
      <c r="F52" s="641">
        <f>ROUND(F40*1000/F26/11,0)</f>
        <v/>
      </c>
      <c r="G52" s="1081" t="inlineStr">
        <is>
          <t>Х</t>
        </is>
      </c>
      <c r="H52" s="641">
        <f>ROUND(H40*1000/H76,0)</f>
        <v/>
      </c>
      <c r="I52" s="1081" t="inlineStr">
        <is>
          <t>Х</t>
        </is>
      </c>
      <c r="J52" s="641">
        <f>ROUND(J40*1000/J76,0)</f>
        <v/>
      </c>
      <c r="K52" s="1081" t="inlineStr">
        <is>
          <t>Х</t>
        </is>
      </c>
      <c r="L52" s="641">
        <f>ROUND(L40*1000/L26/11,0)</f>
        <v/>
      </c>
      <c r="M52" s="1081" t="inlineStr">
        <is>
          <t>Х</t>
        </is>
      </c>
      <c r="N52" s="641">
        <f>ROUND(N40*1000/N76,0)</f>
        <v/>
      </c>
      <c r="O52" s="642" t="inlineStr">
        <is>
          <t>Х</t>
        </is>
      </c>
      <c r="P52" s="641">
        <f>ROUND(L52*1.04*1.057,0)</f>
        <v/>
      </c>
      <c r="Q52" s="1081" t="inlineStr">
        <is>
          <t>Х</t>
        </is>
      </c>
      <c r="R52" s="641">
        <f>ROUND(R40*1000/R76,0)</f>
        <v/>
      </c>
      <c r="S52" s="642" t="inlineStr">
        <is>
          <t>Х</t>
        </is>
      </c>
      <c r="T52" s="641">
        <f>ROUND(P52*1.04*1.041,0)</f>
        <v/>
      </c>
      <c r="U52" s="1081" t="inlineStr">
        <is>
          <t>Х</t>
        </is>
      </c>
      <c r="V52" s="641">
        <f>ROUND(V40*1000/V76,0)</f>
        <v/>
      </c>
      <c r="W52" s="642" t="inlineStr">
        <is>
          <t>Х</t>
        </is>
      </c>
      <c r="X52" s="1114" t="n"/>
    </row>
    <row r="53" ht="12.75" customFormat="1" customHeight="1" s="300">
      <c r="A53" s="1419" t="n"/>
      <c r="B53" s="671" t="inlineStr">
        <is>
          <t>- рабочие-сдельщики;</t>
        </is>
      </c>
      <c r="C53" s="1419" t="n"/>
      <c r="D53" s="655" t="inlineStr">
        <is>
          <t>Х</t>
        </is>
      </c>
      <c r="E53" s="1082" t="inlineStr">
        <is>
          <t>Х</t>
        </is>
      </c>
      <c r="F53" s="655" t="inlineStr">
        <is>
          <t>Х</t>
        </is>
      </c>
      <c r="G53" s="1082" t="inlineStr">
        <is>
          <t>Х</t>
        </is>
      </c>
      <c r="H53" s="655" t="inlineStr">
        <is>
          <t>Х</t>
        </is>
      </c>
      <c r="I53" s="1082" t="inlineStr">
        <is>
          <t>Х</t>
        </is>
      </c>
      <c r="J53" s="655" t="inlineStr">
        <is>
          <t>Х</t>
        </is>
      </c>
      <c r="K53" s="1082" t="inlineStr">
        <is>
          <t>Х</t>
        </is>
      </c>
      <c r="L53" s="655" t="inlineStr">
        <is>
          <t>Х</t>
        </is>
      </c>
      <c r="M53" s="1082" t="inlineStr">
        <is>
          <t>Х</t>
        </is>
      </c>
      <c r="N53" s="655" t="inlineStr">
        <is>
          <t>Х</t>
        </is>
      </c>
      <c r="O53" s="673" t="inlineStr">
        <is>
          <t>Х</t>
        </is>
      </c>
      <c r="P53" s="655" t="inlineStr">
        <is>
          <t>Х</t>
        </is>
      </c>
      <c r="Q53" s="1082" t="inlineStr">
        <is>
          <t>Х</t>
        </is>
      </c>
      <c r="R53" s="655" t="inlineStr">
        <is>
          <t>Х</t>
        </is>
      </c>
      <c r="S53" s="673" t="inlineStr">
        <is>
          <t>Х</t>
        </is>
      </c>
      <c r="T53" s="655" t="inlineStr">
        <is>
          <t>Х</t>
        </is>
      </c>
      <c r="U53" s="1082" t="inlineStr">
        <is>
          <t>Х</t>
        </is>
      </c>
      <c r="V53" s="655" t="inlineStr">
        <is>
          <t>Х</t>
        </is>
      </c>
      <c r="W53" s="673" t="inlineStr">
        <is>
          <t>Х</t>
        </is>
      </c>
      <c r="X53" s="1114" t="n"/>
    </row>
    <row r="54" ht="12.75" customFormat="1" customHeight="1" s="300">
      <c r="A54" s="1419" t="n"/>
      <c r="B54" s="671" t="inlineStr">
        <is>
          <t>- рабочие-повременщики;</t>
        </is>
      </c>
      <c r="C54" s="1419" t="n"/>
      <c r="D54" s="655" t="inlineStr">
        <is>
          <t>Х</t>
        </is>
      </c>
      <c r="E54" s="1082" t="inlineStr">
        <is>
          <t>Х</t>
        </is>
      </c>
      <c r="F54" s="655" t="inlineStr">
        <is>
          <t>Х</t>
        </is>
      </c>
      <c r="G54" s="1082" t="inlineStr">
        <is>
          <t>Х</t>
        </is>
      </c>
      <c r="H54" s="655" t="inlineStr">
        <is>
          <t>Х</t>
        </is>
      </c>
      <c r="I54" s="1082" t="inlineStr">
        <is>
          <t>Х</t>
        </is>
      </c>
      <c r="J54" s="655" t="inlineStr">
        <is>
          <t>Х</t>
        </is>
      </c>
      <c r="K54" s="1082" t="inlineStr">
        <is>
          <t>Х</t>
        </is>
      </c>
      <c r="L54" s="655" t="inlineStr">
        <is>
          <t>Х</t>
        </is>
      </c>
      <c r="M54" s="1082" t="inlineStr">
        <is>
          <t>Х</t>
        </is>
      </c>
      <c r="N54" s="655" t="inlineStr">
        <is>
          <t>Х</t>
        </is>
      </c>
      <c r="O54" s="673" t="inlineStr">
        <is>
          <t>Х</t>
        </is>
      </c>
      <c r="P54" s="655" t="inlineStr">
        <is>
          <t>Х</t>
        </is>
      </c>
      <c r="Q54" s="1082" t="inlineStr">
        <is>
          <t>Х</t>
        </is>
      </c>
      <c r="R54" s="655" t="inlineStr">
        <is>
          <t>Х</t>
        </is>
      </c>
      <c r="S54" s="673" t="inlineStr">
        <is>
          <t>Х</t>
        </is>
      </c>
      <c r="T54" s="655" t="inlineStr">
        <is>
          <t>Х</t>
        </is>
      </c>
      <c r="U54" s="1082" t="inlineStr">
        <is>
          <t>Х</t>
        </is>
      </c>
      <c r="V54" s="655" t="inlineStr">
        <is>
          <t>Х</t>
        </is>
      </c>
      <c r="W54" s="673" t="inlineStr">
        <is>
          <t>Х</t>
        </is>
      </c>
      <c r="X54" s="1114" t="n"/>
    </row>
    <row r="55" ht="12.75" customFormat="1" customHeight="1" s="300">
      <c r="A55" s="1419" t="n"/>
      <c r="B55" s="671" t="inlineStr">
        <is>
          <t>- прочие категории</t>
        </is>
      </c>
      <c r="C55" s="1419" t="n"/>
      <c r="D55" s="1477" t="n">
        <v>0</v>
      </c>
      <c r="E55" s="1082" t="inlineStr">
        <is>
          <t>Х</t>
        </is>
      </c>
      <c r="F55" s="1477" t="n">
        <v>0</v>
      </c>
      <c r="G55" s="1082" t="inlineStr">
        <is>
          <t>Х</t>
        </is>
      </c>
      <c r="H55" s="1477" t="n">
        <v>0</v>
      </c>
      <c r="I55" s="1082" t="inlineStr">
        <is>
          <t>Х</t>
        </is>
      </c>
      <c r="J55" s="1477" t="n">
        <v>0</v>
      </c>
      <c r="K55" s="1082" t="inlineStr">
        <is>
          <t>Х</t>
        </is>
      </c>
      <c r="L55" s="1477" t="n">
        <v>0</v>
      </c>
      <c r="M55" s="1082" t="inlineStr">
        <is>
          <t>Х</t>
        </is>
      </c>
      <c r="N55" s="683" t="n"/>
      <c r="O55" s="673" t="inlineStr">
        <is>
          <t>Х</t>
        </is>
      </c>
      <c r="P55" s="1477" t="n">
        <v>0</v>
      </c>
      <c r="Q55" s="1082" t="inlineStr">
        <is>
          <t>Х</t>
        </is>
      </c>
      <c r="R55" s="683" t="n"/>
      <c r="S55" s="673" t="inlineStr">
        <is>
          <t>Х</t>
        </is>
      </c>
      <c r="T55" s="1477" t="n">
        <v>0</v>
      </c>
      <c r="U55" s="1082" t="inlineStr">
        <is>
          <t>Х</t>
        </is>
      </c>
      <c r="V55" s="683" t="n"/>
      <c r="W55" s="673" t="inlineStr">
        <is>
          <t>Х</t>
        </is>
      </c>
      <c r="X55" s="1114" t="n"/>
    </row>
    <row r="56" ht="12.75" customFormat="1" customHeight="1" s="300">
      <c r="A56" s="1419" t="n"/>
      <c r="B56" s="671" t="inlineStr">
        <is>
          <t>- научные, инженерные и технические работники</t>
        </is>
      </c>
      <c r="C56" s="1419" t="n"/>
      <c r="D56" s="683" t="n">
        <v>0</v>
      </c>
      <c r="E56" s="1082" t="inlineStr">
        <is>
          <t>Х</t>
        </is>
      </c>
      <c r="F56" s="683" t="n">
        <v>0</v>
      </c>
      <c r="G56" s="1082" t="inlineStr">
        <is>
          <t>Х</t>
        </is>
      </c>
      <c r="H56" s="683" t="n">
        <v>0</v>
      </c>
      <c r="I56" s="1082" t="inlineStr">
        <is>
          <t>Х</t>
        </is>
      </c>
      <c r="J56" s="683">
        <f>J44*1000/J80</f>
        <v/>
      </c>
      <c r="K56" s="1082" t="inlineStr">
        <is>
          <t>Х</t>
        </is>
      </c>
      <c r="L56" s="683" t="n">
        <v>0</v>
      </c>
      <c r="M56" s="1082" t="inlineStr">
        <is>
          <t>Х</t>
        </is>
      </c>
      <c r="N56" s="683">
        <f>ROUNDUP(N44*1000/N80,2)</f>
        <v/>
      </c>
      <c r="O56" s="673" t="inlineStr">
        <is>
          <t>Х</t>
        </is>
      </c>
      <c r="P56" s="683" t="n">
        <v>0</v>
      </c>
      <c r="Q56" s="1082" t="inlineStr">
        <is>
          <t>Х</t>
        </is>
      </c>
      <c r="R56" s="683">
        <f>ROUND(R44*1000/R80,0)</f>
        <v/>
      </c>
      <c r="S56" s="673" t="inlineStr">
        <is>
          <t>Х</t>
        </is>
      </c>
      <c r="T56" s="683" t="n">
        <v>0</v>
      </c>
      <c r="U56" s="1082" t="inlineStr">
        <is>
          <t>Х</t>
        </is>
      </c>
      <c r="V56" s="683">
        <f>ROUND(V44*1000/V80,0)</f>
        <v/>
      </c>
      <c r="W56" s="673" t="inlineStr">
        <is>
          <t>Х</t>
        </is>
      </c>
      <c r="X56" s="1114" t="n"/>
    </row>
    <row r="57" ht="15" customFormat="1" customHeight="1" s="300">
      <c r="A57" s="1419" t="n"/>
      <c r="B57" s="671" t="inlineStr">
        <is>
          <t>- профессорско-преподавательский состав</t>
        </is>
      </c>
      <c r="C57" s="1419" t="n"/>
      <c r="D57" s="686" t="n">
        <v>0</v>
      </c>
      <c r="E57" s="1082" t="inlineStr">
        <is>
          <t>Х</t>
        </is>
      </c>
      <c r="F57" s="686" t="n">
        <v>0</v>
      </c>
      <c r="G57" s="1082" t="inlineStr">
        <is>
          <t>Х</t>
        </is>
      </c>
      <c r="H57" s="686" t="n">
        <v>0</v>
      </c>
      <c r="I57" s="1082" t="inlineStr">
        <is>
          <t>Х</t>
        </is>
      </c>
      <c r="J57" s="683">
        <f>IFERROR(J45*1000/J81,0)</f>
        <v/>
      </c>
      <c r="K57" s="1082" t="inlineStr">
        <is>
          <t>Х</t>
        </is>
      </c>
      <c r="L57" s="686" t="n">
        <v>0</v>
      </c>
      <c r="M57" s="1082" t="inlineStr">
        <is>
          <t>Х</t>
        </is>
      </c>
      <c r="N57" s="686">
        <f>ROUND(N45*1000/N81,2)</f>
        <v/>
      </c>
      <c r="O57" s="673" t="inlineStr">
        <is>
          <t>Х</t>
        </is>
      </c>
      <c r="P57" s="686" t="n">
        <v>0</v>
      </c>
      <c r="Q57" s="1082" t="inlineStr">
        <is>
          <t>Х</t>
        </is>
      </c>
      <c r="R57" s="1476">
        <f>IFERROR(ROUND(R45*1000/R81,2),0)</f>
        <v/>
      </c>
      <c r="S57" s="673" t="inlineStr">
        <is>
          <t>Х</t>
        </is>
      </c>
      <c r="T57" s="686" t="n">
        <v>0</v>
      </c>
      <c r="U57" s="1082" t="inlineStr">
        <is>
          <t>Х</t>
        </is>
      </c>
      <c r="V57" s="1476" t="n">
        <v>0</v>
      </c>
      <c r="W57" s="673" t="inlineStr">
        <is>
          <t>Х</t>
        </is>
      </c>
      <c r="X57" s="1114" t="n"/>
    </row>
    <row r="58" ht="27.75" customHeight="1" s="794">
      <c r="A58" s="1060" t="inlineStr">
        <is>
          <t>9.4</t>
        </is>
      </c>
      <c r="B58" s="667" t="inlineStr">
        <is>
          <t>Дополнительная заработная плата работников предприятия, всего:</t>
        </is>
      </c>
      <c r="C58" s="1063" t="inlineStr">
        <is>
          <t>тыс. руб.</t>
        </is>
      </c>
      <c r="D58" s="680">
        <f>D60+D69</f>
        <v/>
      </c>
      <c r="E58" s="1063" t="inlineStr">
        <is>
          <t>Х</t>
        </is>
      </c>
      <c r="F58" s="680">
        <f>F60+F69</f>
        <v/>
      </c>
      <c r="G58" s="1063" t="inlineStr">
        <is>
          <t>Х</t>
        </is>
      </c>
      <c r="H58" s="680">
        <f>H60+H69</f>
        <v/>
      </c>
      <c r="I58" s="1063" t="inlineStr">
        <is>
          <t>Х</t>
        </is>
      </c>
      <c r="J58" s="680">
        <f>J60+J69</f>
        <v/>
      </c>
      <c r="K58" s="1063" t="inlineStr">
        <is>
          <t>Х</t>
        </is>
      </c>
      <c r="L58" s="688">
        <f>L60+L69</f>
        <v/>
      </c>
      <c r="M58" s="1063" t="inlineStr">
        <is>
          <t>Х</t>
        </is>
      </c>
      <c r="N58" s="688">
        <f>N60+N69</f>
        <v/>
      </c>
      <c r="O58" s="1083" t="inlineStr">
        <is>
          <t>Х</t>
        </is>
      </c>
      <c r="P58" s="688">
        <f>P60+P69</f>
        <v/>
      </c>
      <c r="Q58" s="1063" t="inlineStr">
        <is>
          <t>Х</t>
        </is>
      </c>
      <c r="R58" s="688">
        <f>R60+R69</f>
        <v/>
      </c>
      <c r="S58" s="1083" t="inlineStr">
        <is>
          <t>Х</t>
        </is>
      </c>
      <c r="T58" s="688">
        <f>T60+T69</f>
        <v/>
      </c>
      <c r="U58" s="1063" t="inlineStr">
        <is>
          <t>Х</t>
        </is>
      </c>
      <c r="V58" s="688">
        <f>V60+V69</f>
        <v/>
      </c>
      <c r="W58" s="1083" t="inlineStr">
        <is>
          <t>Х</t>
        </is>
      </c>
      <c r="X58" s="969" t="n"/>
    </row>
    <row r="59" ht="12.75" customHeight="1" s="794">
      <c r="A59" s="657" t="n"/>
      <c r="B59" s="658" t="inlineStr">
        <is>
          <t>в том числе:</t>
        </is>
      </c>
      <c r="C59" s="1072" t="n"/>
      <c r="D59" s="1072" t="n"/>
      <c r="E59" s="1072" t="n"/>
      <c r="F59" s="1072" t="n"/>
      <c r="G59" s="1072" t="n"/>
      <c r="H59" s="1072" t="n"/>
      <c r="I59" s="1072" t="n"/>
      <c r="J59" s="1072" t="n"/>
      <c r="K59" s="1072" t="n"/>
      <c r="L59" s="1083" t="n"/>
      <c r="M59" s="1072" t="n"/>
      <c r="N59" s="1083" t="n"/>
      <c r="O59" s="1062" t="n"/>
      <c r="P59" s="1083" t="n"/>
      <c r="Q59" s="1072" t="n"/>
      <c r="R59" s="1083" t="n"/>
      <c r="S59" s="1062" t="n"/>
      <c r="T59" s="1083" t="n"/>
      <c r="U59" s="1072" t="n"/>
      <c r="V59" s="1083" t="n"/>
      <c r="W59" s="1062" t="n"/>
      <c r="X59" s="969" t="n"/>
    </row>
    <row r="60" ht="16.5" customHeight="1" s="794">
      <c r="A60" s="1075" t="inlineStr">
        <is>
          <t xml:space="preserve">9.1
</t>
        </is>
      </c>
      <c r="B60" s="667" t="inlineStr">
        <is>
          <t>основные работники:</t>
        </is>
      </c>
      <c r="C60" s="1063" t="inlineStr">
        <is>
          <t>тыс. руб.</t>
        </is>
      </c>
      <c r="D60" s="680">
        <f>D63+D64+D65</f>
        <v/>
      </c>
      <c r="E60" s="1063" t="inlineStr">
        <is>
          <t>Х</t>
        </is>
      </c>
      <c r="F60" s="641">
        <f>F63+F64+F65</f>
        <v/>
      </c>
      <c r="G60" s="1063" t="inlineStr">
        <is>
          <t>Х</t>
        </is>
      </c>
      <c r="H60" s="680">
        <f>H63+H64+H65</f>
        <v/>
      </c>
      <c r="I60" s="1063" t="inlineStr">
        <is>
          <t>Х</t>
        </is>
      </c>
      <c r="J60" s="641">
        <f>J63+J64+J65</f>
        <v/>
      </c>
      <c r="K60" s="1063" t="inlineStr">
        <is>
          <t>Х</t>
        </is>
      </c>
      <c r="L60" s="680">
        <f>L63+L64+L65</f>
        <v/>
      </c>
      <c r="M60" s="1063" t="inlineStr">
        <is>
          <t>Х</t>
        </is>
      </c>
      <c r="N60" s="680">
        <f>N63+N64+N65</f>
        <v/>
      </c>
      <c r="O60" s="1083" t="inlineStr">
        <is>
          <t>Х</t>
        </is>
      </c>
      <c r="P60" s="680">
        <f>P63+P64+P65</f>
        <v/>
      </c>
      <c r="Q60" s="1063" t="inlineStr">
        <is>
          <t>Х</t>
        </is>
      </c>
      <c r="R60" s="680">
        <f>R63+R64+R65</f>
        <v/>
      </c>
      <c r="S60" s="1083" t="inlineStr">
        <is>
          <t>Х</t>
        </is>
      </c>
      <c r="T60" s="680">
        <f>T63+T64+T65</f>
        <v/>
      </c>
      <c r="U60" s="1063" t="inlineStr">
        <is>
          <t>Х</t>
        </is>
      </c>
      <c r="V60" s="680">
        <f>V63+V64+V65</f>
        <v/>
      </c>
      <c r="W60" s="1083" t="inlineStr">
        <is>
          <t>Х</t>
        </is>
      </c>
      <c r="X60" s="969" t="n"/>
    </row>
    <row r="61" ht="12.75" customHeight="1" s="794">
      <c r="A61" s="1419" t="n"/>
      <c r="B61" s="662" t="inlineStr">
        <is>
          <t>- рабочие-сдельщики;</t>
        </is>
      </c>
      <c r="C61" s="1419" t="n"/>
      <c r="D61" s="663" t="inlineStr">
        <is>
          <t>Х</t>
        </is>
      </c>
      <c r="E61" s="1089" t="inlineStr">
        <is>
          <t>Х</t>
        </is>
      </c>
      <c r="F61" s="663" t="inlineStr">
        <is>
          <t>Х</t>
        </is>
      </c>
      <c r="G61" s="1089" t="inlineStr">
        <is>
          <t>Х</t>
        </is>
      </c>
      <c r="H61" s="663" t="inlineStr">
        <is>
          <t>Х</t>
        </is>
      </c>
      <c r="I61" s="1089" t="inlineStr">
        <is>
          <t>Х</t>
        </is>
      </c>
      <c r="J61" s="663" t="inlineStr">
        <is>
          <t>Х</t>
        </is>
      </c>
      <c r="K61" s="1089" t="inlineStr">
        <is>
          <t>Х</t>
        </is>
      </c>
      <c r="L61" s="663" t="inlineStr">
        <is>
          <t>Х</t>
        </is>
      </c>
      <c r="M61" s="1089" t="inlineStr">
        <is>
          <t>Х</t>
        </is>
      </c>
      <c r="N61" s="663" t="inlineStr">
        <is>
          <t>Х</t>
        </is>
      </c>
      <c r="O61" s="1084" t="inlineStr">
        <is>
          <t>Х</t>
        </is>
      </c>
      <c r="P61" s="663" t="inlineStr">
        <is>
          <t>Х</t>
        </is>
      </c>
      <c r="Q61" s="1089" t="inlineStr">
        <is>
          <t>Х</t>
        </is>
      </c>
      <c r="R61" s="663" t="inlineStr">
        <is>
          <t>Х</t>
        </is>
      </c>
      <c r="S61" s="1084" t="inlineStr">
        <is>
          <t>Х</t>
        </is>
      </c>
      <c r="T61" s="663" t="inlineStr">
        <is>
          <t>Х</t>
        </is>
      </c>
      <c r="U61" s="1089" t="inlineStr">
        <is>
          <t>Х</t>
        </is>
      </c>
      <c r="V61" s="663" t="inlineStr">
        <is>
          <t>Х</t>
        </is>
      </c>
      <c r="W61" s="1084" t="inlineStr">
        <is>
          <t>Х</t>
        </is>
      </c>
      <c r="X61" s="969" t="n"/>
    </row>
    <row r="62" ht="12.75" customHeight="1" s="794">
      <c r="A62" s="1419" t="n"/>
      <c r="B62" s="662" t="inlineStr">
        <is>
          <t>- рабочие-повременщики;</t>
        </is>
      </c>
      <c r="C62" s="1419" t="n"/>
      <c r="D62" s="663" t="inlineStr">
        <is>
          <t>Х</t>
        </is>
      </c>
      <c r="E62" s="1089" t="inlineStr">
        <is>
          <t>Х</t>
        </is>
      </c>
      <c r="F62" s="663" t="inlineStr">
        <is>
          <t>Х</t>
        </is>
      </c>
      <c r="G62" s="1089" t="inlineStr">
        <is>
          <t>Х</t>
        </is>
      </c>
      <c r="H62" s="663" t="inlineStr">
        <is>
          <t>Х</t>
        </is>
      </c>
      <c r="I62" s="1089" t="inlineStr">
        <is>
          <t>Х</t>
        </is>
      </c>
      <c r="J62" s="663" t="inlineStr">
        <is>
          <t>Х</t>
        </is>
      </c>
      <c r="K62" s="1089" t="inlineStr">
        <is>
          <t>Х</t>
        </is>
      </c>
      <c r="L62" s="663" t="inlineStr">
        <is>
          <t>Х</t>
        </is>
      </c>
      <c r="M62" s="1089" t="inlineStr">
        <is>
          <t>Х</t>
        </is>
      </c>
      <c r="N62" s="663" t="inlineStr">
        <is>
          <t>Х</t>
        </is>
      </c>
      <c r="O62" s="1084" t="inlineStr">
        <is>
          <t>Х</t>
        </is>
      </c>
      <c r="P62" s="663" t="inlineStr">
        <is>
          <t>Х</t>
        </is>
      </c>
      <c r="Q62" s="1089" t="inlineStr">
        <is>
          <t>Х</t>
        </is>
      </c>
      <c r="R62" s="663" t="inlineStr">
        <is>
          <t>Х</t>
        </is>
      </c>
      <c r="S62" s="1084" t="inlineStr">
        <is>
          <t>Х</t>
        </is>
      </c>
      <c r="T62" s="663" t="inlineStr">
        <is>
          <t>Х</t>
        </is>
      </c>
      <c r="U62" s="1089" t="inlineStr">
        <is>
          <t>Х</t>
        </is>
      </c>
      <c r="V62" s="663" t="inlineStr">
        <is>
          <t>Х</t>
        </is>
      </c>
      <c r="W62" s="1084" t="inlineStr">
        <is>
          <t>Х</t>
        </is>
      </c>
      <c r="X62" s="969" t="n"/>
    </row>
    <row r="63" ht="12.75" customHeight="1" s="794">
      <c r="A63" s="1419" t="n"/>
      <c r="B63" s="662" t="inlineStr">
        <is>
          <t>- прочие категории</t>
        </is>
      </c>
      <c r="C63" s="1419" t="n"/>
      <c r="D63" s="1472" t="n">
        <v>0</v>
      </c>
      <c r="E63" s="1089" t="inlineStr">
        <is>
          <t>Х</t>
        </is>
      </c>
      <c r="F63" s="1472" t="n">
        <v>0</v>
      </c>
      <c r="G63" s="1089" t="inlineStr">
        <is>
          <t>Х</t>
        </is>
      </c>
      <c r="H63" s="1472">
        <f>H43*H73/100</f>
        <v/>
      </c>
      <c r="I63" s="1089" t="inlineStr">
        <is>
          <t>Х</t>
        </is>
      </c>
      <c r="J63" s="1472" t="n">
        <v>0</v>
      </c>
      <c r="K63" s="1089" t="inlineStr">
        <is>
          <t>Х</t>
        </is>
      </c>
      <c r="L63" s="1472" t="n">
        <v>0</v>
      </c>
      <c r="M63" s="1089" t="inlineStr">
        <is>
          <t>Х</t>
        </is>
      </c>
      <c r="N63" s="1472" t="n">
        <v>0</v>
      </c>
      <c r="O63" s="1084" t="inlineStr">
        <is>
          <t>Х</t>
        </is>
      </c>
      <c r="P63" s="1472" t="n">
        <v>0</v>
      </c>
      <c r="Q63" s="1089" t="inlineStr">
        <is>
          <t>Х</t>
        </is>
      </c>
      <c r="R63" s="1472" t="n">
        <v>0</v>
      </c>
      <c r="S63" s="1084" t="inlineStr">
        <is>
          <t>Х</t>
        </is>
      </c>
      <c r="T63" s="1472" t="n">
        <v>0</v>
      </c>
      <c r="U63" s="1089" t="inlineStr">
        <is>
          <t>Х</t>
        </is>
      </c>
      <c r="V63" s="1472" t="n">
        <v>0</v>
      </c>
      <c r="W63" s="1084" t="inlineStr">
        <is>
          <t>Х</t>
        </is>
      </c>
      <c r="X63" s="969" t="n"/>
    </row>
    <row r="64" ht="12.75" customHeight="1" s="794">
      <c r="A64" s="1419" t="n"/>
      <c r="B64" s="662" t="inlineStr">
        <is>
          <t>- научные, инженерные и технические работники</t>
        </is>
      </c>
      <c r="C64" s="1419" t="n"/>
      <c r="D64" s="689">
        <f>D44*D74/100</f>
        <v/>
      </c>
      <c r="E64" s="1089" t="inlineStr">
        <is>
          <t>Х</t>
        </is>
      </c>
      <c r="F64" s="683" t="n">
        <v>0</v>
      </c>
      <c r="G64" s="1089" t="inlineStr">
        <is>
          <t>Х</t>
        </is>
      </c>
      <c r="H64" s="689">
        <f>H44*H74/100</f>
        <v/>
      </c>
      <c r="I64" s="1089" t="inlineStr">
        <is>
          <t>Х</t>
        </is>
      </c>
      <c r="J64" s="683" t="n">
        <v>0</v>
      </c>
      <c r="K64" s="1089" t="inlineStr">
        <is>
          <t>Х</t>
        </is>
      </c>
      <c r="L64" s="689">
        <f>ROUND(L44*L74/100,2)</f>
        <v/>
      </c>
      <c r="M64" s="1089" t="inlineStr">
        <is>
          <t>Х</t>
        </is>
      </c>
      <c r="N64" s="689">
        <f>N44*N74/100</f>
        <v/>
      </c>
      <c r="O64" s="1084" t="inlineStr">
        <is>
          <t>Х</t>
        </is>
      </c>
      <c r="P64" s="689">
        <f>ROUND(P44*P74/100,2)</f>
        <v/>
      </c>
      <c r="Q64" s="1089" t="inlineStr">
        <is>
          <t>Х</t>
        </is>
      </c>
      <c r="R64" s="689">
        <f>R44*R74/100</f>
        <v/>
      </c>
      <c r="S64" s="1084" t="inlineStr">
        <is>
          <t>Х</t>
        </is>
      </c>
      <c r="T64" s="689">
        <f>ROUND(T44*T74/100,2)</f>
        <v/>
      </c>
      <c r="U64" s="1089" t="inlineStr">
        <is>
          <t>Х</t>
        </is>
      </c>
      <c r="V64" s="689">
        <f>V44*V74/100</f>
        <v/>
      </c>
      <c r="W64" s="1084" t="inlineStr">
        <is>
          <t>Х</t>
        </is>
      </c>
      <c r="X64" s="969" t="n"/>
    </row>
    <row r="65" ht="15.75" customHeight="1" s="794">
      <c r="A65" s="1419" t="n"/>
      <c r="B65" s="662" t="inlineStr">
        <is>
          <t>- профессорско-преподавательский состав</t>
        </is>
      </c>
      <c r="C65" s="1419" t="n"/>
      <c r="D65" s="689">
        <f>D45*D75/100</f>
        <v/>
      </c>
      <c r="E65" s="1089" t="inlineStr">
        <is>
          <t>Х</t>
        </is>
      </c>
      <c r="F65" s="686" t="n">
        <v>0</v>
      </c>
      <c r="G65" s="1089" t="inlineStr">
        <is>
          <t>Х</t>
        </is>
      </c>
      <c r="H65" s="689">
        <f>H45*H75/100</f>
        <v/>
      </c>
      <c r="I65" s="1089" t="inlineStr">
        <is>
          <t>Х</t>
        </is>
      </c>
      <c r="J65" s="686" t="n">
        <v>0</v>
      </c>
      <c r="K65" s="1089" t="inlineStr">
        <is>
          <t>Х</t>
        </is>
      </c>
      <c r="L65" s="689">
        <f>ROUND(L45*L75/100,2)</f>
        <v/>
      </c>
      <c r="M65" s="1089" t="inlineStr">
        <is>
          <t>Х</t>
        </is>
      </c>
      <c r="N65" s="689">
        <f>N45*N75/100</f>
        <v/>
      </c>
      <c r="O65" s="1084" t="inlineStr">
        <is>
          <t>Х</t>
        </is>
      </c>
      <c r="P65" s="689">
        <f>ROUND(P45*P75/100,2)</f>
        <v/>
      </c>
      <c r="Q65" s="1089" t="inlineStr">
        <is>
          <t>Х</t>
        </is>
      </c>
      <c r="R65" s="1479">
        <f>R45*R75/100</f>
        <v/>
      </c>
      <c r="S65" s="1084" t="inlineStr">
        <is>
          <t>Х</t>
        </is>
      </c>
      <c r="T65" s="689">
        <f>ROUND(T45*T75/100,2)</f>
        <v/>
      </c>
      <c r="U65" s="1089" t="inlineStr">
        <is>
          <t>Х</t>
        </is>
      </c>
      <c r="V65" s="1479">
        <f>V45*V75/100</f>
        <v/>
      </c>
      <c r="W65" s="1084" t="inlineStr">
        <is>
          <t>Х</t>
        </is>
      </c>
      <c r="X65" s="969" t="n"/>
    </row>
    <row r="66" ht="28.5" customHeight="1" s="794">
      <c r="A66" s="1473" t="inlineStr">
        <is>
          <t xml:space="preserve">9.2
</t>
        </is>
      </c>
      <c r="B66" s="667" t="inlineStr">
        <is>
          <t>работники, относящиеся к общепроизводственным затратам:</t>
        </is>
      </c>
      <c r="C66" s="1062" t="inlineStr">
        <is>
          <t>тыс. руб.</t>
        </is>
      </c>
      <c r="D66" s="1064" t="inlineStr">
        <is>
          <t>Х</t>
        </is>
      </c>
      <c r="E66" s="1063" t="inlineStr">
        <is>
          <t>Х</t>
        </is>
      </c>
      <c r="F66" s="1063" t="inlineStr">
        <is>
          <t>Х</t>
        </is>
      </c>
      <c r="G66" s="1063" t="inlineStr">
        <is>
          <t>Х</t>
        </is>
      </c>
      <c r="H66" s="1063" t="inlineStr">
        <is>
          <t>Х</t>
        </is>
      </c>
      <c r="I66" s="1063" t="inlineStr">
        <is>
          <t>Х</t>
        </is>
      </c>
      <c r="J66" s="1081" t="inlineStr">
        <is>
          <t>Х</t>
        </is>
      </c>
      <c r="K66" s="1063" t="inlineStr">
        <is>
          <t>Х</t>
        </is>
      </c>
      <c r="L66" s="1063" t="inlineStr">
        <is>
          <t>Х</t>
        </is>
      </c>
      <c r="M66" s="1063" t="inlineStr">
        <is>
          <t>Х</t>
        </is>
      </c>
      <c r="N66" s="1063" t="inlineStr">
        <is>
          <t>Х</t>
        </is>
      </c>
      <c r="O66" s="1083" t="inlineStr">
        <is>
          <t>Х</t>
        </is>
      </c>
      <c r="P66" s="1063" t="inlineStr">
        <is>
          <t>Х</t>
        </is>
      </c>
      <c r="Q66" s="1063" t="inlineStr">
        <is>
          <t>Х</t>
        </is>
      </c>
      <c r="R66" s="1063" t="inlineStr">
        <is>
          <t>Х</t>
        </is>
      </c>
      <c r="S66" s="1083" t="inlineStr">
        <is>
          <t>Х</t>
        </is>
      </c>
      <c r="T66" s="1063" t="inlineStr">
        <is>
          <t>Х</t>
        </is>
      </c>
      <c r="U66" s="1063" t="inlineStr">
        <is>
          <t>Х</t>
        </is>
      </c>
      <c r="V66" s="1063" t="inlineStr">
        <is>
          <t>Х</t>
        </is>
      </c>
      <c r="W66" s="1083" t="inlineStr">
        <is>
          <t>Х</t>
        </is>
      </c>
      <c r="X66" s="969" t="n"/>
    </row>
    <row r="67" ht="12.75" customHeight="1" s="794">
      <c r="A67" s="1419" t="n"/>
      <c r="B67" s="662" t="inlineStr">
        <is>
          <t>- административно-управленческий персонал;</t>
        </is>
      </c>
      <c r="C67" s="1418" t="n"/>
      <c r="D67" s="969" t="inlineStr">
        <is>
          <t>Х</t>
        </is>
      </c>
      <c r="E67" s="1089" t="inlineStr">
        <is>
          <t>Х</t>
        </is>
      </c>
      <c r="F67" s="1089" t="inlineStr">
        <is>
          <t>Х</t>
        </is>
      </c>
      <c r="G67" s="1089" t="inlineStr">
        <is>
          <t>Х</t>
        </is>
      </c>
      <c r="H67" s="1089" t="inlineStr">
        <is>
          <t>Х</t>
        </is>
      </c>
      <c r="I67" s="1089" t="inlineStr">
        <is>
          <t>Х</t>
        </is>
      </c>
      <c r="J67" s="1082" t="inlineStr">
        <is>
          <t>Х</t>
        </is>
      </c>
      <c r="K67" s="1089" t="inlineStr">
        <is>
          <t>Х</t>
        </is>
      </c>
      <c r="L67" s="1089" t="inlineStr">
        <is>
          <t>Х</t>
        </is>
      </c>
      <c r="M67" s="1089" t="inlineStr">
        <is>
          <t>Х</t>
        </is>
      </c>
      <c r="N67" s="1089" t="inlineStr">
        <is>
          <t>Х</t>
        </is>
      </c>
      <c r="O67" s="1084" t="inlineStr">
        <is>
          <t>Х</t>
        </is>
      </c>
      <c r="P67" s="1089" t="inlineStr">
        <is>
          <t>Х</t>
        </is>
      </c>
      <c r="Q67" s="1089" t="inlineStr">
        <is>
          <t>Х</t>
        </is>
      </c>
      <c r="R67" s="1089" t="inlineStr">
        <is>
          <t>Х</t>
        </is>
      </c>
      <c r="S67" s="1084" t="inlineStr">
        <is>
          <t>Х</t>
        </is>
      </c>
      <c r="T67" s="1089" t="inlineStr">
        <is>
          <t>Х</t>
        </is>
      </c>
      <c r="U67" s="1089" t="inlineStr">
        <is>
          <t>Х</t>
        </is>
      </c>
      <c r="V67" s="1089" t="inlineStr">
        <is>
          <t>Х</t>
        </is>
      </c>
      <c r="W67" s="1084" t="inlineStr">
        <is>
          <t>Х</t>
        </is>
      </c>
      <c r="X67" s="969" t="n"/>
    </row>
    <row r="68" ht="16.5" customHeight="1" s="794">
      <c r="A68" s="1414" t="n"/>
      <c r="B68" s="668" t="inlineStr">
        <is>
          <t>- вспомогательные работники</t>
        </is>
      </c>
      <c r="C68" s="1413" t="n"/>
      <c r="D68" s="669" t="inlineStr">
        <is>
          <t>Х</t>
        </is>
      </c>
      <c r="E68" s="1090" t="inlineStr">
        <is>
          <t>Х</t>
        </is>
      </c>
      <c r="F68" s="1090" t="inlineStr">
        <is>
          <t>Х</t>
        </is>
      </c>
      <c r="G68" s="1090" t="inlineStr">
        <is>
          <t>Х</t>
        </is>
      </c>
      <c r="H68" s="1090" t="inlineStr">
        <is>
          <t>Х</t>
        </is>
      </c>
      <c r="I68" s="1090" t="inlineStr">
        <is>
          <t>Х</t>
        </is>
      </c>
      <c r="J68" s="1086" t="inlineStr">
        <is>
          <t>Х</t>
        </is>
      </c>
      <c r="K68" s="1090" t="inlineStr">
        <is>
          <t>Х</t>
        </is>
      </c>
      <c r="L68" s="1089" t="inlineStr">
        <is>
          <t>Х</t>
        </is>
      </c>
      <c r="M68" s="1090" t="inlineStr">
        <is>
          <t>Х</t>
        </is>
      </c>
      <c r="N68" s="1089" t="inlineStr">
        <is>
          <t>Х</t>
        </is>
      </c>
      <c r="O68" s="1085" t="inlineStr">
        <is>
          <t>Х</t>
        </is>
      </c>
      <c r="P68" s="1089" t="inlineStr">
        <is>
          <t>Х</t>
        </is>
      </c>
      <c r="Q68" s="1090" t="inlineStr">
        <is>
          <t>Х</t>
        </is>
      </c>
      <c r="R68" s="1089" t="inlineStr">
        <is>
          <t>Х</t>
        </is>
      </c>
      <c r="S68" s="1085" t="inlineStr">
        <is>
          <t>Х</t>
        </is>
      </c>
      <c r="T68" s="1089" t="inlineStr">
        <is>
          <t>Х</t>
        </is>
      </c>
      <c r="U68" s="1090" t="inlineStr">
        <is>
          <t>Х</t>
        </is>
      </c>
      <c r="V68" s="1089" t="inlineStr">
        <is>
          <t>Х</t>
        </is>
      </c>
      <c r="W68" s="1085" t="inlineStr">
        <is>
          <t>Х</t>
        </is>
      </c>
      <c r="X68" s="969" t="n"/>
    </row>
    <row r="69" ht="56.25" customHeight="1" s="794">
      <c r="A69" s="1473" t="inlineStr">
        <is>
          <t xml:space="preserve">9.3
</t>
        </is>
      </c>
      <c r="B69" s="667" t="inlineStr">
        <is>
          <t>работники, относящиеся к общехозяйственным затратам / 
административно-управленческим расходам:</t>
        </is>
      </c>
      <c r="C69" s="1072" t="inlineStr">
        <is>
          <t>тыс. руб.</t>
        </is>
      </c>
      <c r="D69" s="690">
        <f>D70+D71</f>
        <v/>
      </c>
      <c r="E69" s="1083" t="inlineStr">
        <is>
          <t>Х</t>
        </is>
      </c>
      <c r="F69" s="690">
        <f>F70+F71</f>
        <v/>
      </c>
      <c r="G69" s="1083" t="inlineStr">
        <is>
          <t>Х</t>
        </is>
      </c>
      <c r="H69" s="690">
        <f>H70+H71</f>
        <v/>
      </c>
      <c r="I69" s="1083" t="inlineStr">
        <is>
          <t>Х</t>
        </is>
      </c>
      <c r="J69" s="641">
        <f>J70+J71</f>
        <v/>
      </c>
      <c r="K69" s="1083" t="inlineStr">
        <is>
          <t>Х</t>
        </is>
      </c>
      <c r="L69" s="680">
        <f>L70+L71</f>
        <v/>
      </c>
      <c r="M69" s="1083" t="inlineStr">
        <is>
          <t>Х</t>
        </is>
      </c>
      <c r="N69" s="680">
        <f>N70+N71</f>
        <v/>
      </c>
      <c r="O69" s="1083" t="inlineStr">
        <is>
          <t>Х</t>
        </is>
      </c>
      <c r="P69" s="680">
        <f>P70+P71</f>
        <v/>
      </c>
      <c r="Q69" s="1083" t="inlineStr">
        <is>
          <t>Х</t>
        </is>
      </c>
      <c r="R69" s="680">
        <f>R70+R71</f>
        <v/>
      </c>
      <c r="S69" s="1083" t="inlineStr">
        <is>
          <t>Х</t>
        </is>
      </c>
      <c r="T69" s="680">
        <f>T70+T71</f>
        <v/>
      </c>
      <c r="U69" s="1083" t="inlineStr">
        <is>
          <t>Х</t>
        </is>
      </c>
      <c r="V69" s="680">
        <f>V70+V71</f>
        <v/>
      </c>
      <c r="W69" s="1083" t="inlineStr">
        <is>
          <t>Х</t>
        </is>
      </c>
      <c r="X69" s="969" t="n"/>
    </row>
    <row r="70" ht="12.75" customHeight="1" s="794">
      <c r="A70" s="1419" t="n"/>
      <c r="B70" s="662" t="inlineStr">
        <is>
          <t>- административно-управленческий персонал;</t>
        </is>
      </c>
      <c r="C70" s="1419" t="n"/>
      <c r="D70" s="691">
        <f>D50*D73/100</f>
        <v/>
      </c>
      <c r="E70" s="1084" t="inlineStr">
        <is>
          <t>Х</t>
        </is>
      </c>
      <c r="F70" s="692" t="n">
        <v>0</v>
      </c>
      <c r="G70" s="1084" t="inlineStr">
        <is>
          <t>Х</t>
        </is>
      </c>
      <c r="H70" s="689" t="n">
        <v>0</v>
      </c>
      <c r="I70" s="1084" t="inlineStr">
        <is>
          <t>Х</t>
        </is>
      </c>
      <c r="J70" s="683" t="n">
        <v>0</v>
      </c>
      <c r="K70" s="1084" t="inlineStr">
        <is>
          <t>Х</t>
        </is>
      </c>
      <c r="L70" s="689">
        <f>L50*L74/100</f>
        <v/>
      </c>
      <c r="M70" s="1084" t="inlineStr">
        <is>
          <t>Х</t>
        </is>
      </c>
      <c r="N70" s="689">
        <f>N50*N74/100</f>
        <v/>
      </c>
      <c r="O70" s="1084" t="inlineStr">
        <is>
          <t>Х</t>
        </is>
      </c>
      <c r="P70" s="689">
        <f>P50*P74/100</f>
        <v/>
      </c>
      <c r="Q70" s="1084" t="inlineStr">
        <is>
          <t>Х</t>
        </is>
      </c>
      <c r="R70" s="689">
        <f>R50*R74/100</f>
        <v/>
      </c>
      <c r="S70" s="1084" t="inlineStr">
        <is>
          <t>Х</t>
        </is>
      </c>
      <c r="T70" s="689">
        <f>T50*T74/100</f>
        <v/>
      </c>
      <c r="U70" s="1084" t="inlineStr">
        <is>
          <t>Х</t>
        </is>
      </c>
      <c r="V70" s="689">
        <f>V50*V74/100</f>
        <v/>
      </c>
      <c r="W70" s="1084" t="inlineStr">
        <is>
          <t>Х</t>
        </is>
      </c>
      <c r="X70" s="969" t="n"/>
    </row>
    <row r="71" ht="17.25" customHeight="1" s="794">
      <c r="A71" s="1414" t="n"/>
      <c r="B71" s="668" t="inlineStr">
        <is>
          <t>- вспомогательные работники</t>
        </is>
      </c>
      <c r="C71" s="1414" t="n"/>
      <c r="D71" s="1472" t="n">
        <v>0</v>
      </c>
      <c r="E71" s="1085" t="inlineStr">
        <is>
          <t>Х</t>
        </is>
      </c>
      <c r="F71" s="1472" t="n">
        <v>0</v>
      </c>
      <c r="G71" s="1085" t="inlineStr">
        <is>
          <t>Х</t>
        </is>
      </c>
      <c r="H71" s="1472" t="n">
        <v>0</v>
      </c>
      <c r="I71" s="1085" t="inlineStr">
        <is>
          <t>Х</t>
        </is>
      </c>
      <c r="J71" s="1477" t="n">
        <v>0</v>
      </c>
      <c r="K71" s="1085" t="inlineStr">
        <is>
          <t>Х</t>
        </is>
      </c>
      <c r="L71" s="1472" t="n">
        <v>0</v>
      </c>
      <c r="M71" s="1085" t="inlineStr">
        <is>
          <t>Х</t>
        </is>
      </c>
      <c r="N71" s="1472" t="n">
        <v>0</v>
      </c>
      <c r="O71" s="1085" t="inlineStr">
        <is>
          <t>Х</t>
        </is>
      </c>
      <c r="P71" s="1472" t="n">
        <v>0</v>
      </c>
      <c r="Q71" s="1085" t="inlineStr">
        <is>
          <t>Х</t>
        </is>
      </c>
      <c r="R71" s="1472" t="n">
        <v>0</v>
      </c>
      <c r="S71" s="1085" t="inlineStr">
        <is>
          <t>Х</t>
        </is>
      </c>
      <c r="T71" s="1472" t="n">
        <v>0</v>
      </c>
      <c r="U71" s="1085" t="inlineStr">
        <is>
          <t>Х</t>
        </is>
      </c>
      <c r="V71" s="1472" t="n">
        <v>0</v>
      </c>
      <c r="W71" s="1085" t="inlineStr">
        <is>
          <t>Х</t>
        </is>
      </c>
      <c r="X71" s="969" t="n"/>
    </row>
    <row r="72" ht="27" customHeight="1" s="794">
      <c r="A72" s="1473" t="inlineStr">
        <is>
          <t xml:space="preserve">10.
</t>
        </is>
      </c>
      <c r="B72" s="693" t="inlineStr">
        <is>
          <t>Норматив дополнительной заработной платы основных работников</t>
        </is>
      </c>
      <c r="C72" s="1062" t="inlineStr">
        <is>
          <t>%</t>
        </is>
      </c>
      <c r="D72" s="1480">
        <f>D60/D40*100</f>
        <v/>
      </c>
      <c r="E72" s="1062" t="inlineStr">
        <is>
          <t>Х</t>
        </is>
      </c>
      <c r="F72" s="1481">
        <f>F60/F40*100</f>
        <v/>
      </c>
      <c r="G72" s="1062" t="inlineStr">
        <is>
          <t>Х</t>
        </is>
      </c>
      <c r="H72" s="1481">
        <f>H60/H40*100</f>
        <v/>
      </c>
      <c r="I72" s="1062" t="inlineStr">
        <is>
          <t>Х</t>
        </is>
      </c>
      <c r="J72" s="1482">
        <f>J60/J40*100</f>
        <v/>
      </c>
      <c r="K72" s="1062" t="inlineStr">
        <is>
          <t>Х</t>
        </is>
      </c>
      <c r="L72" s="1480">
        <f>L60/L40*100</f>
        <v/>
      </c>
      <c r="M72" s="1062" t="inlineStr">
        <is>
          <t>Х</t>
        </is>
      </c>
      <c r="N72" s="1480">
        <f>N60/N40*100</f>
        <v/>
      </c>
      <c r="O72" s="1062" t="inlineStr">
        <is>
          <t>Х</t>
        </is>
      </c>
      <c r="P72" s="1480">
        <f>P60/P40*100</f>
        <v/>
      </c>
      <c r="Q72" s="1062" t="inlineStr">
        <is>
          <t>Х</t>
        </is>
      </c>
      <c r="R72" s="1480">
        <f>R60/R40*100</f>
        <v/>
      </c>
      <c r="S72" s="1062" t="inlineStr">
        <is>
          <t>Х</t>
        </is>
      </c>
      <c r="T72" s="1480">
        <f>T60/T40*100</f>
        <v/>
      </c>
      <c r="U72" s="1062" t="inlineStr">
        <is>
          <t>Х</t>
        </is>
      </c>
      <c r="V72" s="1480">
        <f>V60/V40*100</f>
        <v/>
      </c>
      <c r="W72" s="1062" t="inlineStr">
        <is>
          <t>Х</t>
        </is>
      </c>
      <c r="X72" s="969" t="n"/>
    </row>
    <row r="73">
      <c r="A73" s="1419" t="n"/>
      <c r="B73" s="697" t="inlineStr">
        <is>
          <t>- прочие категории</t>
        </is>
      </c>
      <c r="C73" s="1418" t="n"/>
      <c r="D73" s="1483" t="n">
        <v>8.6866</v>
      </c>
      <c r="E73" s="1418" t="n"/>
      <c r="F73" s="1472" t="n">
        <v>0</v>
      </c>
      <c r="G73" s="1418" t="n"/>
      <c r="H73" s="1472" t="n">
        <v>0</v>
      </c>
      <c r="I73" s="1418" t="n"/>
      <c r="J73" s="1477" t="n">
        <v>0</v>
      </c>
      <c r="K73" s="1418" t="n"/>
      <c r="L73" s="1472" t="n">
        <v>0</v>
      </c>
      <c r="M73" s="1418" t="n"/>
      <c r="N73" s="1472" t="n">
        <v>0</v>
      </c>
      <c r="O73" s="1418" t="n"/>
      <c r="P73" s="1472" t="n">
        <v>0</v>
      </c>
      <c r="Q73" s="1418" t="n"/>
      <c r="R73" s="1472" t="n">
        <v>0</v>
      </c>
      <c r="S73" s="1418" t="n"/>
      <c r="T73" s="1472" t="n">
        <v>0</v>
      </c>
      <c r="U73" s="1418" t="n"/>
      <c r="V73" s="1472" t="n">
        <v>0</v>
      </c>
      <c r="W73" s="1418" t="n"/>
      <c r="X73" s="969" t="n"/>
    </row>
    <row r="74" ht="25.5" customHeight="1" s="794">
      <c r="A74" s="1419" t="n"/>
      <c r="B74" s="697" t="inlineStr">
        <is>
          <t>- научные, инженерные и технические работники</t>
        </is>
      </c>
      <c r="C74" s="1418" t="n"/>
      <c r="D74" s="1483" t="n">
        <v>8.6866</v>
      </c>
      <c r="E74" s="1418" t="n"/>
      <c r="F74" s="1484">
        <f>F64/F44*100</f>
        <v/>
      </c>
      <c r="G74" s="1418" t="n"/>
      <c r="H74" s="1485" t="n">
        <v>8.6866</v>
      </c>
      <c r="I74" s="1418" t="n"/>
      <c r="J74" s="1484">
        <f>IFERROR(J64/J44*100,0)</f>
        <v/>
      </c>
      <c r="K74" s="1418" t="n"/>
      <c r="L74" s="1483" t="n">
        <v>8.6866</v>
      </c>
      <c r="M74" s="1418" t="n"/>
      <c r="N74" s="1483" t="n">
        <v>8.6866</v>
      </c>
      <c r="O74" s="1418" t="n"/>
      <c r="P74" s="1483" t="n">
        <v>8.6866</v>
      </c>
      <c r="Q74" s="1418" t="n"/>
      <c r="R74" s="1483" t="n">
        <v>8.6866</v>
      </c>
      <c r="S74" s="1418" t="n"/>
      <c r="T74" s="1483" t="n">
        <v>8.6866</v>
      </c>
      <c r="U74" s="1418" t="n"/>
      <c r="V74" s="1483" t="n">
        <v>8.6866</v>
      </c>
      <c r="W74" s="1418" t="n"/>
      <c r="X74" s="969" t="n"/>
    </row>
    <row r="75">
      <c r="A75" s="1414" t="n"/>
      <c r="B75" s="701" t="inlineStr">
        <is>
          <t>- профессорско-преподавательский состав</t>
        </is>
      </c>
      <c r="C75" s="1413" t="n"/>
      <c r="D75" s="1486" t="n">
        <v>19.1091</v>
      </c>
      <c r="E75" s="1413" t="n"/>
      <c r="F75" s="1487">
        <f>F65/F45*100</f>
        <v/>
      </c>
      <c r="G75" s="1413" t="n"/>
      <c r="H75" s="1488" t="n">
        <v>19.1091</v>
      </c>
      <c r="I75" s="1413" t="n"/>
      <c r="J75" s="1486">
        <f>IFERROR(J65/J45*100,0)</f>
        <v/>
      </c>
      <c r="K75" s="1413" t="n"/>
      <c r="L75" s="1486" t="n">
        <v>19.1091</v>
      </c>
      <c r="M75" s="1413" t="n"/>
      <c r="N75" s="1486" t="n">
        <v>19.1091</v>
      </c>
      <c r="O75" s="1413" t="n"/>
      <c r="P75" s="1486" t="n">
        <v>19.1091</v>
      </c>
      <c r="Q75" s="1413" t="n"/>
      <c r="R75" s="1486" t="n">
        <v>19.1091</v>
      </c>
      <c r="S75" s="1413" t="n"/>
      <c r="T75" s="1486" t="n">
        <v>19.1091</v>
      </c>
      <c r="U75" s="1413" t="n"/>
      <c r="V75" s="1486" t="n">
        <v>19.1091</v>
      </c>
      <c r="W75" s="1413" t="n"/>
      <c r="X75" s="969" t="n"/>
    </row>
    <row r="76" ht="21.75" customHeight="1" s="794">
      <c r="A76" s="637" t="inlineStr">
        <is>
          <t>11.4</t>
        </is>
      </c>
      <c r="B76" s="658" t="inlineStr">
        <is>
          <t>Технологическая трудоемкость, всего</t>
        </is>
      </c>
      <c r="C76" s="843" t="inlineStr">
        <is>
          <t>человеко-месяц</t>
        </is>
      </c>
      <c r="D76" s="1489">
        <f>D40*1000/D52</f>
        <v/>
      </c>
      <c r="E76" s="1072" t="inlineStr">
        <is>
          <t>Х</t>
        </is>
      </c>
      <c r="F76" s="1489">
        <f>ROUND(F40*1000/F52,0)</f>
        <v/>
      </c>
      <c r="G76" s="1072" t="inlineStr">
        <is>
          <t>Х</t>
        </is>
      </c>
      <c r="H76" s="1489">
        <f>H80+H81</f>
        <v/>
      </c>
      <c r="I76" s="1072" t="inlineStr">
        <is>
          <t>Х</t>
        </is>
      </c>
      <c r="J76" s="1489">
        <f>J80+J81</f>
        <v/>
      </c>
      <c r="K76" s="1072" t="inlineStr">
        <is>
          <t>Х</t>
        </is>
      </c>
      <c r="L76" s="1490">
        <f>L40*1000/L52</f>
        <v/>
      </c>
      <c r="M76" s="1072" t="inlineStr">
        <is>
          <t>Х</t>
        </is>
      </c>
      <c r="N76" s="1491">
        <f>N80+N81</f>
        <v/>
      </c>
      <c r="O76" s="1062" t="inlineStr">
        <is>
          <t>Х</t>
        </is>
      </c>
      <c r="P76" s="1490">
        <f>P40*1000/P52</f>
        <v/>
      </c>
      <c r="Q76" s="1072" t="inlineStr">
        <is>
          <t>Х</t>
        </is>
      </c>
      <c r="R76" s="1491">
        <f>R80+R81</f>
        <v/>
      </c>
      <c r="S76" s="1062" t="inlineStr">
        <is>
          <t>Х</t>
        </is>
      </c>
      <c r="T76" s="1490">
        <f>T40*1000/T52</f>
        <v/>
      </c>
      <c r="U76" s="1072" t="inlineStr">
        <is>
          <t>Х</t>
        </is>
      </c>
      <c r="V76" s="1491">
        <f>V80+V81</f>
        <v/>
      </c>
      <c r="W76" s="1062" t="inlineStr">
        <is>
          <t>Х</t>
        </is>
      </c>
      <c r="X76" s="969" t="n"/>
    </row>
    <row r="77" ht="11.25" customHeight="1" s="794">
      <c r="A77" s="657" t="n"/>
      <c r="B77" s="658" t="inlineStr">
        <is>
          <t>в том числе:</t>
        </is>
      </c>
      <c r="C77" s="1418" t="n"/>
      <c r="D77" s="1489" t="n"/>
      <c r="E77" s="1072" t="n"/>
      <c r="F77" s="1489" t="n"/>
      <c r="G77" s="1072" t="n"/>
      <c r="H77" s="1489" t="n"/>
      <c r="I77" s="1072" t="n"/>
      <c r="J77" s="1489" t="n"/>
      <c r="K77" s="1072" t="n"/>
      <c r="L77" s="1491" t="n"/>
      <c r="M77" s="1072" t="n"/>
      <c r="N77" s="1491" t="n"/>
      <c r="O77" s="1062" t="n"/>
      <c r="P77" s="1491" t="n"/>
      <c r="Q77" s="1072" t="n"/>
      <c r="R77" s="1491" t="n"/>
      <c r="S77" s="1062" t="n"/>
      <c r="T77" s="1491" t="n"/>
      <c r="U77" s="1072" t="n"/>
      <c r="V77" s="1491" t="n"/>
      <c r="W77" s="1062" t="n"/>
      <c r="X77" s="969" t="n"/>
    </row>
    <row r="78">
      <c r="A78" s="708" t="inlineStr">
        <is>
          <t>11.1</t>
        </is>
      </c>
      <c r="B78" s="658" t="inlineStr">
        <is>
          <t>- рабочие-сдельщики;</t>
        </is>
      </c>
      <c r="C78" s="1418" t="n"/>
      <c r="D78" s="709" t="inlineStr">
        <is>
          <t>Х</t>
        </is>
      </c>
      <c r="E78" s="1072" t="inlineStr">
        <is>
          <t>Х</t>
        </is>
      </c>
      <c r="F78" s="709" t="inlineStr">
        <is>
          <t>Х</t>
        </is>
      </c>
      <c r="G78" s="1072" t="inlineStr">
        <is>
          <t>Х</t>
        </is>
      </c>
      <c r="H78" s="709" t="inlineStr">
        <is>
          <t>Х</t>
        </is>
      </c>
      <c r="I78" s="1072" t="inlineStr">
        <is>
          <t>Х</t>
        </is>
      </c>
      <c r="J78" s="709" t="inlineStr">
        <is>
          <t>Х</t>
        </is>
      </c>
      <c r="K78" s="1072" t="inlineStr">
        <is>
          <t>Х</t>
        </is>
      </c>
      <c r="L78" s="709" t="inlineStr">
        <is>
          <t>Х</t>
        </is>
      </c>
      <c r="M78" s="1072" t="inlineStr">
        <is>
          <t>Х</t>
        </is>
      </c>
      <c r="N78" s="709" t="inlineStr">
        <is>
          <t>Х</t>
        </is>
      </c>
      <c r="O78" s="1062" t="inlineStr">
        <is>
          <t>Х</t>
        </is>
      </c>
      <c r="P78" s="709" t="inlineStr">
        <is>
          <t>Х</t>
        </is>
      </c>
      <c r="Q78" s="1072" t="inlineStr">
        <is>
          <t>Х</t>
        </is>
      </c>
      <c r="R78" s="709" t="inlineStr">
        <is>
          <t>Х</t>
        </is>
      </c>
      <c r="S78" s="1062" t="inlineStr">
        <is>
          <t>Х</t>
        </is>
      </c>
      <c r="T78" s="709" t="inlineStr">
        <is>
          <t>Х</t>
        </is>
      </c>
      <c r="U78" s="1072" t="inlineStr">
        <is>
          <t>Х</t>
        </is>
      </c>
      <c r="V78" s="709" t="inlineStr">
        <is>
          <t>Х</t>
        </is>
      </c>
      <c r="W78" s="1062" t="inlineStr">
        <is>
          <t>Х</t>
        </is>
      </c>
      <c r="X78" s="969" t="n"/>
    </row>
    <row r="79">
      <c r="A79" s="708" t="inlineStr">
        <is>
          <t>11.2</t>
        </is>
      </c>
      <c r="B79" s="658" t="inlineStr">
        <is>
          <t>- рабочие-повременщики;</t>
        </is>
      </c>
      <c r="C79" s="1418" t="n"/>
      <c r="D79" s="709" t="inlineStr">
        <is>
          <t>Х</t>
        </is>
      </c>
      <c r="E79" s="1072" t="inlineStr">
        <is>
          <t>Х</t>
        </is>
      </c>
      <c r="F79" s="709" t="inlineStr">
        <is>
          <t>Х</t>
        </is>
      </c>
      <c r="G79" s="1072" t="inlineStr">
        <is>
          <t>Х</t>
        </is>
      </c>
      <c r="H79" s="709" t="inlineStr">
        <is>
          <t>Х</t>
        </is>
      </c>
      <c r="I79" s="1072" t="inlineStr">
        <is>
          <t>Х</t>
        </is>
      </c>
      <c r="J79" s="709" t="inlineStr">
        <is>
          <t>Х</t>
        </is>
      </c>
      <c r="K79" s="1072" t="inlineStr">
        <is>
          <t>Х</t>
        </is>
      </c>
      <c r="L79" s="709" t="inlineStr">
        <is>
          <t>Х</t>
        </is>
      </c>
      <c r="M79" s="1072" t="inlineStr">
        <is>
          <t>Х</t>
        </is>
      </c>
      <c r="N79" s="709" t="inlineStr">
        <is>
          <t>Х</t>
        </is>
      </c>
      <c r="O79" s="1062" t="inlineStr">
        <is>
          <t>Х</t>
        </is>
      </c>
      <c r="P79" s="709" t="inlineStr">
        <is>
          <t>Х</t>
        </is>
      </c>
      <c r="Q79" s="1072" t="inlineStr">
        <is>
          <t>Х</t>
        </is>
      </c>
      <c r="R79" s="709" t="inlineStr">
        <is>
          <t>Х</t>
        </is>
      </c>
      <c r="S79" s="1062" t="inlineStr">
        <is>
          <t>Х</t>
        </is>
      </c>
      <c r="T79" s="709" t="inlineStr">
        <is>
          <t>Х</t>
        </is>
      </c>
      <c r="U79" s="1072" t="inlineStr">
        <is>
          <t>Х</t>
        </is>
      </c>
      <c r="V79" s="709" t="inlineStr">
        <is>
          <t>Х</t>
        </is>
      </c>
      <c r="W79" s="1062" t="inlineStr">
        <is>
          <t>Х</t>
        </is>
      </c>
      <c r="X79" s="969" t="n"/>
    </row>
    <row r="80" ht="25.5" customHeight="1" s="794">
      <c r="A80" s="708" t="inlineStr">
        <is>
          <t>11.3</t>
        </is>
      </c>
      <c r="B80" s="658" t="inlineStr">
        <is>
          <t>- научные, инженерные и технические работники</t>
        </is>
      </c>
      <c r="C80" s="1418" t="n"/>
      <c r="D80" s="1489">
        <f>D44*1000/D56</f>
        <v/>
      </c>
      <c r="E80" s="1072" t="inlineStr">
        <is>
          <t>Х</t>
        </is>
      </c>
      <c r="F80" s="1492">
        <f>F44*1000/F56</f>
        <v/>
      </c>
      <c r="G80" s="1072" t="inlineStr">
        <is>
          <t>Х</t>
        </is>
      </c>
      <c r="H80" s="1489" t="n">
        <v>789.313</v>
      </c>
      <c r="I80" s="1072" t="inlineStr">
        <is>
          <t>Х</t>
        </is>
      </c>
      <c r="J80" s="1489" t="n">
        <v>458.947</v>
      </c>
      <c r="K80" s="1072" t="inlineStr">
        <is>
          <t>Х</t>
        </is>
      </c>
      <c r="L80" s="1491">
        <f>L44*1000/L56</f>
        <v/>
      </c>
      <c r="M80" s="1072" t="inlineStr">
        <is>
          <t>Х</t>
        </is>
      </c>
      <c r="N80" s="1491" t="n">
        <v>649.424</v>
      </c>
      <c r="O80" s="1062" t="inlineStr">
        <is>
          <t>Х</t>
        </is>
      </c>
      <c r="P80" s="1491">
        <f>P44*1000/P56</f>
        <v/>
      </c>
      <c r="Q80" s="1072" t="inlineStr">
        <is>
          <t>Х</t>
        </is>
      </c>
      <c r="R80" s="1491" t="n">
        <v>428.086</v>
      </c>
      <c r="S80" s="1062" t="inlineStr">
        <is>
          <t>Х</t>
        </is>
      </c>
      <c r="T80" s="1491">
        <f>T44*1000/T56</f>
        <v/>
      </c>
      <c r="U80" s="1072" t="inlineStr">
        <is>
          <t>Х</t>
        </is>
      </c>
      <c r="V80" s="1491" t="n">
        <v>431.3</v>
      </c>
      <c r="W80" s="1062" t="inlineStr">
        <is>
          <t>Х</t>
        </is>
      </c>
      <c r="X80" s="969" t="n"/>
    </row>
    <row r="81">
      <c r="A81" s="1060" t="inlineStr">
        <is>
          <t>11.4</t>
        </is>
      </c>
      <c r="B81" s="667" t="inlineStr">
        <is>
          <t>- профессорско-преподавательский состав</t>
        </is>
      </c>
      <c r="C81" s="1418" t="n"/>
      <c r="D81" s="1489">
        <f>D45*1000/D57</f>
        <v/>
      </c>
      <c r="E81" s="1072" t="inlineStr">
        <is>
          <t>Х</t>
        </is>
      </c>
      <c r="F81" s="1492">
        <f>F45*1000/F57</f>
        <v/>
      </c>
      <c r="G81" s="1072" t="inlineStr">
        <is>
          <t>Х</t>
        </is>
      </c>
      <c r="H81" s="1489" t="n">
        <v>20.7</v>
      </c>
      <c r="I81" s="1072" t="inlineStr">
        <is>
          <t>Х</t>
        </is>
      </c>
      <c r="J81" s="1493" t="n">
        <v>26.435</v>
      </c>
      <c r="K81" s="1072" t="inlineStr">
        <is>
          <t>Х</t>
        </is>
      </c>
      <c r="L81" s="1491">
        <f>L45*1000/L57</f>
        <v/>
      </c>
      <c r="M81" s="1072" t="inlineStr">
        <is>
          <t>Х</t>
        </is>
      </c>
      <c r="N81" s="1493" t="n">
        <v>11.51</v>
      </c>
      <c r="O81" s="1062" t="inlineStr">
        <is>
          <t>Х</t>
        </is>
      </c>
      <c r="P81" s="1491">
        <f>P45*1000/P57</f>
        <v/>
      </c>
      <c r="Q81" s="1072" t="inlineStr">
        <is>
          <t>Х</t>
        </is>
      </c>
      <c r="R81" s="1479" t="n">
        <v>0</v>
      </c>
      <c r="S81" s="1062" t="inlineStr">
        <is>
          <t>Х</t>
        </is>
      </c>
      <c r="T81" s="1491">
        <f>T45*1000/T57</f>
        <v/>
      </c>
      <c r="U81" s="1072" t="inlineStr">
        <is>
          <t>Х</t>
        </is>
      </c>
      <c r="V81" s="1479" t="n">
        <v>0</v>
      </c>
      <c r="W81" s="1062" t="inlineStr">
        <is>
          <t>Х</t>
        </is>
      </c>
      <c r="X81" s="969" t="n"/>
    </row>
    <row r="82" ht="15.75" customHeight="1" s="794">
      <c r="A82" s="712" t="inlineStr">
        <is>
          <t>12.4</t>
        </is>
      </c>
      <c r="B82" s="658" t="inlineStr">
        <is>
          <t>Общепроизводственные затраты</t>
        </is>
      </c>
      <c r="C82" s="1072" t="inlineStr">
        <is>
          <t>тыс. руб.</t>
        </is>
      </c>
      <c r="D82" s="713" t="inlineStr">
        <is>
          <t>Х</t>
        </is>
      </c>
      <c r="E82" s="1072" t="inlineStr">
        <is>
          <t>Х</t>
        </is>
      </c>
      <c r="F82" s="713" t="inlineStr">
        <is>
          <t>Х</t>
        </is>
      </c>
      <c r="G82" s="1072" t="inlineStr">
        <is>
          <t>Х</t>
        </is>
      </c>
      <c r="H82" s="713" t="inlineStr">
        <is>
          <t>Х</t>
        </is>
      </c>
      <c r="I82" s="1072" t="inlineStr">
        <is>
          <t>Х</t>
        </is>
      </c>
      <c r="J82" s="713" t="inlineStr">
        <is>
          <t>Х</t>
        </is>
      </c>
      <c r="K82" s="1072" t="inlineStr">
        <is>
          <t>Х</t>
        </is>
      </c>
      <c r="L82" s="713" t="inlineStr">
        <is>
          <t>Х</t>
        </is>
      </c>
      <c r="M82" s="1072" t="inlineStr">
        <is>
          <t>Х</t>
        </is>
      </c>
      <c r="N82" s="713" t="inlineStr">
        <is>
          <t>Х</t>
        </is>
      </c>
      <c r="O82" s="1062" t="inlineStr">
        <is>
          <t>Х</t>
        </is>
      </c>
      <c r="P82" s="713" t="inlineStr">
        <is>
          <t>Х</t>
        </is>
      </c>
      <c r="Q82" s="1072" t="inlineStr">
        <is>
          <t>Х</t>
        </is>
      </c>
      <c r="R82" s="713" t="inlineStr">
        <is>
          <t>Х</t>
        </is>
      </c>
      <c r="S82" s="1062" t="inlineStr">
        <is>
          <t>Х</t>
        </is>
      </c>
      <c r="T82" s="713" t="inlineStr">
        <is>
          <t>Х</t>
        </is>
      </c>
      <c r="U82" s="1072" t="inlineStr">
        <is>
          <t>Х</t>
        </is>
      </c>
      <c r="V82" s="713" t="inlineStr">
        <is>
          <t>Х</t>
        </is>
      </c>
      <c r="W82" s="1062" t="inlineStr">
        <is>
          <t>Х</t>
        </is>
      </c>
      <c r="X82" s="969" t="n"/>
    </row>
    <row r="83" ht="29.25" customHeight="1" s="794">
      <c r="A83" s="1060" t="inlineStr">
        <is>
          <t>12.1</t>
        </is>
      </c>
      <c r="B83" s="667" t="inlineStr">
        <is>
          <t>База распределения общепроизводственных затрат (_________________________)</t>
        </is>
      </c>
      <c r="C83" s="1062" t="inlineStr">
        <is>
          <t>тыс. руб.</t>
        </is>
      </c>
      <c r="D83" s="681" t="inlineStr">
        <is>
          <t>Х</t>
        </is>
      </c>
      <c r="E83" s="1062" t="inlineStr">
        <is>
          <t>Х</t>
        </is>
      </c>
      <c r="F83" s="681" t="inlineStr">
        <is>
          <t>Х</t>
        </is>
      </c>
      <c r="G83" s="1062" t="inlineStr">
        <is>
          <t>Х</t>
        </is>
      </c>
      <c r="H83" s="681" t="inlineStr">
        <is>
          <t>Х</t>
        </is>
      </c>
      <c r="I83" s="1062" t="inlineStr">
        <is>
          <t>Х</t>
        </is>
      </c>
      <c r="J83" s="681" t="inlineStr">
        <is>
          <t>Х</t>
        </is>
      </c>
      <c r="K83" s="1062" t="inlineStr">
        <is>
          <t>Х</t>
        </is>
      </c>
      <c r="L83" s="681" t="inlineStr">
        <is>
          <t>Х</t>
        </is>
      </c>
      <c r="M83" s="1062" t="inlineStr">
        <is>
          <t>Х</t>
        </is>
      </c>
      <c r="N83" s="681" t="inlineStr">
        <is>
          <t>Х</t>
        </is>
      </c>
      <c r="O83" s="1062" t="inlineStr">
        <is>
          <t>Х</t>
        </is>
      </c>
      <c r="P83" s="681" t="inlineStr">
        <is>
          <t>Х</t>
        </is>
      </c>
      <c r="Q83" s="1062" t="inlineStr">
        <is>
          <t>Х</t>
        </is>
      </c>
      <c r="R83" s="681" t="inlineStr">
        <is>
          <t>Х</t>
        </is>
      </c>
      <c r="S83" s="1062" t="inlineStr">
        <is>
          <t>Х</t>
        </is>
      </c>
      <c r="T83" s="681" t="inlineStr">
        <is>
          <t>Х</t>
        </is>
      </c>
      <c r="U83" s="1062" t="inlineStr">
        <is>
          <t>Х</t>
        </is>
      </c>
      <c r="V83" s="681" t="inlineStr">
        <is>
          <t>Х</t>
        </is>
      </c>
      <c r="W83" s="1062" t="inlineStr">
        <is>
          <t>Х</t>
        </is>
      </c>
      <c r="X83" s="969" t="n"/>
    </row>
    <row r="84" ht="16.5" customHeight="1" s="794">
      <c r="A84" s="1060" t="inlineStr">
        <is>
          <t>12.2</t>
        </is>
      </c>
      <c r="B84" s="667" t="inlineStr">
        <is>
          <t>Норматив общепроизводственных затрат</t>
        </is>
      </c>
      <c r="C84" s="1089" t="inlineStr">
        <is>
          <t>%</t>
        </is>
      </c>
      <c r="D84" s="714" t="inlineStr">
        <is>
          <t>Х</t>
        </is>
      </c>
      <c r="E84" s="1089" t="inlineStr">
        <is>
          <t>Х</t>
        </is>
      </c>
      <c r="F84" s="714" t="inlineStr">
        <is>
          <t>Х</t>
        </is>
      </c>
      <c r="G84" s="1089" t="inlineStr">
        <is>
          <t>Х</t>
        </is>
      </c>
      <c r="H84" s="714" t="inlineStr">
        <is>
          <t>Х</t>
        </is>
      </c>
      <c r="I84" s="1089" t="inlineStr">
        <is>
          <t>Х</t>
        </is>
      </c>
      <c r="J84" s="714" t="inlineStr">
        <is>
          <t>Х</t>
        </is>
      </c>
      <c r="K84" s="1089" t="inlineStr">
        <is>
          <t>Х</t>
        </is>
      </c>
      <c r="L84" s="714" t="inlineStr">
        <is>
          <t>Х</t>
        </is>
      </c>
      <c r="M84" s="1089" t="inlineStr">
        <is>
          <t>Х</t>
        </is>
      </c>
      <c r="N84" s="714" t="inlineStr">
        <is>
          <t>Х</t>
        </is>
      </c>
      <c r="O84" s="1084" t="inlineStr">
        <is>
          <t>Х</t>
        </is>
      </c>
      <c r="P84" s="714" t="inlineStr">
        <is>
          <t>Х</t>
        </is>
      </c>
      <c r="Q84" s="1089" t="inlineStr">
        <is>
          <t>Х</t>
        </is>
      </c>
      <c r="R84" s="714" t="inlineStr">
        <is>
          <t>Х</t>
        </is>
      </c>
      <c r="S84" s="1084" t="inlineStr">
        <is>
          <t>Х</t>
        </is>
      </c>
      <c r="T84" s="714" t="inlineStr">
        <is>
          <t>Х</t>
        </is>
      </c>
      <c r="U84" s="1089" t="inlineStr">
        <is>
          <t>Х</t>
        </is>
      </c>
      <c r="V84" s="714" t="inlineStr">
        <is>
          <t>Х</t>
        </is>
      </c>
      <c r="W84" s="1084" t="inlineStr">
        <is>
          <t>Х</t>
        </is>
      </c>
      <c r="X84" s="969" t="n"/>
    </row>
    <row r="85" ht="33" customHeight="1" s="794">
      <c r="A85" s="715" t="inlineStr">
        <is>
          <t>13.4</t>
        </is>
      </c>
      <c r="B85" s="658" t="inlineStr">
        <is>
          <t>Общехозяйственные затраты / административно-управленческие расходы</t>
        </is>
      </c>
      <c r="C85" s="1072" t="inlineStr">
        <is>
          <t>тыс. руб.</t>
        </is>
      </c>
      <c r="D85" s="713" t="n">
        <v>0</v>
      </c>
      <c r="E85" s="1072" t="inlineStr">
        <is>
          <t>Х</t>
        </is>
      </c>
      <c r="F85" s="713" t="n">
        <v>0</v>
      </c>
      <c r="G85" s="1072" t="inlineStr">
        <is>
          <t>Х</t>
        </is>
      </c>
      <c r="H85" s="713" t="n">
        <v>0</v>
      </c>
      <c r="I85" s="1072" t="inlineStr">
        <is>
          <t>Х</t>
        </is>
      </c>
      <c r="J85" s="713" t="n">
        <v>0</v>
      </c>
      <c r="K85" s="1072" t="inlineStr">
        <is>
          <t>Х</t>
        </is>
      </c>
      <c r="L85" s="713" t="n">
        <v>0</v>
      </c>
      <c r="M85" s="1072" t="inlineStr">
        <is>
          <t>Х</t>
        </is>
      </c>
      <c r="N85" s="713" t="n">
        <v>0</v>
      </c>
      <c r="O85" s="1062" t="inlineStr">
        <is>
          <t>Х</t>
        </is>
      </c>
      <c r="P85" s="713" t="n">
        <v>0</v>
      </c>
      <c r="Q85" s="1072" t="inlineStr">
        <is>
          <t>Х</t>
        </is>
      </c>
      <c r="R85" s="713" t="n">
        <v>0</v>
      </c>
      <c r="S85" s="1062" t="inlineStr">
        <is>
          <t>Х</t>
        </is>
      </c>
      <c r="T85" s="713" t="n">
        <v>0</v>
      </c>
      <c r="U85" s="1072" t="inlineStr">
        <is>
          <t>Х</t>
        </is>
      </c>
      <c r="V85" s="713" t="n">
        <v>0</v>
      </c>
      <c r="W85" s="1062" t="inlineStr">
        <is>
          <t>Х</t>
        </is>
      </c>
      <c r="X85" s="969" t="n"/>
    </row>
    <row r="86" ht="51" customHeight="1" s="794">
      <c r="A86" s="1060" t="inlineStr">
        <is>
          <t>13.1</t>
        </is>
      </c>
      <c r="B86" s="667" t="inlineStr">
        <is>
          <t>База распределения общехозяйственных затрат / административно-управленческих расходов  (основная заработная плата работников)</t>
        </is>
      </c>
      <c r="C86" s="1063" t="inlineStr">
        <is>
          <t>тыс. руб.</t>
        </is>
      </c>
      <c r="D86" s="680">
        <f>D40</f>
        <v/>
      </c>
      <c r="E86" s="1063" t="inlineStr">
        <is>
          <t>Х</t>
        </is>
      </c>
      <c r="F86" s="680">
        <f>F40</f>
        <v/>
      </c>
      <c r="G86" s="1063" t="inlineStr">
        <is>
          <t>Х</t>
        </is>
      </c>
      <c r="H86" s="680">
        <f>H40</f>
        <v/>
      </c>
      <c r="I86" s="1063" t="inlineStr">
        <is>
          <t>Х</t>
        </is>
      </c>
      <c r="J86" s="680">
        <f>J40</f>
        <v/>
      </c>
      <c r="K86" s="1063" t="inlineStr">
        <is>
          <t>Х</t>
        </is>
      </c>
      <c r="L86" s="681">
        <f>L40</f>
        <v/>
      </c>
      <c r="M86" s="1063" t="inlineStr">
        <is>
          <t>Х</t>
        </is>
      </c>
      <c r="N86" s="681">
        <f>N40</f>
        <v/>
      </c>
      <c r="O86" s="1083" t="inlineStr">
        <is>
          <t>Х</t>
        </is>
      </c>
      <c r="P86" s="681">
        <f>P40</f>
        <v/>
      </c>
      <c r="Q86" s="1063" t="inlineStr">
        <is>
          <t>Х</t>
        </is>
      </c>
      <c r="R86" s="681">
        <f>R40</f>
        <v/>
      </c>
      <c r="S86" s="1083" t="inlineStr">
        <is>
          <t>Х</t>
        </is>
      </c>
      <c r="T86" s="681">
        <f>T40</f>
        <v/>
      </c>
      <c r="U86" s="1063" t="inlineStr">
        <is>
          <t>Х</t>
        </is>
      </c>
      <c r="V86" s="681">
        <f>V40</f>
        <v/>
      </c>
      <c r="W86" s="1083" t="inlineStr">
        <is>
          <t>Х</t>
        </is>
      </c>
      <c r="X86" s="969" t="n"/>
    </row>
    <row r="87" ht="42.75" customHeight="1" s="794">
      <c r="A87" s="715" t="inlineStr">
        <is>
          <t>13.2</t>
        </is>
      </c>
      <c r="B87" s="658" t="inlineStr">
        <is>
          <t>Норматив общехозяйственных затрат / 
административно-управленческих расходов</t>
        </is>
      </c>
      <c r="C87" s="1072" t="inlineStr">
        <is>
          <t>%</t>
        </is>
      </c>
      <c r="D87" s="716">
        <f>D85/D86*100</f>
        <v/>
      </c>
      <c r="E87" s="1072" t="inlineStr">
        <is>
          <t>Х</t>
        </is>
      </c>
      <c r="F87" s="716">
        <f>F85/F86*100</f>
        <v/>
      </c>
      <c r="G87" s="1072" t="inlineStr">
        <is>
          <t>Х</t>
        </is>
      </c>
      <c r="H87" s="716">
        <f>H85/H86*100</f>
        <v/>
      </c>
      <c r="I87" s="1072" t="inlineStr">
        <is>
          <t>Х</t>
        </is>
      </c>
      <c r="J87" s="716">
        <f>J85/J86*100</f>
        <v/>
      </c>
      <c r="K87" s="1072" t="inlineStr">
        <is>
          <t>Х</t>
        </is>
      </c>
      <c r="L87" s="717">
        <f>L85/L86*100</f>
        <v/>
      </c>
      <c r="M87" s="1072" t="inlineStr">
        <is>
          <t>Х</t>
        </is>
      </c>
      <c r="N87" s="717">
        <f>N85/N86*100</f>
        <v/>
      </c>
      <c r="O87" s="1062" t="inlineStr">
        <is>
          <t>Х</t>
        </is>
      </c>
      <c r="P87" s="717">
        <f>P85/P86*100</f>
        <v/>
      </c>
      <c r="Q87" s="1072" t="inlineStr">
        <is>
          <t>Х</t>
        </is>
      </c>
      <c r="R87" s="717">
        <f>R85/R86*100</f>
        <v/>
      </c>
      <c r="S87" s="1062" t="inlineStr">
        <is>
          <t>Х</t>
        </is>
      </c>
      <c r="T87" s="717">
        <f>T85/T86*100</f>
        <v/>
      </c>
      <c r="U87" s="1072" t="inlineStr">
        <is>
          <t>Х</t>
        </is>
      </c>
      <c r="V87" s="717">
        <f>V85/V86*100</f>
        <v/>
      </c>
      <c r="W87" s="1062" t="inlineStr">
        <is>
          <t>Х</t>
        </is>
      </c>
      <c r="X87" s="969" t="n"/>
    </row>
    <row r="88" ht="27" customHeight="1" s="794">
      <c r="A88" s="1060" t="inlineStr">
        <is>
          <t>14.</t>
        </is>
      </c>
      <c r="B88" s="667" t="inlineStr">
        <is>
          <t>Норматив транспортно-заготовительных затрат</t>
        </is>
      </c>
      <c r="C88" s="1063" t="inlineStr">
        <is>
          <t>%</t>
        </is>
      </c>
      <c r="D88" s="714" t="inlineStr">
        <is>
          <t>Х</t>
        </is>
      </c>
      <c r="E88" s="1089" t="inlineStr">
        <is>
          <t>Х</t>
        </is>
      </c>
      <c r="F88" s="714" t="inlineStr">
        <is>
          <t>Х</t>
        </is>
      </c>
      <c r="G88" s="1089" t="inlineStr">
        <is>
          <t>Х</t>
        </is>
      </c>
      <c r="H88" s="714" t="inlineStr">
        <is>
          <t>Х</t>
        </is>
      </c>
      <c r="I88" s="1089" t="inlineStr">
        <is>
          <t>Х</t>
        </is>
      </c>
      <c r="J88" s="714" t="inlineStr">
        <is>
          <t>Х</t>
        </is>
      </c>
      <c r="K88" s="1089" t="inlineStr">
        <is>
          <t>Х</t>
        </is>
      </c>
      <c r="L88" s="714" t="inlineStr">
        <is>
          <t>Х</t>
        </is>
      </c>
      <c r="M88" s="1089" t="inlineStr">
        <is>
          <t>Х</t>
        </is>
      </c>
      <c r="N88" s="714" t="inlineStr">
        <is>
          <t>Х</t>
        </is>
      </c>
      <c r="O88" s="1084" t="inlineStr">
        <is>
          <t>Х</t>
        </is>
      </c>
      <c r="P88" s="714" t="inlineStr">
        <is>
          <t>Х</t>
        </is>
      </c>
      <c r="Q88" s="1089" t="inlineStr">
        <is>
          <t>Х</t>
        </is>
      </c>
      <c r="R88" s="714" t="inlineStr">
        <is>
          <t>Х</t>
        </is>
      </c>
      <c r="S88" s="1084" t="inlineStr">
        <is>
          <t>Х</t>
        </is>
      </c>
      <c r="T88" s="714" t="inlineStr">
        <is>
          <t>Х</t>
        </is>
      </c>
      <c r="U88" s="1089" t="inlineStr">
        <is>
          <t>Х</t>
        </is>
      </c>
      <c r="V88" s="714" t="inlineStr">
        <is>
          <t>Х</t>
        </is>
      </c>
      <c r="W88" s="1084" t="inlineStr">
        <is>
          <t>Х</t>
        </is>
      </c>
      <c r="X88" s="969" t="n"/>
    </row>
    <row r="89" ht="24" customHeight="1" s="794">
      <c r="A89" s="715" t="inlineStr">
        <is>
          <t>15.</t>
        </is>
      </c>
      <c r="B89" s="658" t="inlineStr">
        <is>
          <t>Норматив коммерческих (внепроизводственных) затрат</t>
        </is>
      </c>
      <c r="C89" s="1072" t="inlineStr">
        <is>
          <t>%</t>
        </is>
      </c>
      <c r="D89" s="718" t="inlineStr">
        <is>
          <t>Х</t>
        </is>
      </c>
      <c r="E89" s="1072" t="inlineStr">
        <is>
          <t>Х</t>
        </is>
      </c>
      <c r="F89" s="718" t="inlineStr">
        <is>
          <t>Х</t>
        </is>
      </c>
      <c r="G89" s="1072" t="inlineStr">
        <is>
          <t>Х</t>
        </is>
      </c>
      <c r="H89" s="718" t="inlineStr">
        <is>
          <t>Х</t>
        </is>
      </c>
      <c r="I89" s="1072" t="inlineStr">
        <is>
          <t>Х</t>
        </is>
      </c>
      <c r="J89" s="718" t="inlineStr">
        <is>
          <t>Х</t>
        </is>
      </c>
      <c r="K89" s="1072" t="inlineStr">
        <is>
          <t>Х</t>
        </is>
      </c>
      <c r="L89" s="718" t="inlineStr">
        <is>
          <t>Х</t>
        </is>
      </c>
      <c r="M89" s="1072" t="inlineStr">
        <is>
          <t>Х</t>
        </is>
      </c>
      <c r="N89" s="718" t="inlineStr">
        <is>
          <t>Х</t>
        </is>
      </c>
      <c r="O89" s="1062" t="inlineStr">
        <is>
          <t>Х</t>
        </is>
      </c>
      <c r="P89" s="718" t="inlineStr">
        <is>
          <t>Х</t>
        </is>
      </c>
      <c r="Q89" s="1072" t="inlineStr">
        <is>
          <t>Х</t>
        </is>
      </c>
      <c r="R89" s="718" t="inlineStr">
        <is>
          <t>Х</t>
        </is>
      </c>
      <c r="S89" s="1062" t="inlineStr">
        <is>
          <t>Х</t>
        </is>
      </c>
      <c r="T89" s="718" t="inlineStr">
        <is>
          <t>Х</t>
        </is>
      </c>
      <c r="U89" s="1072" t="inlineStr">
        <is>
          <t>Х</t>
        </is>
      </c>
      <c r="V89" s="718" t="inlineStr">
        <is>
          <t>Х</t>
        </is>
      </c>
      <c r="W89" s="1062" t="inlineStr">
        <is>
          <t>Х</t>
        </is>
      </c>
      <c r="X89" s="969" t="n"/>
    </row>
    <row r="90" ht="20.25" customHeight="1" s="794">
      <c r="L90" s="719" t="n"/>
      <c r="P90" s="719" t="n"/>
      <c r="T90" s="719" t="n"/>
    </row>
    <row r="91" ht="26.25" customFormat="1" customHeight="1" s="95">
      <c r="B91" s="1098" t="inlineStr">
        <is>
          <t xml:space="preserve">Начальник ОФЭАУ НИОКР  </t>
        </is>
      </c>
      <c r="E91" s="194" t="n"/>
      <c r="F91" s="194" t="n"/>
      <c r="G91" s="194" t="n"/>
      <c r="H91" s="194" t="n"/>
      <c r="J91" s="194" t="n"/>
      <c r="K91" s="194" t="n"/>
      <c r="M91" s="194" t="n"/>
      <c r="N91" s="194" t="n"/>
      <c r="O91" s="720" t="n"/>
      <c r="P91" s="594" t="inlineStr">
        <is>
          <t>Главный бухгалтер ФГАОУ ВО «СПбПУ»</t>
        </is>
      </c>
      <c r="Q91" s="720" t="n"/>
      <c r="T91" s="720" t="n"/>
      <c r="U91" s="720" t="n"/>
      <c r="V91" s="720" t="n"/>
      <c r="W91" s="720" t="n"/>
      <c r="X91" s="720" t="n"/>
    </row>
    <row r="92" ht="47.25" customFormat="1" customHeight="1" s="95">
      <c r="B92" s="795" t="inlineStr">
        <is>
          <t>__________________________ Н.О. Васецкая</t>
        </is>
      </c>
      <c r="C92" s="94" t="n"/>
      <c r="E92" s="532" t="n"/>
      <c r="F92" s="532" t="n"/>
      <c r="G92" s="837" t="n"/>
      <c r="H92" s="837" t="n"/>
      <c r="J92" s="304" t="n"/>
      <c r="K92" s="94" t="n"/>
      <c r="M92" s="532" t="n"/>
      <c r="N92" s="532" t="n"/>
      <c r="O92" s="532" t="n"/>
      <c r="P92" s="795" t="inlineStr">
        <is>
          <t>__________________________ Н.В. Иванова</t>
        </is>
      </c>
      <c r="Q92" s="532" t="n"/>
      <c r="T92" s="532" t="n"/>
      <c r="U92" s="532" t="n"/>
      <c r="V92" s="532" t="n"/>
      <c r="W92" s="532" t="n"/>
      <c r="X92" s="532" t="n"/>
    </row>
    <row r="93" ht="14.25" customHeight="1" s="794">
      <c r="B93" s="24" t="inlineStr">
        <is>
          <t xml:space="preserve">     (подпись)                                                               (Ф.И.О.)</t>
        </is>
      </c>
      <c r="E93" s="13" t="n"/>
      <c r="F93" s="13" t="n"/>
      <c r="G93" s="29" t="n"/>
      <c r="H93" s="480" t="n"/>
      <c r="J93" s="30" t="n"/>
      <c r="K93" s="24" t="n"/>
      <c r="M93" s="13" t="n"/>
      <c r="N93" s="13" t="n"/>
      <c r="O93" s="13" t="n"/>
      <c r="P93" s="24" t="inlineStr">
        <is>
          <t xml:space="preserve">     (подпись)                                                         (Ф.И.О.)</t>
        </is>
      </c>
      <c r="Q93" s="13" t="n"/>
      <c r="T93" s="13" t="n"/>
      <c r="U93" s="13" t="n"/>
      <c r="V93" s="13" t="n"/>
      <c r="W93" s="13" t="n"/>
      <c r="X93" s="13" t="n"/>
    </row>
    <row r="94" ht="21.75" customFormat="1" customHeight="1" s="95">
      <c r="B94" s="729" t="inlineStr">
        <is>
          <t>«____» __________________ 2026 г.</t>
        </is>
      </c>
      <c r="C94" s="94" t="n"/>
      <c r="E94" s="721" t="n"/>
      <c r="J94" s="722" t="n"/>
      <c r="K94" s="722" t="n"/>
      <c r="M94" s="722" t="n"/>
      <c r="N94" s="722" t="n"/>
      <c r="O94" s="720" t="n"/>
      <c r="P94" s="729" t="inlineStr">
        <is>
          <t>«____» __________________ 2026 г.</t>
        </is>
      </c>
      <c r="Q94" s="720" t="n"/>
      <c r="T94" s="720" t="n"/>
      <c r="U94" s="720" t="n"/>
      <c r="V94" s="720" t="n"/>
      <c r="W94" s="720" t="n"/>
      <c r="X94" s="720" t="n"/>
    </row>
    <row r="95" ht="15.75" customHeight="1" s="794"/>
    <row r="96" hidden="1" ht="65.25" customHeight="1" s="794">
      <c r="A96" s="1099" t="inlineStr">
        <is>
          <t xml:space="preserve">     1 Указанная форма заполняется в случае применения одного из следующих методов определения цены на продукцию: затратного метода, метода индексации базовой цены или метода индексации по статьям затрат, предусмотренных Положением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P96" s="1099" t="n"/>
      <c r="Q96" s="1099" t="n"/>
      <c r="R96" s="1099" t="n"/>
      <c r="S96" s="1099" t="n"/>
      <c r="T96" s="1099" t="n"/>
      <c r="U96" s="1099" t="n"/>
      <c r="V96" s="1099" t="n"/>
      <c r="W96" s="1099" t="n"/>
      <c r="X96" s="1099" t="n"/>
    </row>
    <row r="97" hidden="1" ht="77.25" customHeight="1" s="794">
      <c r="A97" s="1099" t="inlineStr">
        <is>
          <t xml:space="preserve">   2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12-15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4-11 на каждый год производства продукции, дополнив форму после графы 11 графами, аналогичными по содержанию графам 4-11 соответственно (с последующей корректировкой нумерации граф), для указания информации. </t>
        </is>
      </c>
      <c r="P97" s="1099" t="n"/>
      <c r="Q97" s="1099" t="n"/>
      <c r="R97" s="1099" t="n"/>
      <c r="S97" s="1099" t="n"/>
      <c r="T97" s="1099" t="n"/>
      <c r="U97" s="1099" t="n"/>
      <c r="V97" s="1099" t="n"/>
      <c r="W97" s="1099" t="n"/>
      <c r="X97" s="1099" t="n"/>
    </row>
    <row r="98" hidden="1" ht="49.5" customFormat="1" customHeight="1" s="23">
      <c r="A98" s="1099" t="inlineStr">
        <is>
          <t xml:space="preserve">   3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is>
      </c>
      <c r="P98" s="1099" t="n"/>
      <c r="Q98" s="1099" t="n"/>
      <c r="R98" s="1099" t="n"/>
      <c r="S98" s="1099" t="n"/>
      <c r="T98" s="1099" t="n"/>
      <c r="U98" s="1099" t="n"/>
      <c r="V98" s="1099" t="n"/>
      <c r="W98" s="1099" t="n"/>
      <c r="X98" s="1099" t="n"/>
    </row>
    <row r="99" hidden="1" ht="14.45" customFormat="1" customHeight="1" s="23">
      <c r="A99" s="1099" t="inlineStr">
        <is>
          <t xml:space="preserve">     4 Заполняется с учетом незавершенного производства в соответствии с учетной политикой организации.</t>
        </is>
      </c>
      <c r="P99" s="1100" t="n"/>
      <c r="Q99" s="1100" t="n"/>
      <c r="R99" s="1100" t="n"/>
      <c r="S99" s="1100" t="n"/>
      <c r="T99" s="1100" t="n"/>
      <c r="U99" s="1100" t="n"/>
      <c r="V99" s="1100" t="n"/>
      <c r="W99" s="1100" t="n"/>
      <c r="X99" s="1100" t="n"/>
    </row>
    <row r="100" hidden="1" ht="15.75" customFormat="1" customHeight="1" s="23">
      <c r="A100" s="1099" t="inlineStr">
        <is>
          <t xml:space="preserve">   5 Указывается используемая единица измерения трудоемкости: нормо-час / человеко-час / человеко-день / человеко-месяц.</t>
        </is>
      </c>
      <c r="P100" s="1099" t="n"/>
      <c r="Q100" s="1099" t="n"/>
      <c r="R100" s="1099" t="n"/>
      <c r="S100" s="1099" t="n"/>
      <c r="T100" s="1099" t="n"/>
      <c r="U100" s="1099" t="n"/>
      <c r="V100" s="1099" t="n"/>
      <c r="W100" s="1099" t="n"/>
      <c r="X100" s="1099" t="n"/>
    </row>
    <row r="101" hidden="1" ht="17.25" customFormat="1" customHeight="1" s="23">
      <c r="A101" s="1100" t="inlineStr">
        <is>
          <t xml:space="preserve">   6 Указывается используемая единица измерения: руб.-час / руб.-день / руб.-месяц.</t>
        </is>
      </c>
      <c r="P101" s="1100" t="n"/>
      <c r="Q101" s="1100" t="n"/>
      <c r="R101" s="1100" t="n"/>
      <c r="S101" s="1100" t="n"/>
      <c r="T101" s="1100" t="n"/>
      <c r="U101" s="1100" t="n"/>
      <c r="V101" s="1100" t="n"/>
      <c r="W101" s="1100" t="n"/>
      <c r="X101" s="1100" t="n"/>
    </row>
    <row r="102" hidden="1" s="794">
      <c r="A102" s="1099" t="inlineStr">
        <is>
          <t xml:space="preserve">     7 Указывается метод распределения затрат согласно Порядку.</t>
        </is>
      </c>
      <c r="P102" s="1099" t="n"/>
      <c r="Q102" s="1099" t="n"/>
      <c r="R102" s="1099" t="n"/>
      <c r="S102" s="1099" t="n"/>
      <c r="T102" s="1099" t="n"/>
      <c r="U102" s="1099" t="n"/>
      <c r="V102" s="1099" t="n"/>
      <c r="W102" s="1099" t="n"/>
      <c r="X102" s="1099" t="n"/>
    </row>
    <row r="103" hidden="1" ht="7.5" customHeight="1" s="794">
      <c r="A103" s="1094" t="n"/>
      <c r="B103" s="723" t="n"/>
      <c r="C103" s="1099" t="n"/>
      <c r="D103" s="1094" t="n"/>
      <c r="E103" s="1094" t="n"/>
      <c r="F103" s="1094" t="n"/>
      <c r="G103" s="1094" t="n"/>
      <c r="H103" s="1094" t="n"/>
      <c r="I103" s="1094" t="n"/>
      <c r="J103" s="1094" t="n"/>
      <c r="K103" s="1094" t="n"/>
      <c r="L103" s="1094" t="n"/>
      <c r="M103" s="1094" t="n"/>
      <c r="N103" s="1094" t="n"/>
      <c r="O103" s="1094" t="n"/>
      <c r="P103" s="1094" t="n"/>
      <c r="Q103" s="1094" t="n"/>
      <c r="R103" s="1094" t="n"/>
      <c r="S103" s="1094" t="n"/>
      <c r="T103" s="1094" t="n"/>
      <c r="U103" s="1094" t="n"/>
      <c r="V103" s="1094" t="n"/>
      <c r="W103" s="1094" t="n"/>
      <c r="X103" s="1094" t="n"/>
    </row>
    <row r="104" hidden="1" ht="13.5" customHeight="1" s="794">
      <c r="A104" s="1093" t="inlineStr">
        <is>
          <t>Используемые сокращения и их расшифровка:</t>
        </is>
      </c>
      <c r="P104" s="1093" t="n"/>
      <c r="Q104" s="1093" t="n"/>
      <c r="R104" s="1093" t="n"/>
      <c r="S104" s="1093" t="n"/>
      <c r="T104" s="1093" t="n"/>
      <c r="U104" s="1093" t="n"/>
      <c r="V104" s="1093" t="n"/>
      <c r="W104" s="1093" t="n"/>
      <c r="X104" s="1093" t="n"/>
    </row>
    <row r="105" hidden="1" ht="38.25" customHeight="1" s="794">
      <c r="A105" s="23" t="n"/>
      <c r="B105" s="1094" t="inlineStr">
        <is>
          <t>ГОЗ – государственный оборонный заказ;
НДС – налог на добавленную стоимость;
НИР (ОКР) – научно-исследовательская работа (опытно-конструкторская работа).</t>
        </is>
      </c>
      <c r="P105" s="1095" t="n"/>
      <c r="Q105" s="1095" t="n"/>
      <c r="R105" s="1095" t="n"/>
      <c r="S105" s="1095" t="n"/>
      <c r="T105" s="1095" t="n"/>
      <c r="U105" s="1095" t="n"/>
      <c r="V105" s="1095" t="n"/>
      <c r="W105" s="1095" t="n"/>
      <c r="X105" s="1095" t="n"/>
      <c r="Y105" s="480" t="n"/>
      <c r="Z105" s="480" t="n"/>
      <c r="AA105" s="480" t="n"/>
      <c r="AB105" s="480" t="n"/>
      <c r="AC105" s="480" t="n"/>
      <c r="AD105" s="480" t="n"/>
      <c r="AE105" s="480" t="n"/>
      <c r="AF105" s="480" t="n"/>
    </row>
    <row r="106">
      <c r="B106" s="724" t="n"/>
      <c r="D106" s="221" t="n"/>
      <c r="E106" s="221" t="n"/>
      <c r="F106" s="480" t="n"/>
      <c r="G106" s="480" t="n"/>
      <c r="H106" s="480" t="n"/>
      <c r="I106" s="480" t="n"/>
      <c r="J106" s="480" t="n"/>
      <c r="K106" s="480" t="n"/>
      <c r="L106" s="480" t="n"/>
      <c r="M106" s="480" t="n"/>
      <c r="N106" s="480" t="n"/>
      <c r="O106" s="480" t="n"/>
      <c r="P106" s="480" t="n"/>
      <c r="Q106" s="480" t="n"/>
      <c r="R106" s="480" t="n"/>
      <c r="S106" s="480" t="n"/>
      <c r="T106" s="480" t="n"/>
      <c r="U106" s="480" t="n"/>
      <c r="V106" s="480" t="n"/>
      <c r="W106" s="480" t="n"/>
      <c r="X106" s="480" t="n"/>
      <c r="Y106" s="480" t="n"/>
      <c r="Z106" s="480" t="n"/>
      <c r="AA106" s="480" t="n"/>
      <c r="AB106" s="480" t="n"/>
      <c r="AC106" s="480" t="n"/>
      <c r="AD106" s="480" t="n"/>
      <c r="AE106" s="480" t="n"/>
      <c r="AF106" s="480" t="n"/>
    </row>
    <row r="107">
      <c r="B107" s="724" t="n"/>
    </row>
    <row r="108" ht="12.75" customFormat="1" customHeight="1" s="93">
      <c r="B108" s="725" t="n"/>
      <c r="C108" s="3" t="n"/>
    </row>
    <row r="109" ht="3" customHeight="1" s="794"/>
    <row r="111" ht="23.25" customHeight="1" s="794">
      <c r="E111" s="720" t="n"/>
    </row>
    <row r="112" ht="23.25" customHeight="1" s="794">
      <c r="E112" s="532" t="n"/>
    </row>
    <row r="113">
      <c r="E113" s="13" t="n"/>
    </row>
    <row r="114" ht="23.25" customHeight="1" s="794">
      <c r="E114" s="720" t="n"/>
    </row>
  </sheetData>
  <mergeCells count="62">
    <mergeCell ref="A40:A45"/>
    <mergeCell ref="A52:A57"/>
    <mergeCell ref="A99:O99"/>
    <mergeCell ref="D8:G8"/>
    <mergeCell ref="T7:W7"/>
    <mergeCell ref="V8:W8"/>
    <mergeCell ref="A60:A65"/>
    <mergeCell ref="A32:A34"/>
    <mergeCell ref="C32:C34"/>
    <mergeCell ref="A101:O101"/>
    <mergeCell ref="C66:C68"/>
    <mergeCell ref="A35:A37"/>
    <mergeCell ref="B105:O105"/>
    <mergeCell ref="C7:C9"/>
    <mergeCell ref="C26:C31"/>
    <mergeCell ref="A104:O104"/>
    <mergeCell ref="C69:C71"/>
    <mergeCell ref="H8:K8"/>
    <mergeCell ref="I72:I75"/>
    <mergeCell ref="P8:Q8"/>
    <mergeCell ref="K72:K75"/>
    <mergeCell ref="Q72:Q75"/>
    <mergeCell ref="B7:B9"/>
    <mergeCell ref="U72:U75"/>
    <mergeCell ref="A97:O97"/>
    <mergeCell ref="W72:W75"/>
    <mergeCell ref="A49:A51"/>
    <mergeCell ref="L8:M8"/>
    <mergeCell ref="A100:O100"/>
    <mergeCell ref="C49:C51"/>
    <mergeCell ref="L7:O7"/>
    <mergeCell ref="N1:O1"/>
    <mergeCell ref="N8:O8"/>
    <mergeCell ref="A96:O96"/>
    <mergeCell ref="D7:K7"/>
    <mergeCell ref="A26:A31"/>
    <mergeCell ref="A102:O102"/>
    <mergeCell ref="A69:A71"/>
    <mergeCell ref="A72:A75"/>
    <mergeCell ref="C40:C45"/>
    <mergeCell ref="T8:U8"/>
    <mergeCell ref="C72:C75"/>
    <mergeCell ref="B91:D91"/>
    <mergeCell ref="C76:C81"/>
    <mergeCell ref="C52:C57"/>
    <mergeCell ref="C35:C37"/>
    <mergeCell ref="B4:V4"/>
    <mergeCell ref="A66:A68"/>
    <mergeCell ref="A5:W5"/>
    <mergeCell ref="A7:A9"/>
    <mergeCell ref="C60:C65"/>
    <mergeCell ref="A98:O98"/>
    <mergeCell ref="B3:V3"/>
    <mergeCell ref="M72:M75"/>
    <mergeCell ref="O72:O75"/>
    <mergeCell ref="E72:E75"/>
    <mergeCell ref="P7:S7"/>
    <mergeCell ref="G72:G75"/>
    <mergeCell ref="A46:A48"/>
    <mergeCell ref="S72:S75"/>
    <mergeCell ref="C46:C48"/>
    <mergeCell ref="R8:S8"/>
  </mergeCells>
  <conditionalFormatting sqref="K93">
    <cfRule type="duplicateValues" priority="2" dxfId="0"/>
  </conditionalFormatting>
  <conditionalFormatting sqref="C93">
    <cfRule type="duplicateValues" priority="1" dxfId="0"/>
  </conditionalFormatting>
  <printOptions horizontalCentered="1" verticalCentered="1"/>
  <pageMargins left="0" right="0" top="0" bottom="0" header="0" footer="0"/>
  <pageSetup orientation="landscape" paperSize="9" scale="54"/>
  <rowBreaks count="1" manualBreakCount="1">
    <brk id="51" min="0" max="16383" man="1"/>
  </rowBreaks>
  <legacyDrawing xmlns:r="http://schemas.openxmlformats.org/officeDocument/2006/relationships" r:id="anysvml"/>
</worksheet>
</file>

<file path=xl/worksheets/sheet14.xml><?xml version="1.0" encoding="utf-8"?>
<worksheet xmlns="http://schemas.openxmlformats.org/spreadsheetml/2006/main">
  <sheetPr>
    <tabColor theme="5" tint="0.7999816888943144"/>
    <outlinePr summaryBelow="1" summaryRight="1"/>
    <pageSetUpPr/>
  </sheetPr>
  <dimension ref="A1:AD52"/>
  <sheetViews>
    <sheetView view="pageBreakPreview" zoomScale="87" zoomScaleNormal="100" zoomScaleSheetLayoutView="87" workbookViewId="0">
      <selection activeCell="AA14" sqref="AA14"/>
    </sheetView>
  </sheetViews>
  <sheetFormatPr baseColWidth="8" defaultRowHeight="15"/>
  <cols>
    <col width="4.5703125" customWidth="1" style="345" min="1" max="1"/>
    <col width="33.28515625" customWidth="1" style="345" min="2" max="2"/>
    <col width="10.140625" customWidth="1" style="345" min="3" max="4"/>
    <col width="7.28515625" customWidth="1" style="345" min="5" max="5"/>
    <col width="10.140625" customWidth="1" style="345" min="6" max="6"/>
    <col width="15.28515625" customWidth="1" style="345" min="7" max="7"/>
    <col width="10.85546875" customWidth="1" style="345" min="8" max="8"/>
    <col width="10.28515625" customWidth="1" style="345" min="9" max="9"/>
    <col width="7" customWidth="1" style="345" min="10" max="10"/>
    <col width="10.7109375" customWidth="1" style="345" min="11" max="11"/>
    <col width="15" customWidth="1" style="345" min="12" max="12"/>
    <col width="10.85546875" customWidth="1" style="345" min="13" max="13"/>
    <col width="10.5703125" customWidth="1" style="345" min="14" max="14"/>
    <col width="7" customWidth="1" style="345" min="15" max="15"/>
    <col width="10.5703125" customWidth="1" style="345" min="16" max="16"/>
    <col width="15.140625" customWidth="1" style="345" min="17" max="17"/>
    <col width="10.85546875" customWidth="1" style="345" min="18" max="18"/>
    <col width="11.7109375" customWidth="1" style="345" min="19" max="19"/>
    <col width="7" customWidth="1" style="345" min="20" max="20"/>
    <col width="10.7109375" customWidth="1" style="345" min="21" max="21"/>
    <col width="15.140625" customWidth="1" style="345" min="22" max="22"/>
    <col width="10.85546875" customWidth="1" style="345" min="23" max="23"/>
    <col width="11.7109375" customWidth="1" style="345" min="24" max="24"/>
    <col width="7.140625" customWidth="1" style="345" min="25" max="25"/>
    <col width="10.5703125" customWidth="1" style="345" min="26" max="26"/>
    <col width="15.140625" customWidth="1" style="345" min="27" max="27"/>
    <col width="3.85546875" customWidth="1" style="348" min="28" max="28"/>
    <col width="13" customWidth="1" style="345" min="29" max="29"/>
    <col width="9.140625" customWidth="1" style="346" min="30" max="16384"/>
  </cols>
  <sheetData>
    <row r="1" ht="15.75" customHeight="1" s="794">
      <c r="P1" s="346" t="n"/>
      <c r="U1" s="346" t="n"/>
      <c r="V1" s="347" t="n"/>
      <c r="Z1" s="346" t="n"/>
      <c r="AA1" s="347" t="inlineStr">
        <is>
          <t>Форма № 23</t>
        </is>
      </c>
    </row>
    <row r="2" ht="5.25" customHeight="1" s="794">
      <c r="P2" s="346" t="n"/>
      <c r="U2" s="346" t="n"/>
      <c r="Z2" s="346" t="n"/>
    </row>
    <row r="3" ht="15.75" customHeight="1" s="794">
      <c r="A3" s="1107" t="inlineStr">
        <is>
          <t>Расчет (обоснование) трудоемкости</t>
        </is>
      </c>
    </row>
    <row r="4" ht="24" customHeight="1" s="794">
      <c r="A4" s="1106" t="inlineStr">
        <is>
          <t>по договорам в рамках государственного оборонного заказа ФГАОУ ВО «СПбПУ» на период 2025-2027 гг</t>
        </is>
      </c>
    </row>
    <row r="5" ht="13.5" customHeight="1" s="794"/>
    <row r="6" ht="19.5" customHeight="1" s="794">
      <c r="A6" s="1102" t="inlineStr">
        <is>
          <t>№ п/п</t>
        </is>
      </c>
      <c r="B6" s="1102" t="inlineStr">
        <is>
          <t>Наименование товаров, работ, услуг</t>
        </is>
      </c>
      <c r="C6" s="1103" t="inlineStr">
        <is>
          <t>Отчетный период / период, предшествующий планируемому (год 2024)</t>
        </is>
      </c>
      <c r="D6" s="1412" t="n"/>
      <c r="E6" s="1412" t="n"/>
      <c r="F6" s="1412" t="n"/>
      <c r="G6" s="1412" t="n"/>
      <c r="H6" s="1412" t="n"/>
      <c r="I6" s="1412" t="n"/>
      <c r="J6" s="1412" t="n"/>
      <c r="K6" s="1412" t="n"/>
      <c r="L6" s="1410" t="n"/>
      <c r="M6" s="1103" t="inlineStr">
        <is>
          <t>Планируемый период (год 2025)</t>
        </is>
      </c>
      <c r="N6" s="1416" t="n"/>
      <c r="O6" s="1416" t="n"/>
      <c r="P6" s="1416" t="n"/>
      <c r="Q6" s="1417" t="n"/>
      <c r="R6" s="1103" t="inlineStr">
        <is>
          <t>Планируемый период (год 2026)</t>
        </is>
      </c>
      <c r="S6" s="1416" t="n"/>
      <c r="T6" s="1416" t="n"/>
      <c r="U6" s="1416" t="n"/>
      <c r="V6" s="1417" t="n"/>
      <c r="W6" s="1103" t="inlineStr">
        <is>
          <t>Планируемый период (год 2027)</t>
        </is>
      </c>
      <c r="X6" s="1416" t="n"/>
      <c r="Y6" s="1416" t="n"/>
      <c r="Z6" s="1416" t="n"/>
      <c r="AA6" s="1417" t="n"/>
    </row>
    <row r="7">
      <c r="A7" s="1418" t="n"/>
      <c r="B7" s="1418" t="n"/>
      <c r="C7" s="1103" t="inlineStr">
        <is>
          <t>план</t>
        </is>
      </c>
      <c r="D7" s="1412" t="n"/>
      <c r="E7" s="1412" t="n"/>
      <c r="F7" s="1412" t="n"/>
      <c r="G7" s="1410" t="n"/>
      <c r="H7" s="1103" t="inlineStr">
        <is>
          <t>факт</t>
        </is>
      </c>
      <c r="I7" s="1412" t="n"/>
      <c r="J7" s="1412" t="n"/>
      <c r="K7" s="1412" t="n"/>
      <c r="L7" s="1410" t="n"/>
      <c r="M7" s="1414" t="n"/>
      <c r="N7" s="1409" t="n"/>
      <c r="O7" s="1409" t="n"/>
      <c r="P7" s="1409" t="n"/>
      <c r="Q7" s="1421" t="n"/>
      <c r="R7" s="1414" t="n"/>
      <c r="S7" s="1409" t="n"/>
      <c r="T7" s="1409" t="n"/>
      <c r="U7" s="1409" t="n"/>
      <c r="V7" s="1421" t="n"/>
      <c r="W7" s="1414" t="n"/>
      <c r="X7" s="1409" t="n"/>
      <c r="Y7" s="1409" t="n"/>
      <c r="Z7" s="1409" t="n"/>
      <c r="AA7" s="1421" t="n"/>
    </row>
    <row r="8" ht="121.5" customHeight="1" s="794">
      <c r="A8" s="1413" t="n"/>
      <c r="B8" s="1413" t="n"/>
      <c r="C8" s="349" t="inlineStr">
        <is>
          <t>технологическая трудоемкость единицы продукции
(человеко-месяц)</t>
        </is>
      </c>
      <c r="D8" s="349" t="inlineStr">
        <is>
          <t>стоимость  руб.-месяц
(руб.)</t>
        </is>
      </c>
      <c r="E8" s="349" t="inlineStr">
        <is>
          <t>годовой объем производства
(штуки)</t>
        </is>
      </c>
      <c r="F8" s="350" t="inlineStr">
        <is>
          <t>технологическая трудоемкость всего
(гр.3*гр.5)</t>
        </is>
      </c>
      <c r="G8" s="1102" t="inlineStr">
        <is>
          <t>основная заработная плата основных работников                                              (гр.4*гр.6)</t>
        </is>
      </c>
      <c r="H8" s="349" t="inlineStr">
        <is>
          <t>технологическая трудоемкость единицы продукции
(человеко-месяц)</t>
        </is>
      </c>
      <c r="I8" s="349" t="inlineStr">
        <is>
          <t>стоимость  руб.-месяц 
(руб.)</t>
        </is>
      </c>
      <c r="J8" s="349" t="inlineStr">
        <is>
          <t>годовой объем производства
(штуки)</t>
        </is>
      </c>
      <c r="K8" s="350" t="inlineStr">
        <is>
          <t>технологическая трудоемкость всего
(гр.8*гр.10)</t>
        </is>
      </c>
      <c r="L8" s="1102" t="inlineStr">
        <is>
          <t>основная заработная плата основных работников9                                            (гр.9*гр.11)</t>
        </is>
      </c>
      <c r="M8" s="349" t="inlineStr">
        <is>
          <t>технологическая трудоемкость единицы продукции
(человеко-месяц)</t>
        </is>
      </c>
      <c r="N8" s="349" t="inlineStr">
        <is>
          <t>стоимость  руб.-месяц 
(руб.)</t>
        </is>
      </c>
      <c r="O8" s="349" t="inlineStr">
        <is>
          <t>годовой объем производства
(штуки)</t>
        </is>
      </c>
      <c r="P8" s="350" t="inlineStr">
        <is>
          <t>технологическая трудоемкость всего
(гр.13*гр.15)</t>
        </is>
      </c>
      <c r="Q8" s="1102" t="inlineStr">
        <is>
          <t>основная заработная плата основных работников9                                            (гр.14*гр.16)</t>
        </is>
      </c>
      <c r="R8" s="349" t="inlineStr">
        <is>
          <t>технологическая трудоемкость единицы продукции
(человеко-месяц6)</t>
        </is>
      </c>
      <c r="S8" s="349" t="inlineStr">
        <is>
          <t>стоимость  руб.-месяц 
(руб.)</t>
        </is>
      </c>
      <c r="T8" s="349" t="inlineStr">
        <is>
          <t>годовой объем производства
(штуки)</t>
        </is>
      </c>
      <c r="U8" s="350" t="inlineStr">
        <is>
          <t>технологическая трудоемкость всего
(гр.13*гр.15)</t>
        </is>
      </c>
      <c r="V8" s="1102" t="inlineStr">
        <is>
          <t>основная заработная плата основных работников                                            (гр.14*гр.16)</t>
        </is>
      </c>
      <c r="W8" s="349" t="inlineStr">
        <is>
          <t>технологическая трудоемкость единицы продукции
(человеко-месяц)</t>
        </is>
      </c>
      <c r="X8" s="349" t="inlineStr">
        <is>
          <t>стоимость  руб.-месяц 
(руб.)</t>
        </is>
      </c>
      <c r="Y8" s="349" t="inlineStr">
        <is>
          <t>годовой объем производства
(штуки)</t>
        </is>
      </c>
      <c r="Z8" s="350" t="inlineStr">
        <is>
          <t>технологическая трудоемкость всего
(гр.13*гр.15)</t>
        </is>
      </c>
      <c r="AA8" s="1102" t="inlineStr">
        <is>
          <t>основная заработная плата основных работников                                            (гр.14*гр.16)</t>
        </is>
      </c>
    </row>
    <row r="9" ht="14.25" customHeight="1" s="794">
      <c r="A9" s="351" t="n">
        <v>1</v>
      </c>
      <c r="B9" s="351" t="n">
        <v>2</v>
      </c>
      <c r="C9" s="351" t="n">
        <v>3</v>
      </c>
      <c r="D9" s="351" t="n">
        <v>4</v>
      </c>
      <c r="E9" s="351" t="n">
        <v>5</v>
      </c>
      <c r="F9" s="351" t="n">
        <v>6</v>
      </c>
      <c r="G9" s="1103" t="n">
        <v>7</v>
      </c>
      <c r="H9" s="351" t="n">
        <v>8</v>
      </c>
      <c r="I9" s="351" t="n">
        <v>9</v>
      </c>
      <c r="J9" s="351" t="n">
        <v>10</v>
      </c>
      <c r="K9" s="351" t="n">
        <v>11</v>
      </c>
      <c r="L9" s="1103" t="n">
        <v>12</v>
      </c>
      <c r="M9" s="351" t="n">
        <v>13</v>
      </c>
      <c r="N9" s="351" t="n">
        <v>14</v>
      </c>
      <c r="O9" s="351" t="n">
        <v>15</v>
      </c>
      <c r="P9" s="351" t="n">
        <v>16</v>
      </c>
      <c r="Q9" s="1103" t="n">
        <v>17</v>
      </c>
      <c r="R9" s="351" t="n">
        <v>18</v>
      </c>
      <c r="S9" s="351" t="n">
        <v>19</v>
      </c>
      <c r="T9" s="351" t="n">
        <v>20</v>
      </c>
      <c r="U9" s="351" t="n">
        <v>21</v>
      </c>
      <c r="V9" s="1103" t="n">
        <v>22</v>
      </c>
      <c r="W9" s="351" t="n">
        <v>18</v>
      </c>
      <c r="X9" s="351" t="n">
        <v>19</v>
      </c>
      <c r="Y9" s="351" t="n">
        <v>20</v>
      </c>
      <c r="Z9" s="351" t="n">
        <v>21</v>
      </c>
      <c r="AA9" s="1103" t="n">
        <v>22</v>
      </c>
    </row>
    <row r="10" ht="12.75" customFormat="1" customHeight="1" s="359">
      <c r="A10" s="352" t="n"/>
      <c r="B10" s="1102" t="inlineStr">
        <is>
          <t>ТЕМА</t>
        </is>
      </c>
      <c r="C10" s="1494" t="n">
        <v>0</v>
      </c>
      <c r="D10" s="1494" t="n">
        <v>0</v>
      </c>
      <c r="E10" s="1494" t="n">
        <v>0</v>
      </c>
      <c r="F10" s="1494" t="n">
        <v>0</v>
      </c>
      <c r="G10" s="1494" t="n">
        <v>0</v>
      </c>
      <c r="H10" s="1494" t="n">
        <v>0</v>
      </c>
      <c r="I10" s="1494" t="n">
        <v>0</v>
      </c>
      <c r="J10" s="1494" t="n">
        <v>0</v>
      </c>
      <c r="K10" s="1494" t="n">
        <v>0</v>
      </c>
      <c r="L10" s="1494" t="n">
        <v>0</v>
      </c>
      <c r="M10" s="1494" t="n">
        <v>0</v>
      </c>
      <c r="N10" s="1494" t="n">
        <v>0</v>
      </c>
      <c r="O10" s="1494" t="n">
        <v>0</v>
      </c>
      <c r="P10" s="1494" t="n">
        <v>0</v>
      </c>
      <c r="Q10" s="1494" t="n">
        <v>0</v>
      </c>
      <c r="R10" s="1495" t="n">
        <v>0</v>
      </c>
      <c r="S10" s="355">
        <f>IFERROR(ROUND(V10/U10,2),0)</f>
        <v/>
      </c>
      <c r="T10" s="356" t="n">
        <v>0</v>
      </c>
      <c r="U10" s="1495">
        <f>R10*T10</f>
        <v/>
      </c>
      <c r="V10" s="355" t="n">
        <v>0</v>
      </c>
      <c r="W10" s="1495" t="n">
        <v>0</v>
      </c>
      <c r="X10" s="355">
        <f>IFERROR(ROUND(AA10/Z10,2),0)</f>
        <v/>
      </c>
      <c r="Y10" s="356" t="n">
        <v>0</v>
      </c>
      <c r="Z10" s="1495">
        <f>W10*Y10</f>
        <v/>
      </c>
      <c r="AA10" s="355" t="n">
        <v>0</v>
      </c>
      <c r="AB10" s="357" t="n"/>
      <c r="AC10" s="358" t="n"/>
    </row>
    <row r="11" ht="38.25" customFormat="1" customHeight="1" s="359">
      <c r="A11" s="352" t="n"/>
      <c r="B11" s="1102" t="inlineStr">
        <is>
          <t>План работ по договорам в рамках ГОЗ
 (по предварительным данным от подразделений)</t>
        </is>
      </c>
      <c r="C11" s="1495" t="n">
        <v>0</v>
      </c>
      <c r="D11" s="355">
        <f>ROUND(G11/F11,2)</f>
        <v/>
      </c>
      <c r="E11" s="356" t="n"/>
      <c r="F11" s="1495">
        <f>C11</f>
        <v/>
      </c>
      <c r="G11" s="355" t="n">
        <v>0</v>
      </c>
      <c r="H11" s="1495" t="n">
        <v>0</v>
      </c>
      <c r="I11" s="355">
        <f>ROUND(L11/K11,2)</f>
        <v/>
      </c>
      <c r="J11" s="356" t="n"/>
      <c r="K11" s="1495">
        <f>H11</f>
        <v/>
      </c>
      <c r="L11" s="355" t="n">
        <v>0</v>
      </c>
      <c r="M11" s="1495" t="n">
        <v>0</v>
      </c>
      <c r="N11" s="355">
        <f>ROUND(Q11/P11,2)</f>
        <v/>
      </c>
      <c r="O11" s="356" t="n"/>
      <c r="P11" s="1495">
        <f>M11</f>
        <v/>
      </c>
      <c r="Q11" s="355" t="n">
        <v>0</v>
      </c>
      <c r="R11" s="1495" t="n">
        <v>0</v>
      </c>
      <c r="S11" s="355">
        <f>ROUND(V11/U11,2)</f>
        <v/>
      </c>
      <c r="T11" s="356" t="n"/>
      <c r="U11" s="1495">
        <f>R11</f>
        <v/>
      </c>
      <c r="V11" s="355" t="n">
        <v>0</v>
      </c>
      <c r="W11" s="1495" t="n">
        <v>0</v>
      </c>
      <c r="X11" s="355">
        <f>ROUND(AA11/Z11,2)</f>
        <v/>
      </c>
      <c r="Y11" s="356" t="n"/>
      <c r="Z11" s="1495">
        <f>W11</f>
        <v/>
      </c>
      <c r="AA11" s="355" t="n">
        <v>0</v>
      </c>
      <c r="AB11" s="357" t="n"/>
      <c r="AC11" s="360" t="n"/>
    </row>
    <row r="12" ht="12.75" customFormat="1" customHeight="1" s="367">
      <c r="A12" s="1105" t="inlineStr">
        <is>
          <t>ИТОГО по ГОЗ</t>
        </is>
      </c>
      <c r="B12" s="1410" t="n"/>
      <c r="C12" s="1496">
        <f>SUM(C10:C11)</f>
        <v/>
      </c>
      <c r="D12" s="362">
        <f>G12/F12</f>
        <v/>
      </c>
      <c r="E12" s="363" t="n"/>
      <c r="F12" s="1496">
        <f>SUM(F10:F11)</f>
        <v/>
      </c>
      <c r="G12" s="364">
        <f>SUM(G10:G11)</f>
        <v/>
      </c>
      <c r="H12" s="1496">
        <f>SUM(H10:H11)</f>
        <v/>
      </c>
      <c r="I12" s="364">
        <f>ROUND(L12/K12,0)</f>
        <v/>
      </c>
      <c r="J12" s="363" t="n"/>
      <c r="K12" s="1496">
        <f>SUM(K10:K11)</f>
        <v/>
      </c>
      <c r="L12" s="364">
        <f>SUM(L10:L11)</f>
        <v/>
      </c>
      <c r="M12" s="1496">
        <f>SUM(M10:M11)</f>
        <v/>
      </c>
      <c r="N12" s="364">
        <f>ROUND(Q12/P12,0)</f>
        <v/>
      </c>
      <c r="O12" s="363" t="n"/>
      <c r="P12" s="1496">
        <f>SUM(P10:P11)</f>
        <v/>
      </c>
      <c r="Q12" s="364">
        <f>SUM(Q10:Q11)</f>
        <v/>
      </c>
      <c r="R12" s="1496">
        <f>SUM(R10:R11)</f>
        <v/>
      </c>
      <c r="S12" s="364">
        <f>ROUND(V12/U12,0)</f>
        <v/>
      </c>
      <c r="T12" s="363" t="n"/>
      <c r="U12" s="1496">
        <f>SUM(U10:U11)</f>
        <v/>
      </c>
      <c r="V12" s="364">
        <f>SUM(V10:V11)</f>
        <v/>
      </c>
      <c r="W12" s="1496">
        <f>SUM(W10:W11)</f>
        <v/>
      </c>
      <c r="X12" s="364">
        <f>ROUND(AA12/Z12,0)</f>
        <v/>
      </c>
      <c r="Y12" s="363" t="n"/>
      <c r="Z12" s="1496">
        <f>SUM(Z10:Z11)</f>
        <v/>
      </c>
      <c r="AA12" s="364">
        <f>SUM(AA10:AA11)</f>
        <v/>
      </c>
      <c r="AB12" s="365" t="n"/>
      <c r="AC12" s="366" t="n"/>
    </row>
    <row r="13" ht="57" customFormat="1" customHeight="1" s="372">
      <c r="A13" s="1102" t="inlineStr">
        <is>
          <t>1.</t>
        </is>
      </c>
      <c r="B13" s="1102" t="inlineStr">
        <is>
          <t>План работ по договорам, источником финансирования которых, являются средства от приносящей доход деятельности</t>
        </is>
      </c>
      <c r="C13" s="1497" t="n">
        <v>0</v>
      </c>
      <c r="D13" s="369">
        <f>ROUNDUP(G13/F13,2)</f>
        <v/>
      </c>
      <c r="E13" s="370" t="n"/>
      <c r="F13" s="1497">
        <f>C13</f>
        <v/>
      </c>
      <c r="G13" s="369" t="n">
        <v>0</v>
      </c>
      <c r="H13" s="1497" t="n">
        <v>0</v>
      </c>
      <c r="I13" s="369">
        <f>L13/K13</f>
        <v/>
      </c>
      <c r="J13" s="370" t="n"/>
      <c r="K13" s="1497">
        <f>H13</f>
        <v/>
      </c>
      <c r="L13" s="369" t="n">
        <v>0</v>
      </c>
      <c r="M13" s="1497" t="n">
        <v>0</v>
      </c>
      <c r="N13" s="369">
        <f>Q13/P13</f>
        <v/>
      </c>
      <c r="O13" s="370" t="n"/>
      <c r="P13" s="1497">
        <f>M13</f>
        <v/>
      </c>
      <c r="Q13" s="369" t="n">
        <v>0</v>
      </c>
      <c r="R13" s="1497" t="n">
        <v>0</v>
      </c>
      <c r="S13" s="369">
        <f>V13/U13</f>
        <v/>
      </c>
      <c r="T13" s="370" t="n"/>
      <c r="U13" s="1497">
        <f>R13</f>
        <v/>
      </c>
      <c r="V13" s="369" t="n">
        <v>0</v>
      </c>
      <c r="W13" s="1497" t="n">
        <v>0</v>
      </c>
      <c r="X13" s="369">
        <f>AA13/Z13</f>
        <v/>
      </c>
      <c r="Y13" s="370" t="n"/>
      <c r="Z13" s="1497">
        <f>W13</f>
        <v/>
      </c>
      <c r="AA13" s="369" t="n">
        <v>0</v>
      </c>
      <c r="AB13" s="371" t="n"/>
      <c r="AC13" s="360" t="n"/>
    </row>
    <row r="14" ht="16.5" customFormat="1" customHeight="1" s="367">
      <c r="A14" s="1101" t="inlineStr">
        <is>
          <t>ИТОГО прочая продукция</t>
        </is>
      </c>
      <c r="B14" s="1410" t="n"/>
      <c r="C14" s="1496">
        <f>C13</f>
        <v/>
      </c>
      <c r="D14" s="364">
        <f>ROUNDUP(G14/F14,2)</f>
        <v/>
      </c>
      <c r="E14" s="363" t="n"/>
      <c r="F14" s="1496">
        <f>F13</f>
        <v/>
      </c>
      <c r="G14" s="364">
        <f>G13</f>
        <v/>
      </c>
      <c r="H14" s="1496">
        <f>H13</f>
        <v/>
      </c>
      <c r="I14" s="364">
        <f>L14/K14</f>
        <v/>
      </c>
      <c r="J14" s="363" t="n"/>
      <c r="K14" s="1496">
        <f>K13</f>
        <v/>
      </c>
      <c r="L14" s="364">
        <f>L13</f>
        <v/>
      </c>
      <c r="M14" s="1496">
        <f>M13</f>
        <v/>
      </c>
      <c r="N14" s="364">
        <f>Q14/P14</f>
        <v/>
      </c>
      <c r="O14" s="363" t="n"/>
      <c r="P14" s="1496">
        <f>P13</f>
        <v/>
      </c>
      <c r="Q14" s="364">
        <f>Q13</f>
        <v/>
      </c>
      <c r="R14" s="1496">
        <f>R13</f>
        <v/>
      </c>
      <c r="S14" s="364">
        <f>V14/U14</f>
        <v/>
      </c>
      <c r="T14" s="363" t="n"/>
      <c r="U14" s="1496">
        <f>U13</f>
        <v/>
      </c>
      <c r="V14" s="364">
        <f>V13</f>
        <v/>
      </c>
      <c r="W14" s="1496">
        <f>W13</f>
        <v/>
      </c>
      <c r="X14" s="364">
        <f>AA14/Z14</f>
        <v/>
      </c>
      <c r="Y14" s="363" t="n"/>
      <c r="Z14" s="1496">
        <f>Z13</f>
        <v/>
      </c>
      <c r="AA14" s="364">
        <f>AA13</f>
        <v/>
      </c>
      <c r="AB14" s="365" t="n"/>
      <c r="AC14" s="366" t="n"/>
    </row>
    <row r="15" ht="15" customFormat="1" customHeight="1" s="367">
      <c r="A15" s="1109" t="inlineStr">
        <is>
          <t>ВСЕГО</t>
        </is>
      </c>
      <c r="B15" s="1410" t="n"/>
      <c r="C15" s="1496">
        <f>C12+C14</f>
        <v/>
      </c>
      <c r="D15" s="364">
        <f>G15/F15</f>
        <v/>
      </c>
      <c r="E15" s="363" t="n"/>
      <c r="F15" s="1496">
        <f>F12+F14</f>
        <v/>
      </c>
      <c r="G15" s="364">
        <f>G12+G14</f>
        <v/>
      </c>
      <c r="H15" s="1496">
        <f>H12+H14</f>
        <v/>
      </c>
      <c r="I15" s="364">
        <f>ROUND(L15/K15,0)</f>
        <v/>
      </c>
      <c r="J15" s="363" t="n"/>
      <c r="K15" s="1496">
        <f>K12+K14</f>
        <v/>
      </c>
      <c r="L15" s="364">
        <f>L12+L14</f>
        <v/>
      </c>
      <c r="M15" s="1496">
        <f>M12+M14</f>
        <v/>
      </c>
      <c r="N15" s="364">
        <f>ROUND(Q15/P15,0)</f>
        <v/>
      </c>
      <c r="O15" s="363" t="n"/>
      <c r="P15" s="1496">
        <f>P12+P14</f>
        <v/>
      </c>
      <c r="Q15" s="364">
        <f>Q12+Q14</f>
        <v/>
      </c>
      <c r="R15" s="1496">
        <f>R12+R14</f>
        <v/>
      </c>
      <c r="S15" s="364">
        <f>ROUND(V15/U15,0)</f>
        <v/>
      </c>
      <c r="T15" s="363" t="n"/>
      <c r="U15" s="1496">
        <f>U12+U14</f>
        <v/>
      </c>
      <c r="V15" s="364">
        <f>V12+V14</f>
        <v/>
      </c>
      <c r="W15" s="1496">
        <f>W12+W14</f>
        <v/>
      </c>
      <c r="X15" s="364">
        <f>ROUND(AA15/Z15,0)</f>
        <v/>
      </c>
      <c r="Y15" s="363" t="n"/>
      <c r="Z15" s="1496">
        <f>Z12+Z14</f>
        <v/>
      </c>
      <c r="AA15" s="364">
        <f>AA12+AA14</f>
        <v/>
      </c>
      <c r="AB15" s="365" t="n"/>
      <c r="AC15" s="366" t="n"/>
    </row>
    <row r="16" ht="33.75" customHeight="1" s="794">
      <c r="A16" s="366" t="n"/>
      <c r="B16" s="366" t="n"/>
      <c r="C16" s="1498" t="n"/>
      <c r="D16" s="358" t="n"/>
      <c r="E16" s="358" t="n"/>
      <c r="F16" s="374" t="n"/>
      <c r="G16" s="374" t="n"/>
      <c r="H16" s="1498" t="n"/>
      <c r="I16" s="358" t="n"/>
      <c r="J16" s="375" t="n"/>
      <c r="K16" s="374" t="n"/>
      <c r="L16" s="374" t="n"/>
      <c r="M16" s="1498" t="n"/>
      <c r="N16" s="374" t="n"/>
      <c r="O16" s="375" t="n"/>
      <c r="P16" s="374" t="n"/>
      <c r="Q16" s="374" t="n"/>
      <c r="R16" s="1498" t="n"/>
      <c r="S16" s="374" t="n"/>
      <c r="T16" s="375" t="n"/>
      <c r="U16" s="374" t="n"/>
      <c r="V16" s="374" t="n"/>
      <c r="W16" s="1498" t="n"/>
      <c r="X16" s="374" t="n"/>
      <c r="Y16" s="375" t="n"/>
      <c r="Z16" s="374" t="n"/>
      <c r="AA16" s="374" t="n"/>
    </row>
    <row r="17" ht="41.25" customFormat="1" customHeight="1" s="804">
      <c r="A17" s="799" t="n"/>
      <c r="B17" s="799" t="n"/>
      <c r="C17" s="1110" t="inlineStr">
        <is>
          <t>Проректор по научной работе</t>
        </is>
      </c>
      <c r="J17" s="800" t="n"/>
      <c r="K17" s="800" t="n"/>
      <c r="L17" s="800" t="n"/>
      <c r="M17" s="800" t="n"/>
      <c r="N17" s="800" t="n"/>
      <c r="O17" s="800" t="n"/>
      <c r="P17" s="800" t="n"/>
      <c r="Q17" s="800" t="n"/>
      <c r="R17" s="1110" t="inlineStr">
        <is>
          <t>Начальник ОФЭиАУ НИОКР</t>
        </is>
      </c>
      <c r="X17" s="801" t="n"/>
      <c r="Y17" s="802" t="n"/>
      <c r="Z17" s="802" t="n"/>
      <c r="AA17" s="802" t="n"/>
      <c r="AB17" s="803" t="n"/>
      <c r="AC17" s="799" t="n"/>
    </row>
    <row r="18" ht="42.75" customFormat="1" customHeight="1" s="804">
      <c r="A18" s="799" t="n"/>
      <c r="B18" s="799" t="n"/>
      <c r="C18" s="1111" t="inlineStr">
        <is>
          <t>_____________________ Ю.В. Фомин</t>
        </is>
      </c>
      <c r="J18" s="800" t="n"/>
      <c r="K18" s="800" t="n"/>
      <c r="L18" s="800" t="n"/>
      <c r="M18" s="800" t="n"/>
      <c r="N18" s="800" t="n"/>
      <c r="O18" s="800" t="n"/>
      <c r="P18" s="800" t="n"/>
      <c r="Q18" s="800" t="n"/>
      <c r="R18" s="1111" t="inlineStr">
        <is>
          <t>___________________ Н.О. Васецкая</t>
        </is>
      </c>
      <c r="X18" s="805" t="n"/>
      <c r="Y18" s="805" t="n"/>
      <c r="Z18" s="806" t="n"/>
      <c r="AA18" s="799" t="n"/>
      <c r="AB18" s="803" t="n"/>
      <c r="AC18" s="799" t="n"/>
    </row>
    <row r="19" ht="20.25" customFormat="1" customHeight="1" s="359">
      <c r="A19" s="358" t="n"/>
      <c r="B19" s="358" t="n"/>
      <c r="C19" s="1112" t="inlineStr">
        <is>
          <t xml:space="preserve">  (подпись)                                                                (Ф.И.О.)</t>
        </is>
      </c>
      <c r="J19" s="798" t="n"/>
      <c r="K19" s="798" t="n"/>
      <c r="L19" s="798" t="n"/>
      <c r="M19" s="798" t="n"/>
      <c r="N19" s="798" t="n"/>
      <c r="O19" s="798" t="n"/>
      <c r="P19" s="798" t="n"/>
      <c r="Q19" s="798" t="n"/>
      <c r="R19" s="1112" t="inlineStr">
        <is>
          <t xml:space="preserve">  (подпись)                                     (Ф.И.О.)</t>
        </is>
      </c>
      <c r="X19" s="791" t="n"/>
      <c r="Y19" s="791" t="n"/>
      <c r="Z19" s="791" t="n"/>
      <c r="AA19" s="358" t="n"/>
      <c r="AB19" s="357" t="n"/>
      <c r="AC19" s="358" t="n"/>
    </row>
    <row r="20" ht="22.5" customFormat="1" customHeight="1" s="804">
      <c r="A20" s="799" t="n"/>
      <c r="B20" s="799" t="n"/>
      <c r="C20" s="807" t="inlineStr">
        <is>
          <t>«____» __________________ 2026 г.</t>
        </is>
      </c>
      <c r="D20" s="807" t="n"/>
      <c r="E20" s="807" t="n"/>
      <c r="F20" s="807" t="n"/>
      <c r="G20" s="807" t="n"/>
      <c r="H20" s="807" t="n"/>
      <c r="I20" s="807" t="n"/>
      <c r="J20" s="800" t="n"/>
      <c r="K20" s="800" t="n"/>
      <c r="L20" s="800" t="n"/>
      <c r="M20" s="800" t="n"/>
      <c r="N20" s="800" t="n"/>
      <c r="O20" s="800" t="n"/>
      <c r="P20" s="800" t="n"/>
      <c r="Q20" s="800" t="n"/>
      <c r="R20" s="807" t="inlineStr">
        <is>
          <t>«____» __________________ 2026 г.</t>
        </is>
      </c>
      <c r="S20" s="807" t="n"/>
      <c r="T20" s="807" t="n"/>
      <c r="U20" s="807" t="n"/>
      <c r="V20" s="807" t="n"/>
      <c r="W20" s="807" t="n"/>
      <c r="X20" s="799" t="n"/>
      <c r="Y20" s="799" t="n"/>
      <c r="Z20" s="799" t="n"/>
      <c r="AA20" s="799" t="n"/>
      <c r="AB20" s="803" t="n"/>
      <c r="AC20" s="799" t="n"/>
    </row>
    <row r="21" ht="7.5" customHeight="1" s="794">
      <c r="A21" s="366" t="n"/>
      <c r="B21" s="366" t="n"/>
      <c r="C21" s="1498" t="n"/>
      <c r="D21" s="358" t="n"/>
      <c r="E21" s="358" t="n"/>
      <c r="F21" s="374" t="n"/>
      <c r="G21" s="374" t="n"/>
      <c r="H21" s="1498" t="n"/>
      <c r="I21" s="358" t="n"/>
      <c r="J21" s="375" t="n"/>
      <c r="K21" s="374" t="n"/>
      <c r="L21" s="374" t="n"/>
      <c r="M21" s="1498" t="n"/>
      <c r="N21" s="374" t="n"/>
      <c r="O21" s="375" t="n"/>
      <c r="P21" s="374" t="n"/>
      <c r="Q21" s="374" t="n"/>
      <c r="R21" s="1498" t="n"/>
      <c r="S21" s="374" t="n"/>
      <c r="T21" s="375" t="n"/>
      <c r="U21" s="374" t="n"/>
      <c r="V21" s="374" t="n"/>
      <c r="W21" s="1498" t="n"/>
      <c r="X21" s="374" t="n"/>
      <c r="Y21" s="375" t="n"/>
      <c r="Z21" s="374" t="n"/>
      <c r="AA21" s="374" t="n"/>
    </row>
    <row r="22" hidden="1" ht="133.5" customHeight="1" s="794">
      <c r="A22" s="1108" t="inlineStr">
        <is>
          <t xml:space="preserve">    1 Указанный документ обязателен для представления следующими организациями:
       - головными исполнителями;
       - исполнителями, поставляющими головному исполнителю покупные комплектующие изделия (полуфабрикаты) и работы (услуги) производственного характера, связанные с поставкой продукции в течение планового периода, по каждой номенклатурной позиции комплектующих изделий (полуфабрикатов) и работ (услуг),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 исполнителями, выполняющими работы (услуги) по отдельным этапам (составным частям) научно-исследовательских, опытно-конструкторских и других работ.
      Иными исполнителями, участвующими в поставках продукции по государственному оборонному заказу, указанный документ представляется по дополнительному запросу государственного заказчика, отраслевого органа, Федеральной антимонопольной службы.
      Сведения в рамках расчета (обоснования) трудоемкости представляются с соблюдением требований законодательства Российской Федерации о государственной тайне.</t>
        </is>
      </c>
      <c r="R22" s="1113" t="n"/>
      <c r="S22" s="1113" t="n"/>
      <c r="T22" s="1113" t="n"/>
      <c r="U22" s="1113" t="n"/>
      <c r="V22" s="1113" t="n"/>
      <c r="W22" s="1113" t="n"/>
      <c r="X22" s="1113" t="n"/>
      <c r="Y22" s="1113" t="n"/>
      <c r="Z22" s="1113" t="n"/>
      <c r="AA22" s="1113" t="n"/>
    </row>
    <row r="23" hidden="1" ht="41.25" customHeight="1" s="794">
      <c r="A23" s="1108" t="inlineStr">
        <is>
          <t xml:space="preserve">      2 Заполняется в случае если распределение общепроизводственных и общехозяйственных затрат / 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 / административно-управленческих расходов, в произвольной форме, отражающей информацию за отчетный период / период, предшествующий планируемому (по плановым и фактическим показателям), и плановый период.</t>
        </is>
      </c>
      <c r="R23" s="1108" t="n"/>
      <c r="S23" s="1108" t="n"/>
      <c r="T23" s="1108" t="n"/>
      <c r="U23" s="1108" t="n"/>
      <c r="V23" s="1108" t="n"/>
      <c r="W23" s="1108" t="n"/>
      <c r="X23" s="1108" t="n"/>
      <c r="Y23" s="1108" t="n"/>
      <c r="Z23" s="1108" t="n"/>
      <c r="AA23" s="1108" t="n"/>
    </row>
    <row r="24" hidden="1" ht="29.25" customHeight="1" s="794">
      <c r="A24" s="1108" t="inlineStr">
        <is>
          <t xml:space="preserve">     3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R24" s="1108" t="n"/>
      <c r="S24" s="1108" t="n"/>
      <c r="T24" s="1108" t="n"/>
      <c r="U24" s="1108" t="n"/>
      <c r="V24" s="1108" t="n"/>
      <c r="W24" s="1108" t="n"/>
      <c r="X24" s="1108" t="n"/>
      <c r="Y24" s="1108" t="n"/>
      <c r="Z24" s="1108" t="n"/>
      <c r="AA24" s="1108" t="n"/>
    </row>
    <row r="25" hidden="1" ht="16.5" customHeight="1" s="794">
      <c r="A25" s="1117" t="inlineStr">
        <is>
          <t xml:space="preserve">     4 Заполняется с учетом незавершенного производства.</t>
        </is>
      </c>
      <c r="R25" s="1117" t="n"/>
      <c r="S25" s="1117" t="n"/>
      <c r="T25" s="1117" t="n"/>
      <c r="U25" s="1117" t="n"/>
      <c r="V25" s="1117" t="n"/>
      <c r="W25" s="1117" t="n"/>
      <c r="X25" s="1117" t="n"/>
      <c r="Y25" s="1117" t="n"/>
      <c r="Z25" s="1117" t="n"/>
      <c r="AA25" s="1117" t="n"/>
    </row>
    <row r="26" hidden="1" ht="96" customHeight="1" s="794">
      <c r="A26" s="1108"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13-17.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3-12 по годам, дополнив форму после графы 12 графами, аналогичными по содержанию графам 3-12 соответственно (с последующей корректировкой нумерации граф), на каждый год производства продукции для указания информации. </t>
        </is>
      </c>
      <c r="R26" s="1118" t="n"/>
      <c r="S26" s="1118" t="n"/>
      <c r="T26" s="1118" t="n"/>
      <c r="U26" s="1118" t="n"/>
      <c r="V26" s="1118" t="n"/>
      <c r="W26" s="1118" t="n"/>
      <c r="X26" s="1118" t="n"/>
      <c r="Y26" s="1118" t="n"/>
      <c r="Z26" s="1118" t="n"/>
      <c r="AA26" s="1118" t="n"/>
    </row>
    <row r="27" hidden="1" ht="16.5" customHeight="1" s="794">
      <c r="A27" s="1108" t="inlineStr">
        <is>
          <t xml:space="preserve">    6 Указывается используемая единица измерения трудоемкости: нормо-час / человеко-час / человеко-день / человеко-месяц.</t>
        </is>
      </c>
      <c r="R27" s="1108" t="n"/>
      <c r="S27" s="1108" t="n"/>
      <c r="T27" s="1108" t="n"/>
      <c r="U27" s="1108" t="n"/>
      <c r="V27" s="1108" t="n"/>
      <c r="W27" s="1108" t="n"/>
      <c r="X27" s="1108" t="n"/>
      <c r="Y27" s="1108" t="n"/>
      <c r="Z27" s="1108" t="n"/>
      <c r="AA27" s="1108" t="n"/>
    </row>
    <row r="28" hidden="1" ht="17.25" customHeight="1" s="794">
      <c r="A28" s="1108" t="inlineStr">
        <is>
          <t xml:space="preserve">    7 Указывается используемая единица измерения: руб.-час / руб.-день / руб.-месяц.</t>
        </is>
      </c>
      <c r="R28" s="1108" t="n"/>
      <c r="S28" s="1108" t="n"/>
      <c r="T28" s="1108" t="n"/>
      <c r="U28" s="1108" t="n"/>
      <c r="V28" s="1108" t="n"/>
      <c r="W28" s="1108" t="n"/>
      <c r="X28" s="1108" t="n"/>
      <c r="Y28" s="1108" t="n"/>
      <c r="Z28" s="1108" t="n"/>
      <c r="AA28" s="1108" t="n"/>
    </row>
    <row r="29" hidden="1" ht="16.5" customHeight="1" s="794">
      <c r="A29" s="1108" t="inlineStr">
        <is>
          <t xml:space="preserve">     8 При наличии незавершенного производства указывается в долях.</t>
        </is>
      </c>
      <c r="R29" s="1108" t="n"/>
      <c r="S29" s="1108" t="n"/>
      <c r="T29" s="1108" t="n"/>
      <c r="U29" s="1108" t="n"/>
      <c r="V29" s="1108" t="n"/>
      <c r="W29" s="1108" t="n"/>
      <c r="X29" s="1108" t="n"/>
      <c r="Y29" s="1108" t="n"/>
      <c r="Z29" s="1108" t="n"/>
      <c r="AA29" s="1108" t="n"/>
    </row>
    <row r="30" hidden="1" ht="57.75" customHeight="1" s="794">
      <c r="A30" s="1108" t="inlineStr">
        <is>
          <t xml:space="preserve">     9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R30" s="1108" t="n"/>
      <c r="S30" s="1108" t="n"/>
      <c r="T30" s="1108" t="n"/>
      <c r="U30" s="1108" t="n"/>
      <c r="V30" s="1108" t="n"/>
      <c r="W30" s="1108" t="n"/>
      <c r="X30" s="1108" t="n"/>
      <c r="Y30" s="1108" t="n"/>
      <c r="Z30" s="1108" t="n"/>
      <c r="AA30" s="1108" t="n"/>
    </row>
    <row r="31" hidden="1" s="794">
      <c r="A31" s="1108" t="n"/>
      <c r="B31" s="1108" t="n"/>
      <c r="C31" s="1108" t="n"/>
      <c r="D31" s="1108" t="n"/>
      <c r="E31" s="1108" t="n"/>
      <c r="F31" s="1108" t="n"/>
      <c r="G31" s="1108" t="n"/>
      <c r="H31" s="1108" t="n"/>
      <c r="I31" s="1108" t="n"/>
      <c r="J31" s="1108" t="n"/>
      <c r="K31" s="1108" t="n"/>
      <c r="L31" s="1108" t="n"/>
      <c r="M31" s="1108" t="n"/>
      <c r="N31" s="1108" t="n"/>
      <c r="O31" s="1108" t="n"/>
      <c r="P31" s="1108" t="n"/>
      <c r="Q31" s="1108" t="n"/>
      <c r="R31" s="1108" t="n"/>
      <c r="S31" s="1108" t="n"/>
      <c r="T31" s="1108" t="n"/>
      <c r="U31" s="1108" t="n"/>
      <c r="V31" s="1108" t="n"/>
      <c r="W31" s="1108" t="n"/>
      <c r="X31" s="1108" t="n"/>
      <c r="Y31" s="1108" t="n"/>
      <c r="Z31" s="1108" t="n"/>
      <c r="AA31" s="1108" t="n"/>
    </row>
    <row r="32" hidden="1" ht="16.5" customHeight="1" s="794">
      <c r="A32" s="1114" t="inlineStr">
        <is>
          <t>Используемые сокращения и их расшифровка:</t>
        </is>
      </c>
    </row>
    <row r="33" hidden="1" ht="28.5" customHeight="1" s="794">
      <c r="A33" s="300" t="n"/>
      <c r="B33" s="1115" t="inlineStr">
        <is>
          <t>ГОЗ – государственный оборонный заказ;
НИР (ОКР) – научно-исследовательская работа (опытно-конструкторская работа).</t>
        </is>
      </c>
    </row>
    <row r="34" hidden="1" ht="14.25" customFormat="1" customHeight="1" s="348">
      <c r="A34" s="346" t="n"/>
      <c r="B34" s="346" t="n"/>
      <c r="C34" s="346" t="n"/>
      <c r="D34" s="346" t="n"/>
      <c r="E34" s="346" t="n"/>
      <c r="F34" s="346" t="n"/>
      <c r="G34" s="346" t="n"/>
      <c r="H34" s="346" t="n"/>
      <c r="I34" s="346" t="n"/>
      <c r="J34" s="346" t="n"/>
      <c r="K34" s="346" t="n"/>
      <c r="L34" s="346" t="n"/>
      <c r="M34" s="346" t="n"/>
      <c r="N34" s="346" t="n"/>
      <c r="O34" s="346" t="n"/>
      <c r="P34" s="346" t="n"/>
      <c r="Q34" s="346" t="n"/>
      <c r="R34" s="346" t="n"/>
      <c r="S34" s="346" t="n"/>
      <c r="T34" s="346" t="n"/>
      <c r="U34" s="346" t="n"/>
      <c r="V34" s="346" t="n"/>
      <c r="W34" s="346" t="n"/>
      <c r="X34" s="346" t="n"/>
      <c r="Y34" s="346" t="n"/>
      <c r="Z34" s="346" t="n"/>
      <c r="AA34" s="346" t="n"/>
      <c r="AC34" s="345" t="n"/>
      <c r="AD34" s="346" t="n"/>
    </row>
    <row r="35" ht="11.25" customFormat="1" customHeight="1" s="348">
      <c r="A35" s="376" t="n"/>
      <c r="B35" s="376" t="n"/>
      <c r="C35" s="376" t="n"/>
      <c r="D35" s="376" t="n"/>
      <c r="E35" s="376" t="n"/>
      <c r="F35" s="376" t="n"/>
      <c r="G35" s="376" t="n"/>
      <c r="H35" s="376" t="n"/>
      <c r="I35" s="376" t="n"/>
      <c r="J35" s="376" t="n"/>
      <c r="K35" s="376" t="n"/>
      <c r="L35" s="376" t="n"/>
      <c r="M35" s="376" t="n"/>
      <c r="N35" s="376" t="n"/>
      <c r="O35" s="376" t="n"/>
      <c r="P35" s="376" t="n"/>
      <c r="Q35" s="376" t="n"/>
      <c r="R35" s="376" t="n"/>
      <c r="S35" s="376" t="n"/>
      <c r="T35" s="376" t="n"/>
      <c r="U35" s="376" t="n"/>
      <c r="V35" s="376" t="n"/>
      <c r="W35" s="376" t="n"/>
      <c r="X35" s="376" t="n"/>
      <c r="Y35" s="376" t="n"/>
      <c r="Z35" s="376" t="n"/>
      <c r="AA35" s="376" t="n"/>
      <c r="AC35" s="345" t="n"/>
      <c r="AD35" s="346" t="n"/>
    </row>
    <row r="52" customFormat="1" s="345">
      <c r="B52" s="377" t="n"/>
      <c r="AB52" s="348" t="n"/>
      <c r="AD52" s="346" t="n"/>
    </row>
  </sheetData>
  <mergeCells count="30">
    <mergeCell ref="A15:B15"/>
    <mergeCell ref="C17:I17"/>
    <mergeCell ref="A30:Q30"/>
    <mergeCell ref="M6:Q7"/>
    <mergeCell ref="A24:Q24"/>
    <mergeCell ref="C19:I19"/>
    <mergeCell ref="B33:AC33"/>
    <mergeCell ref="C18:I18"/>
    <mergeCell ref="A3:AA3"/>
    <mergeCell ref="R17:W17"/>
    <mergeCell ref="A25:Q25"/>
    <mergeCell ref="C6:L6"/>
    <mergeCell ref="A12:B12"/>
    <mergeCell ref="A4:AA4"/>
    <mergeCell ref="A27:Q27"/>
    <mergeCell ref="H7:L7"/>
    <mergeCell ref="R18:W18"/>
    <mergeCell ref="A26:Q26"/>
    <mergeCell ref="W6:AA7"/>
    <mergeCell ref="A14:B14"/>
    <mergeCell ref="A6:A8"/>
    <mergeCell ref="A23:Q23"/>
    <mergeCell ref="A22:Q22"/>
    <mergeCell ref="C7:G7"/>
    <mergeCell ref="A32:AC32"/>
    <mergeCell ref="A29:Q29"/>
    <mergeCell ref="R19:W19"/>
    <mergeCell ref="R6:V7"/>
    <mergeCell ref="A28:Q28"/>
    <mergeCell ref="B6:B8"/>
  </mergeCells>
  <pageMargins left="0.3937007874015748" right="0.3149606299212598" top="0.5905511811023623" bottom="0.3937007874015748" header="0.1968503937007874" footer="0.1968503937007874"/>
  <pageSetup orientation="landscape" paperSize="9" scale="45"/>
  <rowBreaks count="1" manualBreakCount="1">
    <brk id="20" min="0" max="36" man="1"/>
  </rowBreaks>
</worksheet>
</file>

<file path=xl/worksheets/sheet15.xml><?xml version="1.0" encoding="utf-8"?>
<worksheet xmlns="http://schemas.openxmlformats.org/spreadsheetml/2006/main">
  <sheetPr>
    <tabColor theme="4" tint="0.7999816888943144"/>
    <outlinePr summaryBelow="1" summaryRight="1"/>
    <pageSetUpPr fitToPage="1"/>
  </sheetPr>
  <dimension ref="A1:AJ26"/>
  <sheetViews>
    <sheetView view="pageBreakPreview" topLeftCell="E1" zoomScaleNormal="100" zoomScaleSheetLayoutView="100" workbookViewId="0">
      <selection activeCell="A5" sqref="A5:AJ5"/>
    </sheetView>
  </sheetViews>
  <sheetFormatPr baseColWidth="8" defaultColWidth="0.85546875" defaultRowHeight="12.75"/>
  <cols>
    <col width="5.28515625" customWidth="1" style="22" min="1" max="1"/>
    <col width="26.28515625" customWidth="1" style="22" min="2" max="2"/>
    <col width="5.140625" customWidth="1" style="22" min="3" max="3"/>
    <col width="6.5703125" customWidth="1" style="22" min="4" max="4"/>
    <col width="6.140625" customWidth="1" style="22" min="5" max="5"/>
    <col width="10" customWidth="1" style="22" min="6" max="6"/>
    <col width="6.42578125" customWidth="1" style="22" min="7" max="7"/>
    <col width="7.28515625" customWidth="1" style="22" min="8" max="8"/>
    <col width="6.5703125" customWidth="1" style="22" min="9" max="9"/>
    <col width="6.85546875" customWidth="1" style="22" min="10" max="10"/>
    <col width="5.85546875" customWidth="1" style="22" min="11" max="12"/>
    <col width="16.5703125" customWidth="1" style="22" min="13" max="13"/>
    <col width="10.7109375" customWidth="1" style="22" min="14" max="14"/>
    <col width="7.5703125" customWidth="1" style="22" min="15" max="15"/>
    <col width="3.7109375" customWidth="1" style="22" min="16" max="16"/>
    <col width="6.85546875" customWidth="1" style="22" min="17" max="17"/>
    <col width="10.28515625" customWidth="1" style="22" min="18" max="18"/>
    <col width="7.5703125" customWidth="1" style="22" min="19" max="19"/>
    <col width="9.85546875" customWidth="1" style="22" min="20" max="20"/>
    <col width="7.140625" customWidth="1" style="22" min="21" max="21"/>
    <col width="13.5703125" customWidth="1" style="22" min="22" max="22"/>
    <col width="9.5703125" customWidth="1" style="22" min="23" max="23"/>
    <col width="10" customWidth="1" style="22" min="24" max="24"/>
    <col width="7.28515625" customWidth="1" style="22" min="25" max="25"/>
    <col width="1.85546875" customWidth="1" style="22" min="26" max="26"/>
    <col width="10.7109375" customWidth="1" style="22" min="27" max="27"/>
    <col width="5.7109375" customWidth="1" style="22" min="28" max="28"/>
    <col width="3.5703125" customWidth="1" style="22" min="29" max="29"/>
    <col width="7" customWidth="1" style="22" min="30" max="30"/>
    <col width="15.85546875" customWidth="1" style="22" min="31" max="31"/>
    <col width="9.28515625" customWidth="1" style="22" min="32" max="32"/>
    <col width="9.7109375" customWidth="1" style="22" min="33" max="33"/>
    <col width="9.42578125" customWidth="1" style="22" min="34" max="34"/>
    <col width="10.28515625" customWidth="1" style="22" min="35" max="35"/>
    <col width="8" customWidth="1" style="22" min="36" max="36"/>
    <col width="0.85546875" customWidth="1" style="22" min="37" max="256"/>
    <col width="5.28515625" customWidth="1" style="22" min="257" max="257"/>
    <col width="26.28515625" customWidth="1" style="22" min="258" max="258"/>
    <col width="5.140625" customWidth="1" style="22" min="259" max="259"/>
    <col width="6.5703125" customWidth="1" style="22" min="260" max="260"/>
    <col width="6.140625" customWidth="1" style="22" min="261" max="261"/>
    <col width="10" customWidth="1" style="22" min="262" max="262"/>
    <col width="7.28515625" customWidth="1" style="22" min="263" max="263"/>
    <col width="7.7109375" customWidth="1" style="22" min="264" max="264"/>
    <col width="9.5703125" customWidth="1" style="22" min="265" max="265"/>
    <col width="9.85546875" customWidth="1" style="22" min="266" max="266"/>
    <col width="9" customWidth="1" style="22" min="267" max="268"/>
    <col width="16.5703125" customWidth="1" style="22" min="269" max="269"/>
    <col width="11.28515625" customWidth="1" style="22" min="270" max="270"/>
    <col width="7.5703125" customWidth="1" style="22" min="271" max="271"/>
    <col width="3.7109375" customWidth="1" style="22" min="272" max="272"/>
    <col width="9.140625" customWidth="1" style="22" min="273" max="273"/>
    <col width="10.28515625" customWidth="1" style="22" min="274" max="274"/>
    <col width="10" customWidth="1" style="22" min="275" max="275"/>
    <col width="9.85546875" customWidth="1" style="22" min="276" max="276"/>
    <col width="7.140625" customWidth="1" style="22" min="277" max="277"/>
    <col width="14.42578125" customWidth="1" style="22" min="278" max="278"/>
    <col width="11.5703125" customWidth="1" style="22" min="279" max="279"/>
    <col width="10" customWidth="1" style="22" min="280" max="280"/>
    <col width="7.28515625" customWidth="1" style="22" min="281" max="281"/>
    <col width="1.85546875" customWidth="1" style="22" min="282" max="282"/>
    <col width="10.7109375" customWidth="1" style="22" min="283" max="283"/>
    <col width="7.28515625" customWidth="1" style="22" min="284" max="284"/>
    <col width="3.5703125" customWidth="1" style="22" min="285" max="285"/>
    <col width="7" customWidth="1" style="22" min="286" max="286"/>
    <col width="15.85546875" customWidth="1" style="22" min="287" max="287"/>
    <col width="9.28515625" customWidth="1" style="22" min="288" max="288"/>
    <col width="9.7109375" customWidth="1" style="22" min="289" max="289"/>
    <col width="10.28515625" customWidth="1" style="22" min="290" max="291"/>
    <col width="9.5703125" customWidth="1" style="22" min="292" max="292"/>
    <col width="0.85546875" customWidth="1" style="22" min="293" max="512"/>
    <col width="5.28515625" customWidth="1" style="22" min="513" max="513"/>
    <col width="26.28515625" customWidth="1" style="22" min="514" max="514"/>
    <col width="5.140625" customWidth="1" style="22" min="515" max="515"/>
    <col width="6.5703125" customWidth="1" style="22" min="516" max="516"/>
    <col width="6.140625" customWidth="1" style="22" min="517" max="517"/>
    <col width="10" customWidth="1" style="22" min="518" max="518"/>
    <col width="7.28515625" customWidth="1" style="22" min="519" max="519"/>
    <col width="7.7109375" customWidth="1" style="22" min="520" max="520"/>
    <col width="9.5703125" customWidth="1" style="22" min="521" max="521"/>
    <col width="9.85546875" customWidth="1" style="22" min="522" max="522"/>
    <col width="9" customWidth="1" style="22" min="523" max="524"/>
    <col width="16.5703125" customWidth="1" style="22" min="525" max="525"/>
    <col width="11.28515625" customWidth="1" style="22" min="526" max="526"/>
    <col width="7.5703125" customWidth="1" style="22" min="527" max="527"/>
    <col width="3.7109375" customWidth="1" style="22" min="528" max="528"/>
    <col width="9.140625" customWidth="1" style="22" min="529" max="529"/>
    <col width="10.28515625" customWidth="1" style="22" min="530" max="530"/>
    <col width="10" customWidth="1" style="22" min="531" max="531"/>
    <col width="9.85546875" customWidth="1" style="22" min="532" max="532"/>
    <col width="7.140625" customWidth="1" style="22" min="533" max="533"/>
    <col width="14.42578125" customWidth="1" style="22" min="534" max="534"/>
    <col width="11.5703125" customWidth="1" style="22" min="535" max="535"/>
    <col width="10" customWidth="1" style="22" min="536" max="536"/>
    <col width="7.28515625" customWidth="1" style="22" min="537" max="537"/>
    <col width="1.85546875" customWidth="1" style="22" min="538" max="538"/>
    <col width="10.7109375" customWidth="1" style="22" min="539" max="539"/>
    <col width="7.28515625" customWidth="1" style="22" min="540" max="540"/>
    <col width="3.5703125" customWidth="1" style="22" min="541" max="541"/>
    <col width="7" customWidth="1" style="22" min="542" max="542"/>
    <col width="15.85546875" customWidth="1" style="22" min="543" max="543"/>
    <col width="9.28515625" customWidth="1" style="22" min="544" max="544"/>
    <col width="9.7109375" customWidth="1" style="22" min="545" max="545"/>
    <col width="10.28515625" customWidth="1" style="22" min="546" max="547"/>
    <col width="9.5703125" customWidth="1" style="22" min="548" max="548"/>
    <col width="0.85546875" customWidth="1" style="22" min="549" max="768"/>
    <col width="5.28515625" customWidth="1" style="22" min="769" max="769"/>
    <col width="26.28515625" customWidth="1" style="22" min="770" max="770"/>
    <col width="5.140625" customWidth="1" style="22" min="771" max="771"/>
    <col width="6.5703125" customWidth="1" style="22" min="772" max="772"/>
    <col width="6.140625" customWidth="1" style="22" min="773" max="773"/>
    <col width="10" customWidth="1" style="22" min="774" max="774"/>
    <col width="7.28515625" customWidth="1" style="22" min="775" max="775"/>
    <col width="7.7109375" customWidth="1" style="22" min="776" max="776"/>
    <col width="9.5703125" customWidth="1" style="22" min="777" max="777"/>
    <col width="9.85546875" customWidth="1" style="22" min="778" max="778"/>
    <col width="9" customWidth="1" style="22" min="779" max="780"/>
    <col width="16.5703125" customWidth="1" style="22" min="781" max="781"/>
    <col width="11.28515625" customWidth="1" style="22" min="782" max="782"/>
    <col width="7.5703125" customWidth="1" style="22" min="783" max="783"/>
    <col width="3.7109375" customWidth="1" style="22" min="784" max="784"/>
    <col width="9.140625" customWidth="1" style="22" min="785" max="785"/>
    <col width="10.28515625" customWidth="1" style="22" min="786" max="786"/>
    <col width="10" customWidth="1" style="22" min="787" max="787"/>
    <col width="9.85546875" customWidth="1" style="22" min="788" max="788"/>
    <col width="7.140625" customWidth="1" style="22" min="789" max="789"/>
    <col width="14.42578125" customWidth="1" style="22" min="790" max="790"/>
    <col width="11.5703125" customWidth="1" style="22" min="791" max="791"/>
    <col width="10" customWidth="1" style="22" min="792" max="792"/>
    <col width="7.28515625" customWidth="1" style="22" min="793" max="793"/>
    <col width="1.85546875" customWidth="1" style="22" min="794" max="794"/>
    <col width="10.7109375" customWidth="1" style="22" min="795" max="795"/>
    <col width="7.28515625" customWidth="1" style="22" min="796" max="796"/>
    <col width="3.5703125" customWidth="1" style="22" min="797" max="797"/>
    <col width="7" customWidth="1" style="22" min="798" max="798"/>
    <col width="15.85546875" customWidth="1" style="22" min="799" max="799"/>
    <col width="9.28515625" customWidth="1" style="22" min="800" max="800"/>
    <col width="9.7109375" customWidth="1" style="22" min="801" max="801"/>
    <col width="10.28515625" customWidth="1" style="22" min="802" max="803"/>
    <col width="9.5703125" customWidth="1" style="22" min="804" max="804"/>
    <col width="0.85546875" customWidth="1" style="22" min="805" max="1024"/>
    <col width="5.28515625" customWidth="1" style="22" min="1025" max="1025"/>
    <col width="26.28515625" customWidth="1" style="22" min="1026" max="1026"/>
    <col width="5.140625" customWidth="1" style="22" min="1027" max="1027"/>
    <col width="6.5703125" customWidth="1" style="22" min="1028" max="1028"/>
    <col width="6.140625" customWidth="1" style="22" min="1029" max="1029"/>
    <col width="10" customWidth="1" style="22" min="1030" max="1030"/>
    <col width="7.28515625" customWidth="1" style="22" min="1031" max="1031"/>
    <col width="7.7109375" customWidth="1" style="22" min="1032" max="1032"/>
    <col width="9.5703125" customWidth="1" style="22" min="1033" max="1033"/>
    <col width="9.85546875" customWidth="1" style="22" min="1034" max="1034"/>
    <col width="9" customWidth="1" style="22" min="1035" max="1036"/>
    <col width="16.5703125" customWidth="1" style="22" min="1037" max="1037"/>
    <col width="11.28515625" customWidth="1" style="22" min="1038" max="1038"/>
    <col width="7.5703125" customWidth="1" style="22" min="1039" max="1039"/>
    <col width="3.7109375" customWidth="1" style="22" min="1040" max="1040"/>
    <col width="9.140625" customWidth="1" style="22" min="1041" max="1041"/>
    <col width="10.28515625" customWidth="1" style="22" min="1042" max="1042"/>
    <col width="10" customWidth="1" style="22" min="1043" max="1043"/>
    <col width="9.85546875" customWidth="1" style="22" min="1044" max="1044"/>
    <col width="7.140625" customWidth="1" style="22" min="1045" max="1045"/>
    <col width="14.42578125" customWidth="1" style="22" min="1046" max="1046"/>
    <col width="11.5703125" customWidth="1" style="22" min="1047" max="1047"/>
    <col width="10" customWidth="1" style="22" min="1048" max="1048"/>
    <col width="7.28515625" customWidth="1" style="22" min="1049" max="1049"/>
    <col width="1.85546875" customWidth="1" style="22" min="1050" max="1050"/>
    <col width="10.7109375" customWidth="1" style="22" min="1051" max="1051"/>
    <col width="7.28515625" customWidth="1" style="22" min="1052" max="1052"/>
    <col width="3.5703125" customWidth="1" style="22" min="1053" max="1053"/>
    <col width="7" customWidth="1" style="22" min="1054" max="1054"/>
    <col width="15.85546875" customWidth="1" style="22" min="1055" max="1055"/>
    <col width="9.28515625" customWidth="1" style="22" min="1056" max="1056"/>
    <col width="9.7109375" customWidth="1" style="22" min="1057" max="1057"/>
    <col width="10.28515625" customWidth="1" style="22" min="1058" max="1059"/>
    <col width="9.5703125" customWidth="1" style="22" min="1060" max="1060"/>
    <col width="0.85546875" customWidth="1" style="22" min="1061" max="1280"/>
    <col width="5.28515625" customWidth="1" style="22" min="1281" max="1281"/>
    <col width="26.28515625" customWidth="1" style="22" min="1282" max="1282"/>
    <col width="5.140625" customWidth="1" style="22" min="1283" max="1283"/>
    <col width="6.5703125" customWidth="1" style="22" min="1284" max="1284"/>
    <col width="6.140625" customWidth="1" style="22" min="1285" max="1285"/>
    <col width="10" customWidth="1" style="22" min="1286" max="1286"/>
    <col width="7.28515625" customWidth="1" style="22" min="1287" max="1287"/>
    <col width="7.7109375" customWidth="1" style="22" min="1288" max="1288"/>
    <col width="9.5703125" customWidth="1" style="22" min="1289" max="1289"/>
    <col width="9.85546875" customWidth="1" style="22" min="1290" max="1290"/>
    <col width="9" customWidth="1" style="22" min="1291" max="1292"/>
    <col width="16.5703125" customWidth="1" style="22" min="1293" max="1293"/>
    <col width="11.28515625" customWidth="1" style="22" min="1294" max="1294"/>
    <col width="7.5703125" customWidth="1" style="22" min="1295" max="1295"/>
    <col width="3.7109375" customWidth="1" style="22" min="1296" max="1296"/>
    <col width="9.140625" customWidth="1" style="22" min="1297" max="1297"/>
    <col width="10.28515625" customWidth="1" style="22" min="1298" max="1298"/>
    <col width="10" customWidth="1" style="22" min="1299" max="1299"/>
    <col width="9.85546875" customWidth="1" style="22" min="1300" max="1300"/>
    <col width="7.140625" customWidth="1" style="22" min="1301" max="1301"/>
    <col width="14.42578125" customWidth="1" style="22" min="1302" max="1302"/>
    <col width="11.5703125" customWidth="1" style="22" min="1303" max="1303"/>
    <col width="10" customWidth="1" style="22" min="1304" max="1304"/>
    <col width="7.28515625" customWidth="1" style="22" min="1305" max="1305"/>
    <col width="1.85546875" customWidth="1" style="22" min="1306" max="1306"/>
    <col width="10.7109375" customWidth="1" style="22" min="1307" max="1307"/>
    <col width="7.28515625" customWidth="1" style="22" min="1308" max="1308"/>
    <col width="3.5703125" customWidth="1" style="22" min="1309" max="1309"/>
    <col width="7" customWidth="1" style="22" min="1310" max="1310"/>
    <col width="15.85546875" customWidth="1" style="22" min="1311" max="1311"/>
    <col width="9.28515625" customWidth="1" style="22" min="1312" max="1312"/>
    <col width="9.7109375" customWidth="1" style="22" min="1313" max="1313"/>
    <col width="10.28515625" customWidth="1" style="22" min="1314" max="1315"/>
    <col width="9.5703125" customWidth="1" style="22" min="1316" max="1316"/>
    <col width="0.85546875" customWidth="1" style="22" min="1317" max="1536"/>
    <col width="5.28515625" customWidth="1" style="22" min="1537" max="1537"/>
    <col width="26.28515625" customWidth="1" style="22" min="1538" max="1538"/>
    <col width="5.140625" customWidth="1" style="22" min="1539" max="1539"/>
    <col width="6.5703125" customWidth="1" style="22" min="1540" max="1540"/>
    <col width="6.140625" customWidth="1" style="22" min="1541" max="1541"/>
    <col width="10" customWidth="1" style="22" min="1542" max="1542"/>
    <col width="7.28515625" customWidth="1" style="22" min="1543" max="1543"/>
    <col width="7.7109375" customWidth="1" style="22" min="1544" max="1544"/>
    <col width="9.5703125" customWidth="1" style="22" min="1545" max="1545"/>
    <col width="9.85546875" customWidth="1" style="22" min="1546" max="1546"/>
    <col width="9" customWidth="1" style="22" min="1547" max="1548"/>
    <col width="16.5703125" customWidth="1" style="22" min="1549" max="1549"/>
    <col width="11.28515625" customWidth="1" style="22" min="1550" max="1550"/>
    <col width="7.5703125" customWidth="1" style="22" min="1551" max="1551"/>
    <col width="3.7109375" customWidth="1" style="22" min="1552" max="1552"/>
    <col width="9.140625" customWidth="1" style="22" min="1553" max="1553"/>
    <col width="10.28515625" customWidth="1" style="22" min="1554" max="1554"/>
    <col width="10" customWidth="1" style="22" min="1555" max="1555"/>
    <col width="9.85546875" customWidth="1" style="22" min="1556" max="1556"/>
    <col width="7.140625" customWidth="1" style="22" min="1557" max="1557"/>
    <col width="14.42578125" customWidth="1" style="22" min="1558" max="1558"/>
    <col width="11.5703125" customWidth="1" style="22" min="1559" max="1559"/>
    <col width="10" customWidth="1" style="22" min="1560" max="1560"/>
    <col width="7.28515625" customWidth="1" style="22" min="1561" max="1561"/>
    <col width="1.85546875" customWidth="1" style="22" min="1562" max="1562"/>
    <col width="10.7109375" customWidth="1" style="22" min="1563" max="1563"/>
    <col width="7.28515625" customWidth="1" style="22" min="1564" max="1564"/>
    <col width="3.5703125" customWidth="1" style="22" min="1565" max="1565"/>
    <col width="7" customWidth="1" style="22" min="1566" max="1566"/>
    <col width="15.85546875" customWidth="1" style="22" min="1567" max="1567"/>
    <col width="9.28515625" customWidth="1" style="22" min="1568" max="1568"/>
    <col width="9.7109375" customWidth="1" style="22" min="1569" max="1569"/>
    <col width="10.28515625" customWidth="1" style="22" min="1570" max="1571"/>
    <col width="9.5703125" customWidth="1" style="22" min="1572" max="1572"/>
    <col width="0.85546875" customWidth="1" style="22" min="1573" max="1792"/>
    <col width="5.28515625" customWidth="1" style="22" min="1793" max="1793"/>
    <col width="26.28515625" customWidth="1" style="22" min="1794" max="1794"/>
    <col width="5.140625" customWidth="1" style="22" min="1795" max="1795"/>
    <col width="6.5703125" customWidth="1" style="22" min="1796" max="1796"/>
    <col width="6.140625" customWidth="1" style="22" min="1797" max="1797"/>
    <col width="10" customWidth="1" style="22" min="1798" max="1798"/>
    <col width="7.28515625" customWidth="1" style="22" min="1799" max="1799"/>
    <col width="7.7109375" customWidth="1" style="22" min="1800" max="1800"/>
    <col width="9.5703125" customWidth="1" style="22" min="1801" max="1801"/>
    <col width="9.85546875" customWidth="1" style="22" min="1802" max="1802"/>
    <col width="9" customWidth="1" style="22" min="1803" max="1804"/>
    <col width="16.5703125" customWidth="1" style="22" min="1805" max="1805"/>
    <col width="11.28515625" customWidth="1" style="22" min="1806" max="1806"/>
    <col width="7.5703125" customWidth="1" style="22" min="1807" max="1807"/>
    <col width="3.7109375" customWidth="1" style="22" min="1808" max="1808"/>
    <col width="9.140625" customWidth="1" style="22" min="1809" max="1809"/>
    <col width="10.28515625" customWidth="1" style="22" min="1810" max="1810"/>
    <col width="10" customWidth="1" style="22" min="1811" max="1811"/>
    <col width="9.85546875" customWidth="1" style="22" min="1812" max="1812"/>
    <col width="7.140625" customWidth="1" style="22" min="1813" max="1813"/>
    <col width="14.42578125" customWidth="1" style="22" min="1814" max="1814"/>
    <col width="11.5703125" customWidth="1" style="22" min="1815" max="1815"/>
    <col width="10" customWidth="1" style="22" min="1816" max="1816"/>
    <col width="7.28515625" customWidth="1" style="22" min="1817" max="1817"/>
    <col width="1.85546875" customWidth="1" style="22" min="1818" max="1818"/>
    <col width="10.7109375" customWidth="1" style="22" min="1819" max="1819"/>
    <col width="7.28515625" customWidth="1" style="22" min="1820" max="1820"/>
    <col width="3.5703125" customWidth="1" style="22" min="1821" max="1821"/>
    <col width="7" customWidth="1" style="22" min="1822" max="1822"/>
    <col width="15.85546875" customWidth="1" style="22" min="1823" max="1823"/>
    <col width="9.28515625" customWidth="1" style="22" min="1824" max="1824"/>
    <col width="9.7109375" customWidth="1" style="22" min="1825" max="1825"/>
    <col width="10.28515625" customWidth="1" style="22" min="1826" max="1827"/>
    <col width="9.5703125" customWidth="1" style="22" min="1828" max="1828"/>
    <col width="0.85546875" customWidth="1" style="22" min="1829" max="2048"/>
    <col width="5.28515625" customWidth="1" style="22" min="2049" max="2049"/>
    <col width="26.28515625" customWidth="1" style="22" min="2050" max="2050"/>
    <col width="5.140625" customWidth="1" style="22" min="2051" max="2051"/>
    <col width="6.5703125" customWidth="1" style="22" min="2052" max="2052"/>
    <col width="6.140625" customWidth="1" style="22" min="2053" max="2053"/>
    <col width="10" customWidth="1" style="22" min="2054" max="2054"/>
    <col width="7.28515625" customWidth="1" style="22" min="2055" max="2055"/>
    <col width="7.7109375" customWidth="1" style="22" min="2056" max="2056"/>
    <col width="9.5703125" customWidth="1" style="22" min="2057" max="2057"/>
    <col width="9.85546875" customWidth="1" style="22" min="2058" max="2058"/>
    <col width="9" customWidth="1" style="22" min="2059" max="2060"/>
    <col width="16.5703125" customWidth="1" style="22" min="2061" max="2061"/>
    <col width="11.28515625" customWidth="1" style="22" min="2062" max="2062"/>
    <col width="7.5703125" customWidth="1" style="22" min="2063" max="2063"/>
    <col width="3.7109375" customWidth="1" style="22" min="2064" max="2064"/>
    <col width="9.140625" customWidth="1" style="22" min="2065" max="2065"/>
    <col width="10.28515625" customWidth="1" style="22" min="2066" max="2066"/>
    <col width="10" customWidth="1" style="22" min="2067" max="2067"/>
    <col width="9.85546875" customWidth="1" style="22" min="2068" max="2068"/>
    <col width="7.140625" customWidth="1" style="22" min="2069" max="2069"/>
    <col width="14.42578125" customWidth="1" style="22" min="2070" max="2070"/>
    <col width="11.5703125" customWidth="1" style="22" min="2071" max="2071"/>
    <col width="10" customWidth="1" style="22" min="2072" max="2072"/>
    <col width="7.28515625" customWidth="1" style="22" min="2073" max="2073"/>
    <col width="1.85546875" customWidth="1" style="22" min="2074" max="2074"/>
    <col width="10.7109375" customWidth="1" style="22" min="2075" max="2075"/>
    <col width="7.28515625" customWidth="1" style="22" min="2076" max="2076"/>
    <col width="3.5703125" customWidth="1" style="22" min="2077" max="2077"/>
    <col width="7" customWidth="1" style="22" min="2078" max="2078"/>
    <col width="15.85546875" customWidth="1" style="22" min="2079" max="2079"/>
    <col width="9.28515625" customWidth="1" style="22" min="2080" max="2080"/>
    <col width="9.7109375" customWidth="1" style="22" min="2081" max="2081"/>
    <col width="10.28515625" customWidth="1" style="22" min="2082" max="2083"/>
    <col width="9.5703125" customWidth="1" style="22" min="2084" max="2084"/>
    <col width="0.85546875" customWidth="1" style="22" min="2085" max="2304"/>
    <col width="5.28515625" customWidth="1" style="22" min="2305" max="2305"/>
    <col width="26.28515625" customWidth="1" style="22" min="2306" max="2306"/>
    <col width="5.140625" customWidth="1" style="22" min="2307" max="2307"/>
    <col width="6.5703125" customWidth="1" style="22" min="2308" max="2308"/>
    <col width="6.140625" customWidth="1" style="22" min="2309" max="2309"/>
    <col width="10" customWidth="1" style="22" min="2310" max="2310"/>
    <col width="7.28515625" customWidth="1" style="22" min="2311" max="2311"/>
    <col width="7.7109375" customWidth="1" style="22" min="2312" max="2312"/>
    <col width="9.5703125" customWidth="1" style="22" min="2313" max="2313"/>
    <col width="9.85546875" customWidth="1" style="22" min="2314" max="2314"/>
    <col width="9" customWidth="1" style="22" min="2315" max="2316"/>
    <col width="16.5703125" customWidth="1" style="22" min="2317" max="2317"/>
    <col width="11.28515625" customWidth="1" style="22" min="2318" max="2318"/>
    <col width="7.5703125" customWidth="1" style="22" min="2319" max="2319"/>
    <col width="3.7109375" customWidth="1" style="22" min="2320" max="2320"/>
    <col width="9.140625" customWidth="1" style="22" min="2321" max="2321"/>
    <col width="10.28515625" customWidth="1" style="22" min="2322" max="2322"/>
    <col width="10" customWidth="1" style="22" min="2323" max="2323"/>
    <col width="9.85546875" customWidth="1" style="22" min="2324" max="2324"/>
    <col width="7.140625" customWidth="1" style="22" min="2325" max="2325"/>
    <col width="14.42578125" customWidth="1" style="22" min="2326" max="2326"/>
    <col width="11.5703125" customWidth="1" style="22" min="2327" max="2327"/>
    <col width="10" customWidth="1" style="22" min="2328" max="2328"/>
    <col width="7.28515625" customWidth="1" style="22" min="2329" max="2329"/>
    <col width="1.85546875" customWidth="1" style="22" min="2330" max="2330"/>
    <col width="10.7109375" customWidth="1" style="22" min="2331" max="2331"/>
    <col width="7.28515625" customWidth="1" style="22" min="2332" max="2332"/>
    <col width="3.5703125" customWidth="1" style="22" min="2333" max="2333"/>
    <col width="7" customWidth="1" style="22" min="2334" max="2334"/>
    <col width="15.85546875" customWidth="1" style="22" min="2335" max="2335"/>
    <col width="9.28515625" customWidth="1" style="22" min="2336" max="2336"/>
    <col width="9.7109375" customWidth="1" style="22" min="2337" max="2337"/>
    <col width="10.28515625" customWidth="1" style="22" min="2338" max="2339"/>
    <col width="9.5703125" customWidth="1" style="22" min="2340" max="2340"/>
    <col width="0.85546875" customWidth="1" style="22" min="2341" max="2560"/>
    <col width="5.28515625" customWidth="1" style="22" min="2561" max="2561"/>
    <col width="26.28515625" customWidth="1" style="22" min="2562" max="2562"/>
    <col width="5.140625" customWidth="1" style="22" min="2563" max="2563"/>
    <col width="6.5703125" customWidth="1" style="22" min="2564" max="2564"/>
    <col width="6.140625" customWidth="1" style="22" min="2565" max="2565"/>
    <col width="10" customWidth="1" style="22" min="2566" max="2566"/>
    <col width="7.28515625" customWidth="1" style="22" min="2567" max="2567"/>
    <col width="7.7109375" customWidth="1" style="22" min="2568" max="2568"/>
    <col width="9.5703125" customWidth="1" style="22" min="2569" max="2569"/>
    <col width="9.85546875" customWidth="1" style="22" min="2570" max="2570"/>
    <col width="9" customWidth="1" style="22" min="2571" max="2572"/>
    <col width="16.5703125" customWidth="1" style="22" min="2573" max="2573"/>
    <col width="11.28515625" customWidth="1" style="22" min="2574" max="2574"/>
    <col width="7.5703125" customWidth="1" style="22" min="2575" max="2575"/>
    <col width="3.7109375" customWidth="1" style="22" min="2576" max="2576"/>
    <col width="9.140625" customWidth="1" style="22" min="2577" max="2577"/>
    <col width="10.28515625" customWidth="1" style="22" min="2578" max="2578"/>
    <col width="10" customWidth="1" style="22" min="2579" max="2579"/>
    <col width="9.85546875" customWidth="1" style="22" min="2580" max="2580"/>
    <col width="7.140625" customWidth="1" style="22" min="2581" max="2581"/>
    <col width="14.42578125" customWidth="1" style="22" min="2582" max="2582"/>
    <col width="11.5703125" customWidth="1" style="22" min="2583" max="2583"/>
    <col width="10" customWidth="1" style="22" min="2584" max="2584"/>
    <col width="7.28515625" customWidth="1" style="22" min="2585" max="2585"/>
    <col width="1.85546875" customWidth="1" style="22" min="2586" max="2586"/>
    <col width="10.7109375" customWidth="1" style="22" min="2587" max="2587"/>
    <col width="7.28515625" customWidth="1" style="22" min="2588" max="2588"/>
    <col width="3.5703125" customWidth="1" style="22" min="2589" max="2589"/>
    <col width="7" customWidth="1" style="22" min="2590" max="2590"/>
    <col width="15.85546875" customWidth="1" style="22" min="2591" max="2591"/>
    <col width="9.28515625" customWidth="1" style="22" min="2592" max="2592"/>
    <col width="9.7109375" customWidth="1" style="22" min="2593" max="2593"/>
    <col width="10.28515625" customWidth="1" style="22" min="2594" max="2595"/>
    <col width="9.5703125" customWidth="1" style="22" min="2596" max="2596"/>
    <col width="0.85546875" customWidth="1" style="22" min="2597" max="2816"/>
    <col width="5.28515625" customWidth="1" style="22" min="2817" max="2817"/>
    <col width="26.28515625" customWidth="1" style="22" min="2818" max="2818"/>
    <col width="5.140625" customWidth="1" style="22" min="2819" max="2819"/>
    <col width="6.5703125" customWidth="1" style="22" min="2820" max="2820"/>
    <col width="6.140625" customWidth="1" style="22" min="2821" max="2821"/>
    <col width="10" customWidth="1" style="22" min="2822" max="2822"/>
    <col width="7.28515625" customWidth="1" style="22" min="2823" max="2823"/>
    <col width="7.7109375" customWidth="1" style="22" min="2824" max="2824"/>
    <col width="9.5703125" customWidth="1" style="22" min="2825" max="2825"/>
    <col width="9.85546875" customWidth="1" style="22" min="2826" max="2826"/>
    <col width="9" customWidth="1" style="22" min="2827" max="2828"/>
    <col width="16.5703125" customWidth="1" style="22" min="2829" max="2829"/>
    <col width="11.28515625" customWidth="1" style="22" min="2830" max="2830"/>
    <col width="7.5703125" customWidth="1" style="22" min="2831" max="2831"/>
    <col width="3.7109375" customWidth="1" style="22" min="2832" max="2832"/>
    <col width="9.140625" customWidth="1" style="22" min="2833" max="2833"/>
    <col width="10.28515625" customWidth="1" style="22" min="2834" max="2834"/>
    <col width="10" customWidth="1" style="22" min="2835" max="2835"/>
    <col width="9.85546875" customWidth="1" style="22" min="2836" max="2836"/>
    <col width="7.140625" customWidth="1" style="22" min="2837" max="2837"/>
    <col width="14.42578125" customWidth="1" style="22" min="2838" max="2838"/>
    <col width="11.5703125" customWidth="1" style="22" min="2839" max="2839"/>
    <col width="10" customWidth="1" style="22" min="2840" max="2840"/>
    <col width="7.28515625" customWidth="1" style="22" min="2841" max="2841"/>
    <col width="1.85546875" customWidth="1" style="22" min="2842" max="2842"/>
    <col width="10.7109375" customWidth="1" style="22" min="2843" max="2843"/>
    <col width="7.28515625" customWidth="1" style="22" min="2844" max="2844"/>
    <col width="3.5703125" customWidth="1" style="22" min="2845" max="2845"/>
    <col width="7" customWidth="1" style="22" min="2846" max="2846"/>
    <col width="15.85546875" customWidth="1" style="22" min="2847" max="2847"/>
    <col width="9.28515625" customWidth="1" style="22" min="2848" max="2848"/>
    <col width="9.7109375" customWidth="1" style="22" min="2849" max="2849"/>
    <col width="10.28515625" customWidth="1" style="22" min="2850" max="2851"/>
    <col width="9.5703125" customWidth="1" style="22" min="2852" max="2852"/>
    <col width="0.85546875" customWidth="1" style="22" min="2853" max="3072"/>
    <col width="5.28515625" customWidth="1" style="22" min="3073" max="3073"/>
    <col width="26.28515625" customWidth="1" style="22" min="3074" max="3074"/>
    <col width="5.140625" customWidth="1" style="22" min="3075" max="3075"/>
    <col width="6.5703125" customWidth="1" style="22" min="3076" max="3076"/>
    <col width="6.140625" customWidth="1" style="22" min="3077" max="3077"/>
    <col width="10" customWidth="1" style="22" min="3078" max="3078"/>
    <col width="7.28515625" customWidth="1" style="22" min="3079" max="3079"/>
    <col width="7.7109375" customWidth="1" style="22" min="3080" max="3080"/>
    <col width="9.5703125" customWidth="1" style="22" min="3081" max="3081"/>
    <col width="9.85546875" customWidth="1" style="22" min="3082" max="3082"/>
    <col width="9" customWidth="1" style="22" min="3083" max="3084"/>
    <col width="16.5703125" customWidth="1" style="22" min="3085" max="3085"/>
    <col width="11.28515625" customWidth="1" style="22" min="3086" max="3086"/>
    <col width="7.5703125" customWidth="1" style="22" min="3087" max="3087"/>
    <col width="3.7109375" customWidth="1" style="22" min="3088" max="3088"/>
    <col width="9.140625" customWidth="1" style="22" min="3089" max="3089"/>
    <col width="10.28515625" customWidth="1" style="22" min="3090" max="3090"/>
    <col width="10" customWidth="1" style="22" min="3091" max="3091"/>
    <col width="9.85546875" customWidth="1" style="22" min="3092" max="3092"/>
    <col width="7.140625" customWidth="1" style="22" min="3093" max="3093"/>
    <col width="14.42578125" customWidth="1" style="22" min="3094" max="3094"/>
    <col width="11.5703125" customWidth="1" style="22" min="3095" max="3095"/>
    <col width="10" customWidth="1" style="22" min="3096" max="3096"/>
    <col width="7.28515625" customWidth="1" style="22" min="3097" max="3097"/>
    <col width="1.85546875" customWidth="1" style="22" min="3098" max="3098"/>
    <col width="10.7109375" customWidth="1" style="22" min="3099" max="3099"/>
    <col width="7.28515625" customWidth="1" style="22" min="3100" max="3100"/>
    <col width="3.5703125" customWidth="1" style="22" min="3101" max="3101"/>
    <col width="7" customWidth="1" style="22" min="3102" max="3102"/>
    <col width="15.85546875" customWidth="1" style="22" min="3103" max="3103"/>
    <col width="9.28515625" customWidth="1" style="22" min="3104" max="3104"/>
    <col width="9.7109375" customWidth="1" style="22" min="3105" max="3105"/>
    <col width="10.28515625" customWidth="1" style="22" min="3106" max="3107"/>
    <col width="9.5703125" customWidth="1" style="22" min="3108" max="3108"/>
    <col width="0.85546875" customWidth="1" style="22" min="3109" max="3328"/>
    <col width="5.28515625" customWidth="1" style="22" min="3329" max="3329"/>
    <col width="26.28515625" customWidth="1" style="22" min="3330" max="3330"/>
    <col width="5.140625" customWidth="1" style="22" min="3331" max="3331"/>
    <col width="6.5703125" customWidth="1" style="22" min="3332" max="3332"/>
    <col width="6.140625" customWidth="1" style="22" min="3333" max="3333"/>
    <col width="10" customWidth="1" style="22" min="3334" max="3334"/>
    <col width="7.28515625" customWidth="1" style="22" min="3335" max="3335"/>
    <col width="7.7109375" customWidth="1" style="22" min="3336" max="3336"/>
    <col width="9.5703125" customWidth="1" style="22" min="3337" max="3337"/>
    <col width="9.85546875" customWidth="1" style="22" min="3338" max="3338"/>
    <col width="9" customWidth="1" style="22" min="3339" max="3340"/>
    <col width="16.5703125" customWidth="1" style="22" min="3341" max="3341"/>
    <col width="11.28515625" customWidth="1" style="22" min="3342" max="3342"/>
    <col width="7.5703125" customWidth="1" style="22" min="3343" max="3343"/>
    <col width="3.7109375" customWidth="1" style="22" min="3344" max="3344"/>
    <col width="9.140625" customWidth="1" style="22" min="3345" max="3345"/>
    <col width="10.28515625" customWidth="1" style="22" min="3346" max="3346"/>
    <col width="10" customWidth="1" style="22" min="3347" max="3347"/>
    <col width="9.85546875" customWidth="1" style="22" min="3348" max="3348"/>
    <col width="7.140625" customWidth="1" style="22" min="3349" max="3349"/>
    <col width="14.42578125" customWidth="1" style="22" min="3350" max="3350"/>
    <col width="11.5703125" customWidth="1" style="22" min="3351" max="3351"/>
    <col width="10" customWidth="1" style="22" min="3352" max="3352"/>
    <col width="7.28515625" customWidth="1" style="22" min="3353" max="3353"/>
    <col width="1.85546875" customWidth="1" style="22" min="3354" max="3354"/>
    <col width="10.7109375" customWidth="1" style="22" min="3355" max="3355"/>
    <col width="7.28515625" customWidth="1" style="22" min="3356" max="3356"/>
    <col width="3.5703125" customWidth="1" style="22" min="3357" max="3357"/>
    <col width="7" customWidth="1" style="22" min="3358" max="3358"/>
    <col width="15.85546875" customWidth="1" style="22" min="3359" max="3359"/>
    <col width="9.28515625" customWidth="1" style="22" min="3360" max="3360"/>
    <col width="9.7109375" customWidth="1" style="22" min="3361" max="3361"/>
    <col width="10.28515625" customWidth="1" style="22" min="3362" max="3363"/>
    <col width="9.5703125" customWidth="1" style="22" min="3364" max="3364"/>
    <col width="0.85546875" customWidth="1" style="22" min="3365" max="3584"/>
    <col width="5.28515625" customWidth="1" style="22" min="3585" max="3585"/>
    <col width="26.28515625" customWidth="1" style="22" min="3586" max="3586"/>
    <col width="5.140625" customWidth="1" style="22" min="3587" max="3587"/>
    <col width="6.5703125" customWidth="1" style="22" min="3588" max="3588"/>
    <col width="6.140625" customWidth="1" style="22" min="3589" max="3589"/>
    <col width="10" customWidth="1" style="22" min="3590" max="3590"/>
    <col width="7.28515625" customWidth="1" style="22" min="3591" max="3591"/>
    <col width="7.7109375" customWidth="1" style="22" min="3592" max="3592"/>
    <col width="9.5703125" customWidth="1" style="22" min="3593" max="3593"/>
    <col width="9.85546875" customWidth="1" style="22" min="3594" max="3594"/>
    <col width="9" customWidth="1" style="22" min="3595" max="3596"/>
    <col width="16.5703125" customWidth="1" style="22" min="3597" max="3597"/>
    <col width="11.28515625" customWidth="1" style="22" min="3598" max="3598"/>
    <col width="7.5703125" customWidth="1" style="22" min="3599" max="3599"/>
    <col width="3.7109375" customWidth="1" style="22" min="3600" max="3600"/>
    <col width="9.140625" customWidth="1" style="22" min="3601" max="3601"/>
    <col width="10.28515625" customWidth="1" style="22" min="3602" max="3602"/>
    <col width="10" customWidth="1" style="22" min="3603" max="3603"/>
    <col width="9.85546875" customWidth="1" style="22" min="3604" max="3604"/>
    <col width="7.140625" customWidth="1" style="22" min="3605" max="3605"/>
    <col width="14.42578125" customWidth="1" style="22" min="3606" max="3606"/>
    <col width="11.5703125" customWidth="1" style="22" min="3607" max="3607"/>
    <col width="10" customWidth="1" style="22" min="3608" max="3608"/>
    <col width="7.28515625" customWidth="1" style="22" min="3609" max="3609"/>
    <col width="1.85546875" customWidth="1" style="22" min="3610" max="3610"/>
    <col width="10.7109375" customWidth="1" style="22" min="3611" max="3611"/>
    <col width="7.28515625" customWidth="1" style="22" min="3612" max="3612"/>
    <col width="3.5703125" customWidth="1" style="22" min="3613" max="3613"/>
    <col width="7" customWidth="1" style="22" min="3614" max="3614"/>
    <col width="15.85546875" customWidth="1" style="22" min="3615" max="3615"/>
    <col width="9.28515625" customWidth="1" style="22" min="3616" max="3616"/>
    <col width="9.7109375" customWidth="1" style="22" min="3617" max="3617"/>
    <col width="10.28515625" customWidth="1" style="22" min="3618" max="3619"/>
    <col width="9.5703125" customWidth="1" style="22" min="3620" max="3620"/>
    <col width="0.85546875" customWidth="1" style="22" min="3621" max="3840"/>
    <col width="5.28515625" customWidth="1" style="22" min="3841" max="3841"/>
    <col width="26.28515625" customWidth="1" style="22" min="3842" max="3842"/>
    <col width="5.140625" customWidth="1" style="22" min="3843" max="3843"/>
    <col width="6.5703125" customWidth="1" style="22" min="3844" max="3844"/>
    <col width="6.140625" customWidth="1" style="22" min="3845" max="3845"/>
    <col width="10" customWidth="1" style="22" min="3846" max="3846"/>
    <col width="7.28515625" customWidth="1" style="22" min="3847" max="3847"/>
    <col width="7.7109375" customWidth="1" style="22" min="3848" max="3848"/>
    <col width="9.5703125" customWidth="1" style="22" min="3849" max="3849"/>
    <col width="9.85546875" customWidth="1" style="22" min="3850" max="3850"/>
    <col width="9" customWidth="1" style="22" min="3851" max="3852"/>
    <col width="16.5703125" customWidth="1" style="22" min="3853" max="3853"/>
    <col width="11.28515625" customWidth="1" style="22" min="3854" max="3854"/>
    <col width="7.5703125" customWidth="1" style="22" min="3855" max="3855"/>
    <col width="3.7109375" customWidth="1" style="22" min="3856" max="3856"/>
    <col width="9.140625" customWidth="1" style="22" min="3857" max="3857"/>
    <col width="10.28515625" customWidth="1" style="22" min="3858" max="3858"/>
    <col width="10" customWidth="1" style="22" min="3859" max="3859"/>
    <col width="9.85546875" customWidth="1" style="22" min="3860" max="3860"/>
    <col width="7.140625" customWidth="1" style="22" min="3861" max="3861"/>
    <col width="14.42578125" customWidth="1" style="22" min="3862" max="3862"/>
    <col width="11.5703125" customWidth="1" style="22" min="3863" max="3863"/>
    <col width="10" customWidth="1" style="22" min="3864" max="3864"/>
    <col width="7.28515625" customWidth="1" style="22" min="3865" max="3865"/>
    <col width="1.85546875" customWidth="1" style="22" min="3866" max="3866"/>
    <col width="10.7109375" customWidth="1" style="22" min="3867" max="3867"/>
    <col width="7.28515625" customWidth="1" style="22" min="3868" max="3868"/>
    <col width="3.5703125" customWidth="1" style="22" min="3869" max="3869"/>
    <col width="7" customWidth="1" style="22" min="3870" max="3870"/>
    <col width="15.85546875" customWidth="1" style="22" min="3871" max="3871"/>
    <col width="9.28515625" customWidth="1" style="22" min="3872" max="3872"/>
    <col width="9.7109375" customWidth="1" style="22" min="3873" max="3873"/>
    <col width="10.28515625" customWidth="1" style="22" min="3874" max="3875"/>
    <col width="9.5703125" customWidth="1" style="22" min="3876" max="3876"/>
    <col width="0.85546875" customWidth="1" style="22" min="3877" max="4096"/>
    <col width="5.28515625" customWidth="1" style="22" min="4097" max="4097"/>
    <col width="26.28515625" customWidth="1" style="22" min="4098" max="4098"/>
    <col width="5.140625" customWidth="1" style="22" min="4099" max="4099"/>
    <col width="6.5703125" customWidth="1" style="22" min="4100" max="4100"/>
    <col width="6.140625" customWidth="1" style="22" min="4101" max="4101"/>
    <col width="10" customWidth="1" style="22" min="4102" max="4102"/>
    <col width="7.28515625" customWidth="1" style="22" min="4103" max="4103"/>
    <col width="7.7109375" customWidth="1" style="22" min="4104" max="4104"/>
    <col width="9.5703125" customWidth="1" style="22" min="4105" max="4105"/>
    <col width="9.85546875" customWidth="1" style="22" min="4106" max="4106"/>
    <col width="9" customWidth="1" style="22" min="4107" max="4108"/>
    <col width="16.5703125" customWidth="1" style="22" min="4109" max="4109"/>
    <col width="11.28515625" customWidth="1" style="22" min="4110" max="4110"/>
    <col width="7.5703125" customWidth="1" style="22" min="4111" max="4111"/>
    <col width="3.7109375" customWidth="1" style="22" min="4112" max="4112"/>
    <col width="9.140625" customWidth="1" style="22" min="4113" max="4113"/>
    <col width="10.28515625" customWidth="1" style="22" min="4114" max="4114"/>
    <col width="10" customWidth="1" style="22" min="4115" max="4115"/>
    <col width="9.85546875" customWidth="1" style="22" min="4116" max="4116"/>
    <col width="7.140625" customWidth="1" style="22" min="4117" max="4117"/>
    <col width="14.42578125" customWidth="1" style="22" min="4118" max="4118"/>
    <col width="11.5703125" customWidth="1" style="22" min="4119" max="4119"/>
    <col width="10" customWidth="1" style="22" min="4120" max="4120"/>
    <col width="7.28515625" customWidth="1" style="22" min="4121" max="4121"/>
    <col width="1.85546875" customWidth="1" style="22" min="4122" max="4122"/>
    <col width="10.7109375" customWidth="1" style="22" min="4123" max="4123"/>
    <col width="7.28515625" customWidth="1" style="22" min="4124" max="4124"/>
    <col width="3.5703125" customWidth="1" style="22" min="4125" max="4125"/>
    <col width="7" customWidth="1" style="22" min="4126" max="4126"/>
    <col width="15.85546875" customWidth="1" style="22" min="4127" max="4127"/>
    <col width="9.28515625" customWidth="1" style="22" min="4128" max="4128"/>
    <col width="9.7109375" customWidth="1" style="22" min="4129" max="4129"/>
    <col width="10.28515625" customWidth="1" style="22" min="4130" max="4131"/>
    <col width="9.5703125" customWidth="1" style="22" min="4132" max="4132"/>
    <col width="0.85546875" customWidth="1" style="22" min="4133" max="4352"/>
    <col width="5.28515625" customWidth="1" style="22" min="4353" max="4353"/>
    <col width="26.28515625" customWidth="1" style="22" min="4354" max="4354"/>
    <col width="5.140625" customWidth="1" style="22" min="4355" max="4355"/>
    <col width="6.5703125" customWidth="1" style="22" min="4356" max="4356"/>
    <col width="6.140625" customWidth="1" style="22" min="4357" max="4357"/>
    <col width="10" customWidth="1" style="22" min="4358" max="4358"/>
    <col width="7.28515625" customWidth="1" style="22" min="4359" max="4359"/>
    <col width="7.7109375" customWidth="1" style="22" min="4360" max="4360"/>
    <col width="9.5703125" customWidth="1" style="22" min="4361" max="4361"/>
    <col width="9.85546875" customWidth="1" style="22" min="4362" max="4362"/>
    <col width="9" customWidth="1" style="22" min="4363" max="4364"/>
    <col width="16.5703125" customWidth="1" style="22" min="4365" max="4365"/>
    <col width="11.28515625" customWidth="1" style="22" min="4366" max="4366"/>
    <col width="7.5703125" customWidth="1" style="22" min="4367" max="4367"/>
    <col width="3.7109375" customWidth="1" style="22" min="4368" max="4368"/>
    <col width="9.140625" customWidth="1" style="22" min="4369" max="4369"/>
    <col width="10.28515625" customWidth="1" style="22" min="4370" max="4370"/>
    <col width="10" customWidth="1" style="22" min="4371" max="4371"/>
    <col width="9.85546875" customWidth="1" style="22" min="4372" max="4372"/>
    <col width="7.140625" customWidth="1" style="22" min="4373" max="4373"/>
    <col width="14.42578125" customWidth="1" style="22" min="4374" max="4374"/>
    <col width="11.5703125" customWidth="1" style="22" min="4375" max="4375"/>
    <col width="10" customWidth="1" style="22" min="4376" max="4376"/>
    <col width="7.28515625" customWidth="1" style="22" min="4377" max="4377"/>
    <col width="1.85546875" customWidth="1" style="22" min="4378" max="4378"/>
    <col width="10.7109375" customWidth="1" style="22" min="4379" max="4379"/>
    <col width="7.28515625" customWidth="1" style="22" min="4380" max="4380"/>
    <col width="3.5703125" customWidth="1" style="22" min="4381" max="4381"/>
    <col width="7" customWidth="1" style="22" min="4382" max="4382"/>
    <col width="15.85546875" customWidth="1" style="22" min="4383" max="4383"/>
    <col width="9.28515625" customWidth="1" style="22" min="4384" max="4384"/>
    <col width="9.7109375" customWidth="1" style="22" min="4385" max="4385"/>
    <col width="10.28515625" customWidth="1" style="22" min="4386" max="4387"/>
    <col width="9.5703125" customWidth="1" style="22" min="4388" max="4388"/>
    <col width="0.85546875" customWidth="1" style="22" min="4389" max="4608"/>
    <col width="5.28515625" customWidth="1" style="22" min="4609" max="4609"/>
    <col width="26.28515625" customWidth="1" style="22" min="4610" max="4610"/>
    <col width="5.140625" customWidth="1" style="22" min="4611" max="4611"/>
    <col width="6.5703125" customWidth="1" style="22" min="4612" max="4612"/>
    <col width="6.140625" customWidth="1" style="22" min="4613" max="4613"/>
    <col width="10" customWidth="1" style="22" min="4614" max="4614"/>
    <col width="7.28515625" customWidth="1" style="22" min="4615" max="4615"/>
    <col width="7.7109375" customWidth="1" style="22" min="4616" max="4616"/>
    <col width="9.5703125" customWidth="1" style="22" min="4617" max="4617"/>
    <col width="9.85546875" customWidth="1" style="22" min="4618" max="4618"/>
    <col width="9" customWidth="1" style="22" min="4619" max="4620"/>
    <col width="16.5703125" customWidth="1" style="22" min="4621" max="4621"/>
    <col width="11.28515625" customWidth="1" style="22" min="4622" max="4622"/>
    <col width="7.5703125" customWidth="1" style="22" min="4623" max="4623"/>
    <col width="3.7109375" customWidth="1" style="22" min="4624" max="4624"/>
    <col width="9.140625" customWidth="1" style="22" min="4625" max="4625"/>
    <col width="10.28515625" customWidth="1" style="22" min="4626" max="4626"/>
    <col width="10" customWidth="1" style="22" min="4627" max="4627"/>
    <col width="9.85546875" customWidth="1" style="22" min="4628" max="4628"/>
    <col width="7.140625" customWidth="1" style="22" min="4629" max="4629"/>
    <col width="14.42578125" customWidth="1" style="22" min="4630" max="4630"/>
    <col width="11.5703125" customWidth="1" style="22" min="4631" max="4631"/>
    <col width="10" customWidth="1" style="22" min="4632" max="4632"/>
    <col width="7.28515625" customWidth="1" style="22" min="4633" max="4633"/>
    <col width="1.85546875" customWidth="1" style="22" min="4634" max="4634"/>
    <col width="10.7109375" customWidth="1" style="22" min="4635" max="4635"/>
    <col width="7.28515625" customWidth="1" style="22" min="4636" max="4636"/>
    <col width="3.5703125" customWidth="1" style="22" min="4637" max="4637"/>
    <col width="7" customWidth="1" style="22" min="4638" max="4638"/>
    <col width="15.85546875" customWidth="1" style="22" min="4639" max="4639"/>
    <col width="9.28515625" customWidth="1" style="22" min="4640" max="4640"/>
    <col width="9.7109375" customWidth="1" style="22" min="4641" max="4641"/>
    <col width="10.28515625" customWidth="1" style="22" min="4642" max="4643"/>
    <col width="9.5703125" customWidth="1" style="22" min="4644" max="4644"/>
    <col width="0.85546875" customWidth="1" style="22" min="4645" max="4864"/>
    <col width="5.28515625" customWidth="1" style="22" min="4865" max="4865"/>
    <col width="26.28515625" customWidth="1" style="22" min="4866" max="4866"/>
    <col width="5.140625" customWidth="1" style="22" min="4867" max="4867"/>
    <col width="6.5703125" customWidth="1" style="22" min="4868" max="4868"/>
    <col width="6.140625" customWidth="1" style="22" min="4869" max="4869"/>
    <col width="10" customWidth="1" style="22" min="4870" max="4870"/>
    <col width="7.28515625" customWidth="1" style="22" min="4871" max="4871"/>
    <col width="7.7109375" customWidth="1" style="22" min="4872" max="4872"/>
    <col width="9.5703125" customWidth="1" style="22" min="4873" max="4873"/>
    <col width="9.85546875" customWidth="1" style="22" min="4874" max="4874"/>
    <col width="9" customWidth="1" style="22" min="4875" max="4876"/>
    <col width="16.5703125" customWidth="1" style="22" min="4877" max="4877"/>
    <col width="11.28515625" customWidth="1" style="22" min="4878" max="4878"/>
    <col width="7.5703125" customWidth="1" style="22" min="4879" max="4879"/>
    <col width="3.7109375" customWidth="1" style="22" min="4880" max="4880"/>
    <col width="9.140625" customWidth="1" style="22" min="4881" max="4881"/>
    <col width="10.28515625" customWidth="1" style="22" min="4882" max="4882"/>
    <col width="10" customWidth="1" style="22" min="4883" max="4883"/>
    <col width="9.85546875" customWidth="1" style="22" min="4884" max="4884"/>
    <col width="7.140625" customWidth="1" style="22" min="4885" max="4885"/>
    <col width="14.42578125" customWidth="1" style="22" min="4886" max="4886"/>
    <col width="11.5703125" customWidth="1" style="22" min="4887" max="4887"/>
    <col width="10" customWidth="1" style="22" min="4888" max="4888"/>
    <col width="7.28515625" customWidth="1" style="22" min="4889" max="4889"/>
    <col width="1.85546875" customWidth="1" style="22" min="4890" max="4890"/>
    <col width="10.7109375" customWidth="1" style="22" min="4891" max="4891"/>
    <col width="7.28515625" customWidth="1" style="22" min="4892" max="4892"/>
    <col width="3.5703125" customWidth="1" style="22" min="4893" max="4893"/>
    <col width="7" customWidth="1" style="22" min="4894" max="4894"/>
    <col width="15.85546875" customWidth="1" style="22" min="4895" max="4895"/>
    <col width="9.28515625" customWidth="1" style="22" min="4896" max="4896"/>
    <col width="9.7109375" customWidth="1" style="22" min="4897" max="4897"/>
    <col width="10.28515625" customWidth="1" style="22" min="4898" max="4899"/>
    <col width="9.5703125" customWidth="1" style="22" min="4900" max="4900"/>
    <col width="0.85546875" customWidth="1" style="22" min="4901" max="5120"/>
    <col width="5.28515625" customWidth="1" style="22" min="5121" max="5121"/>
    <col width="26.28515625" customWidth="1" style="22" min="5122" max="5122"/>
    <col width="5.140625" customWidth="1" style="22" min="5123" max="5123"/>
    <col width="6.5703125" customWidth="1" style="22" min="5124" max="5124"/>
    <col width="6.140625" customWidth="1" style="22" min="5125" max="5125"/>
    <col width="10" customWidth="1" style="22" min="5126" max="5126"/>
    <col width="7.28515625" customWidth="1" style="22" min="5127" max="5127"/>
    <col width="7.7109375" customWidth="1" style="22" min="5128" max="5128"/>
    <col width="9.5703125" customWidth="1" style="22" min="5129" max="5129"/>
    <col width="9.85546875" customWidth="1" style="22" min="5130" max="5130"/>
    <col width="9" customWidth="1" style="22" min="5131" max="5132"/>
    <col width="16.5703125" customWidth="1" style="22" min="5133" max="5133"/>
    <col width="11.28515625" customWidth="1" style="22" min="5134" max="5134"/>
    <col width="7.5703125" customWidth="1" style="22" min="5135" max="5135"/>
    <col width="3.7109375" customWidth="1" style="22" min="5136" max="5136"/>
    <col width="9.140625" customWidth="1" style="22" min="5137" max="5137"/>
    <col width="10.28515625" customWidth="1" style="22" min="5138" max="5138"/>
    <col width="10" customWidth="1" style="22" min="5139" max="5139"/>
    <col width="9.85546875" customWidth="1" style="22" min="5140" max="5140"/>
    <col width="7.140625" customWidth="1" style="22" min="5141" max="5141"/>
    <col width="14.42578125" customWidth="1" style="22" min="5142" max="5142"/>
    <col width="11.5703125" customWidth="1" style="22" min="5143" max="5143"/>
    <col width="10" customWidth="1" style="22" min="5144" max="5144"/>
    <col width="7.28515625" customWidth="1" style="22" min="5145" max="5145"/>
    <col width="1.85546875" customWidth="1" style="22" min="5146" max="5146"/>
    <col width="10.7109375" customWidth="1" style="22" min="5147" max="5147"/>
    <col width="7.28515625" customWidth="1" style="22" min="5148" max="5148"/>
    <col width="3.5703125" customWidth="1" style="22" min="5149" max="5149"/>
    <col width="7" customWidth="1" style="22" min="5150" max="5150"/>
    <col width="15.85546875" customWidth="1" style="22" min="5151" max="5151"/>
    <col width="9.28515625" customWidth="1" style="22" min="5152" max="5152"/>
    <col width="9.7109375" customWidth="1" style="22" min="5153" max="5153"/>
    <col width="10.28515625" customWidth="1" style="22" min="5154" max="5155"/>
    <col width="9.5703125" customWidth="1" style="22" min="5156" max="5156"/>
    <col width="0.85546875" customWidth="1" style="22" min="5157" max="5376"/>
    <col width="5.28515625" customWidth="1" style="22" min="5377" max="5377"/>
    <col width="26.28515625" customWidth="1" style="22" min="5378" max="5378"/>
    <col width="5.140625" customWidth="1" style="22" min="5379" max="5379"/>
    <col width="6.5703125" customWidth="1" style="22" min="5380" max="5380"/>
    <col width="6.140625" customWidth="1" style="22" min="5381" max="5381"/>
    <col width="10" customWidth="1" style="22" min="5382" max="5382"/>
    <col width="7.28515625" customWidth="1" style="22" min="5383" max="5383"/>
    <col width="7.7109375" customWidth="1" style="22" min="5384" max="5384"/>
    <col width="9.5703125" customWidth="1" style="22" min="5385" max="5385"/>
    <col width="9.85546875" customWidth="1" style="22" min="5386" max="5386"/>
    <col width="9" customWidth="1" style="22" min="5387" max="5388"/>
    <col width="16.5703125" customWidth="1" style="22" min="5389" max="5389"/>
    <col width="11.28515625" customWidth="1" style="22" min="5390" max="5390"/>
    <col width="7.5703125" customWidth="1" style="22" min="5391" max="5391"/>
    <col width="3.7109375" customWidth="1" style="22" min="5392" max="5392"/>
    <col width="9.140625" customWidth="1" style="22" min="5393" max="5393"/>
    <col width="10.28515625" customWidth="1" style="22" min="5394" max="5394"/>
    <col width="10" customWidth="1" style="22" min="5395" max="5395"/>
    <col width="9.85546875" customWidth="1" style="22" min="5396" max="5396"/>
    <col width="7.140625" customWidth="1" style="22" min="5397" max="5397"/>
    <col width="14.42578125" customWidth="1" style="22" min="5398" max="5398"/>
    <col width="11.5703125" customWidth="1" style="22" min="5399" max="5399"/>
    <col width="10" customWidth="1" style="22" min="5400" max="5400"/>
    <col width="7.28515625" customWidth="1" style="22" min="5401" max="5401"/>
    <col width="1.85546875" customWidth="1" style="22" min="5402" max="5402"/>
    <col width="10.7109375" customWidth="1" style="22" min="5403" max="5403"/>
    <col width="7.28515625" customWidth="1" style="22" min="5404" max="5404"/>
    <col width="3.5703125" customWidth="1" style="22" min="5405" max="5405"/>
    <col width="7" customWidth="1" style="22" min="5406" max="5406"/>
    <col width="15.85546875" customWidth="1" style="22" min="5407" max="5407"/>
    <col width="9.28515625" customWidth="1" style="22" min="5408" max="5408"/>
    <col width="9.7109375" customWidth="1" style="22" min="5409" max="5409"/>
    <col width="10.28515625" customWidth="1" style="22" min="5410" max="5411"/>
    <col width="9.5703125" customWidth="1" style="22" min="5412" max="5412"/>
    <col width="0.85546875" customWidth="1" style="22" min="5413" max="5632"/>
    <col width="5.28515625" customWidth="1" style="22" min="5633" max="5633"/>
    <col width="26.28515625" customWidth="1" style="22" min="5634" max="5634"/>
    <col width="5.140625" customWidth="1" style="22" min="5635" max="5635"/>
    <col width="6.5703125" customWidth="1" style="22" min="5636" max="5636"/>
    <col width="6.140625" customWidth="1" style="22" min="5637" max="5637"/>
    <col width="10" customWidth="1" style="22" min="5638" max="5638"/>
    <col width="7.28515625" customWidth="1" style="22" min="5639" max="5639"/>
    <col width="7.7109375" customWidth="1" style="22" min="5640" max="5640"/>
    <col width="9.5703125" customWidth="1" style="22" min="5641" max="5641"/>
    <col width="9.85546875" customWidth="1" style="22" min="5642" max="5642"/>
    <col width="9" customWidth="1" style="22" min="5643" max="5644"/>
    <col width="16.5703125" customWidth="1" style="22" min="5645" max="5645"/>
    <col width="11.28515625" customWidth="1" style="22" min="5646" max="5646"/>
    <col width="7.5703125" customWidth="1" style="22" min="5647" max="5647"/>
    <col width="3.7109375" customWidth="1" style="22" min="5648" max="5648"/>
    <col width="9.140625" customWidth="1" style="22" min="5649" max="5649"/>
    <col width="10.28515625" customWidth="1" style="22" min="5650" max="5650"/>
    <col width="10" customWidth="1" style="22" min="5651" max="5651"/>
    <col width="9.85546875" customWidth="1" style="22" min="5652" max="5652"/>
    <col width="7.140625" customWidth="1" style="22" min="5653" max="5653"/>
    <col width="14.42578125" customWidth="1" style="22" min="5654" max="5654"/>
    <col width="11.5703125" customWidth="1" style="22" min="5655" max="5655"/>
    <col width="10" customWidth="1" style="22" min="5656" max="5656"/>
    <col width="7.28515625" customWidth="1" style="22" min="5657" max="5657"/>
    <col width="1.85546875" customWidth="1" style="22" min="5658" max="5658"/>
    <col width="10.7109375" customWidth="1" style="22" min="5659" max="5659"/>
    <col width="7.28515625" customWidth="1" style="22" min="5660" max="5660"/>
    <col width="3.5703125" customWidth="1" style="22" min="5661" max="5661"/>
    <col width="7" customWidth="1" style="22" min="5662" max="5662"/>
    <col width="15.85546875" customWidth="1" style="22" min="5663" max="5663"/>
    <col width="9.28515625" customWidth="1" style="22" min="5664" max="5664"/>
    <col width="9.7109375" customWidth="1" style="22" min="5665" max="5665"/>
    <col width="10.28515625" customWidth="1" style="22" min="5666" max="5667"/>
    <col width="9.5703125" customWidth="1" style="22" min="5668" max="5668"/>
    <col width="0.85546875" customWidth="1" style="22" min="5669" max="5888"/>
    <col width="5.28515625" customWidth="1" style="22" min="5889" max="5889"/>
    <col width="26.28515625" customWidth="1" style="22" min="5890" max="5890"/>
    <col width="5.140625" customWidth="1" style="22" min="5891" max="5891"/>
    <col width="6.5703125" customWidth="1" style="22" min="5892" max="5892"/>
    <col width="6.140625" customWidth="1" style="22" min="5893" max="5893"/>
    <col width="10" customWidth="1" style="22" min="5894" max="5894"/>
    <col width="7.28515625" customWidth="1" style="22" min="5895" max="5895"/>
    <col width="7.7109375" customWidth="1" style="22" min="5896" max="5896"/>
    <col width="9.5703125" customWidth="1" style="22" min="5897" max="5897"/>
    <col width="9.85546875" customWidth="1" style="22" min="5898" max="5898"/>
    <col width="9" customWidth="1" style="22" min="5899" max="5900"/>
    <col width="16.5703125" customWidth="1" style="22" min="5901" max="5901"/>
    <col width="11.28515625" customWidth="1" style="22" min="5902" max="5902"/>
    <col width="7.5703125" customWidth="1" style="22" min="5903" max="5903"/>
    <col width="3.7109375" customWidth="1" style="22" min="5904" max="5904"/>
    <col width="9.140625" customWidth="1" style="22" min="5905" max="5905"/>
    <col width="10.28515625" customWidth="1" style="22" min="5906" max="5906"/>
    <col width="10" customWidth="1" style="22" min="5907" max="5907"/>
    <col width="9.85546875" customWidth="1" style="22" min="5908" max="5908"/>
    <col width="7.140625" customWidth="1" style="22" min="5909" max="5909"/>
    <col width="14.42578125" customWidth="1" style="22" min="5910" max="5910"/>
    <col width="11.5703125" customWidth="1" style="22" min="5911" max="5911"/>
    <col width="10" customWidth="1" style="22" min="5912" max="5912"/>
    <col width="7.28515625" customWidth="1" style="22" min="5913" max="5913"/>
    <col width="1.85546875" customWidth="1" style="22" min="5914" max="5914"/>
    <col width="10.7109375" customWidth="1" style="22" min="5915" max="5915"/>
    <col width="7.28515625" customWidth="1" style="22" min="5916" max="5916"/>
    <col width="3.5703125" customWidth="1" style="22" min="5917" max="5917"/>
    <col width="7" customWidth="1" style="22" min="5918" max="5918"/>
    <col width="15.85546875" customWidth="1" style="22" min="5919" max="5919"/>
    <col width="9.28515625" customWidth="1" style="22" min="5920" max="5920"/>
    <col width="9.7109375" customWidth="1" style="22" min="5921" max="5921"/>
    <col width="10.28515625" customWidth="1" style="22" min="5922" max="5923"/>
    <col width="9.5703125" customWidth="1" style="22" min="5924" max="5924"/>
    <col width="0.85546875" customWidth="1" style="22" min="5925" max="6144"/>
    <col width="5.28515625" customWidth="1" style="22" min="6145" max="6145"/>
    <col width="26.28515625" customWidth="1" style="22" min="6146" max="6146"/>
    <col width="5.140625" customWidth="1" style="22" min="6147" max="6147"/>
    <col width="6.5703125" customWidth="1" style="22" min="6148" max="6148"/>
    <col width="6.140625" customWidth="1" style="22" min="6149" max="6149"/>
    <col width="10" customWidth="1" style="22" min="6150" max="6150"/>
    <col width="7.28515625" customWidth="1" style="22" min="6151" max="6151"/>
    <col width="7.7109375" customWidth="1" style="22" min="6152" max="6152"/>
    <col width="9.5703125" customWidth="1" style="22" min="6153" max="6153"/>
    <col width="9.85546875" customWidth="1" style="22" min="6154" max="6154"/>
    <col width="9" customWidth="1" style="22" min="6155" max="6156"/>
    <col width="16.5703125" customWidth="1" style="22" min="6157" max="6157"/>
    <col width="11.28515625" customWidth="1" style="22" min="6158" max="6158"/>
    <col width="7.5703125" customWidth="1" style="22" min="6159" max="6159"/>
    <col width="3.7109375" customWidth="1" style="22" min="6160" max="6160"/>
    <col width="9.140625" customWidth="1" style="22" min="6161" max="6161"/>
    <col width="10.28515625" customWidth="1" style="22" min="6162" max="6162"/>
    <col width="10" customWidth="1" style="22" min="6163" max="6163"/>
    <col width="9.85546875" customWidth="1" style="22" min="6164" max="6164"/>
    <col width="7.140625" customWidth="1" style="22" min="6165" max="6165"/>
    <col width="14.42578125" customWidth="1" style="22" min="6166" max="6166"/>
    <col width="11.5703125" customWidth="1" style="22" min="6167" max="6167"/>
    <col width="10" customWidth="1" style="22" min="6168" max="6168"/>
    <col width="7.28515625" customWidth="1" style="22" min="6169" max="6169"/>
    <col width="1.85546875" customWidth="1" style="22" min="6170" max="6170"/>
    <col width="10.7109375" customWidth="1" style="22" min="6171" max="6171"/>
    <col width="7.28515625" customWidth="1" style="22" min="6172" max="6172"/>
    <col width="3.5703125" customWidth="1" style="22" min="6173" max="6173"/>
    <col width="7" customWidth="1" style="22" min="6174" max="6174"/>
    <col width="15.85546875" customWidth="1" style="22" min="6175" max="6175"/>
    <col width="9.28515625" customWidth="1" style="22" min="6176" max="6176"/>
    <col width="9.7109375" customWidth="1" style="22" min="6177" max="6177"/>
    <col width="10.28515625" customWidth="1" style="22" min="6178" max="6179"/>
    <col width="9.5703125" customWidth="1" style="22" min="6180" max="6180"/>
    <col width="0.85546875" customWidth="1" style="22" min="6181" max="6400"/>
    <col width="5.28515625" customWidth="1" style="22" min="6401" max="6401"/>
    <col width="26.28515625" customWidth="1" style="22" min="6402" max="6402"/>
    <col width="5.140625" customWidth="1" style="22" min="6403" max="6403"/>
    <col width="6.5703125" customWidth="1" style="22" min="6404" max="6404"/>
    <col width="6.140625" customWidth="1" style="22" min="6405" max="6405"/>
    <col width="10" customWidth="1" style="22" min="6406" max="6406"/>
    <col width="7.28515625" customWidth="1" style="22" min="6407" max="6407"/>
    <col width="7.7109375" customWidth="1" style="22" min="6408" max="6408"/>
    <col width="9.5703125" customWidth="1" style="22" min="6409" max="6409"/>
    <col width="9.85546875" customWidth="1" style="22" min="6410" max="6410"/>
    <col width="9" customWidth="1" style="22" min="6411" max="6412"/>
    <col width="16.5703125" customWidth="1" style="22" min="6413" max="6413"/>
    <col width="11.28515625" customWidth="1" style="22" min="6414" max="6414"/>
    <col width="7.5703125" customWidth="1" style="22" min="6415" max="6415"/>
    <col width="3.7109375" customWidth="1" style="22" min="6416" max="6416"/>
    <col width="9.140625" customWidth="1" style="22" min="6417" max="6417"/>
    <col width="10.28515625" customWidth="1" style="22" min="6418" max="6418"/>
    <col width="10" customWidth="1" style="22" min="6419" max="6419"/>
    <col width="9.85546875" customWidth="1" style="22" min="6420" max="6420"/>
    <col width="7.140625" customWidth="1" style="22" min="6421" max="6421"/>
    <col width="14.42578125" customWidth="1" style="22" min="6422" max="6422"/>
    <col width="11.5703125" customWidth="1" style="22" min="6423" max="6423"/>
    <col width="10" customWidth="1" style="22" min="6424" max="6424"/>
    <col width="7.28515625" customWidth="1" style="22" min="6425" max="6425"/>
    <col width="1.85546875" customWidth="1" style="22" min="6426" max="6426"/>
    <col width="10.7109375" customWidth="1" style="22" min="6427" max="6427"/>
    <col width="7.28515625" customWidth="1" style="22" min="6428" max="6428"/>
    <col width="3.5703125" customWidth="1" style="22" min="6429" max="6429"/>
    <col width="7" customWidth="1" style="22" min="6430" max="6430"/>
    <col width="15.85546875" customWidth="1" style="22" min="6431" max="6431"/>
    <col width="9.28515625" customWidth="1" style="22" min="6432" max="6432"/>
    <col width="9.7109375" customWidth="1" style="22" min="6433" max="6433"/>
    <col width="10.28515625" customWidth="1" style="22" min="6434" max="6435"/>
    <col width="9.5703125" customWidth="1" style="22" min="6436" max="6436"/>
    <col width="0.85546875" customWidth="1" style="22" min="6437" max="6656"/>
    <col width="5.28515625" customWidth="1" style="22" min="6657" max="6657"/>
    <col width="26.28515625" customWidth="1" style="22" min="6658" max="6658"/>
    <col width="5.140625" customWidth="1" style="22" min="6659" max="6659"/>
    <col width="6.5703125" customWidth="1" style="22" min="6660" max="6660"/>
    <col width="6.140625" customWidth="1" style="22" min="6661" max="6661"/>
    <col width="10" customWidth="1" style="22" min="6662" max="6662"/>
    <col width="7.28515625" customWidth="1" style="22" min="6663" max="6663"/>
    <col width="7.7109375" customWidth="1" style="22" min="6664" max="6664"/>
    <col width="9.5703125" customWidth="1" style="22" min="6665" max="6665"/>
    <col width="9.85546875" customWidth="1" style="22" min="6666" max="6666"/>
    <col width="9" customWidth="1" style="22" min="6667" max="6668"/>
    <col width="16.5703125" customWidth="1" style="22" min="6669" max="6669"/>
    <col width="11.28515625" customWidth="1" style="22" min="6670" max="6670"/>
    <col width="7.5703125" customWidth="1" style="22" min="6671" max="6671"/>
    <col width="3.7109375" customWidth="1" style="22" min="6672" max="6672"/>
    <col width="9.140625" customWidth="1" style="22" min="6673" max="6673"/>
    <col width="10.28515625" customWidth="1" style="22" min="6674" max="6674"/>
    <col width="10" customWidth="1" style="22" min="6675" max="6675"/>
    <col width="9.85546875" customWidth="1" style="22" min="6676" max="6676"/>
    <col width="7.140625" customWidth="1" style="22" min="6677" max="6677"/>
    <col width="14.42578125" customWidth="1" style="22" min="6678" max="6678"/>
    <col width="11.5703125" customWidth="1" style="22" min="6679" max="6679"/>
    <col width="10" customWidth="1" style="22" min="6680" max="6680"/>
    <col width="7.28515625" customWidth="1" style="22" min="6681" max="6681"/>
    <col width="1.85546875" customWidth="1" style="22" min="6682" max="6682"/>
    <col width="10.7109375" customWidth="1" style="22" min="6683" max="6683"/>
    <col width="7.28515625" customWidth="1" style="22" min="6684" max="6684"/>
    <col width="3.5703125" customWidth="1" style="22" min="6685" max="6685"/>
    <col width="7" customWidth="1" style="22" min="6686" max="6686"/>
    <col width="15.85546875" customWidth="1" style="22" min="6687" max="6687"/>
    <col width="9.28515625" customWidth="1" style="22" min="6688" max="6688"/>
    <col width="9.7109375" customWidth="1" style="22" min="6689" max="6689"/>
    <col width="10.28515625" customWidth="1" style="22" min="6690" max="6691"/>
    <col width="9.5703125" customWidth="1" style="22" min="6692" max="6692"/>
    <col width="0.85546875" customWidth="1" style="22" min="6693" max="6912"/>
    <col width="5.28515625" customWidth="1" style="22" min="6913" max="6913"/>
    <col width="26.28515625" customWidth="1" style="22" min="6914" max="6914"/>
    <col width="5.140625" customWidth="1" style="22" min="6915" max="6915"/>
    <col width="6.5703125" customWidth="1" style="22" min="6916" max="6916"/>
    <col width="6.140625" customWidth="1" style="22" min="6917" max="6917"/>
    <col width="10" customWidth="1" style="22" min="6918" max="6918"/>
    <col width="7.28515625" customWidth="1" style="22" min="6919" max="6919"/>
    <col width="7.7109375" customWidth="1" style="22" min="6920" max="6920"/>
    <col width="9.5703125" customWidth="1" style="22" min="6921" max="6921"/>
    <col width="9.85546875" customWidth="1" style="22" min="6922" max="6922"/>
    <col width="9" customWidth="1" style="22" min="6923" max="6924"/>
    <col width="16.5703125" customWidth="1" style="22" min="6925" max="6925"/>
    <col width="11.28515625" customWidth="1" style="22" min="6926" max="6926"/>
    <col width="7.5703125" customWidth="1" style="22" min="6927" max="6927"/>
    <col width="3.7109375" customWidth="1" style="22" min="6928" max="6928"/>
    <col width="9.140625" customWidth="1" style="22" min="6929" max="6929"/>
    <col width="10.28515625" customWidth="1" style="22" min="6930" max="6930"/>
    <col width="10" customWidth="1" style="22" min="6931" max="6931"/>
    <col width="9.85546875" customWidth="1" style="22" min="6932" max="6932"/>
    <col width="7.140625" customWidth="1" style="22" min="6933" max="6933"/>
    <col width="14.42578125" customWidth="1" style="22" min="6934" max="6934"/>
    <col width="11.5703125" customWidth="1" style="22" min="6935" max="6935"/>
    <col width="10" customWidth="1" style="22" min="6936" max="6936"/>
    <col width="7.28515625" customWidth="1" style="22" min="6937" max="6937"/>
    <col width="1.85546875" customWidth="1" style="22" min="6938" max="6938"/>
    <col width="10.7109375" customWidth="1" style="22" min="6939" max="6939"/>
    <col width="7.28515625" customWidth="1" style="22" min="6940" max="6940"/>
    <col width="3.5703125" customWidth="1" style="22" min="6941" max="6941"/>
    <col width="7" customWidth="1" style="22" min="6942" max="6942"/>
    <col width="15.85546875" customWidth="1" style="22" min="6943" max="6943"/>
    <col width="9.28515625" customWidth="1" style="22" min="6944" max="6944"/>
    <col width="9.7109375" customWidth="1" style="22" min="6945" max="6945"/>
    <col width="10.28515625" customWidth="1" style="22" min="6946" max="6947"/>
    <col width="9.5703125" customWidth="1" style="22" min="6948" max="6948"/>
    <col width="0.85546875" customWidth="1" style="22" min="6949" max="7168"/>
    <col width="5.28515625" customWidth="1" style="22" min="7169" max="7169"/>
    <col width="26.28515625" customWidth="1" style="22" min="7170" max="7170"/>
    <col width="5.140625" customWidth="1" style="22" min="7171" max="7171"/>
    <col width="6.5703125" customWidth="1" style="22" min="7172" max="7172"/>
    <col width="6.140625" customWidth="1" style="22" min="7173" max="7173"/>
    <col width="10" customWidth="1" style="22" min="7174" max="7174"/>
    <col width="7.28515625" customWidth="1" style="22" min="7175" max="7175"/>
    <col width="7.7109375" customWidth="1" style="22" min="7176" max="7176"/>
    <col width="9.5703125" customWidth="1" style="22" min="7177" max="7177"/>
    <col width="9.85546875" customWidth="1" style="22" min="7178" max="7178"/>
    <col width="9" customWidth="1" style="22" min="7179" max="7180"/>
    <col width="16.5703125" customWidth="1" style="22" min="7181" max="7181"/>
    <col width="11.28515625" customWidth="1" style="22" min="7182" max="7182"/>
    <col width="7.5703125" customWidth="1" style="22" min="7183" max="7183"/>
    <col width="3.7109375" customWidth="1" style="22" min="7184" max="7184"/>
    <col width="9.140625" customWidth="1" style="22" min="7185" max="7185"/>
    <col width="10.28515625" customWidth="1" style="22" min="7186" max="7186"/>
    <col width="10" customWidth="1" style="22" min="7187" max="7187"/>
    <col width="9.85546875" customWidth="1" style="22" min="7188" max="7188"/>
    <col width="7.140625" customWidth="1" style="22" min="7189" max="7189"/>
    <col width="14.42578125" customWidth="1" style="22" min="7190" max="7190"/>
    <col width="11.5703125" customWidth="1" style="22" min="7191" max="7191"/>
    <col width="10" customWidth="1" style="22" min="7192" max="7192"/>
    <col width="7.28515625" customWidth="1" style="22" min="7193" max="7193"/>
    <col width="1.85546875" customWidth="1" style="22" min="7194" max="7194"/>
    <col width="10.7109375" customWidth="1" style="22" min="7195" max="7195"/>
    <col width="7.28515625" customWidth="1" style="22" min="7196" max="7196"/>
    <col width="3.5703125" customWidth="1" style="22" min="7197" max="7197"/>
    <col width="7" customWidth="1" style="22" min="7198" max="7198"/>
    <col width="15.85546875" customWidth="1" style="22" min="7199" max="7199"/>
    <col width="9.28515625" customWidth="1" style="22" min="7200" max="7200"/>
    <col width="9.7109375" customWidth="1" style="22" min="7201" max="7201"/>
    <col width="10.28515625" customWidth="1" style="22" min="7202" max="7203"/>
    <col width="9.5703125" customWidth="1" style="22" min="7204" max="7204"/>
    <col width="0.85546875" customWidth="1" style="22" min="7205" max="7424"/>
    <col width="5.28515625" customWidth="1" style="22" min="7425" max="7425"/>
    <col width="26.28515625" customWidth="1" style="22" min="7426" max="7426"/>
    <col width="5.140625" customWidth="1" style="22" min="7427" max="7427"/>
    <col width="6.5703125" customWidth="1" style="22" min="7428" max="7428"/>
    <col width="6.140625" customWidth="1" style="22" min="7429" max="7429"/>
    <col width="10" customWidth="1" style="22" min="7430" max="7430"/>
    <col width="7.28515625" customWidth="1" style="22" min="7431" max="7431"/>
    <col width="7.7109375" customWidth="1" style="22" min="7432" max="7432"/>
    <col width="9.5703125" customWidth="1" style="22" min="7433" max="7433"/>
    <col width="9.85546875" customWidth="1" style="22" min="7434" max="7434"/>
    <col width="9" customWidth="1" style="22" min="7435" max="7436"/>
    <col width="16.5703125" customWidth="1" style="22" min="7437" max="7437"/>
    <col width="11.28515625" customWidth="1" style="22" min="7438" max="7438"/>
    <col width="7.5703125" customWidth="1" style="22" min="7439" max="7439"/>
    <col width="3.7109375" customWidth="1" style="22" min="7440" max="7440"/>
    <col width="9.140625" customWidth="1" style="22" min="7441" max="7441"/>
    <col width="10.28515625" customWidth="1" style="22" min="7442" max="7442"/>
    <col width="10" customWidth="1" style="22" min="7443" max="7443"/>
    <col width="9.85546875" customWidth="1" style="22" min="7444" max="7444"/>
    <col width="7.140625" customWidth="1" style="22" min="7445" max="7445"/>
    <col width="14.42578125" customWidth="1" style="22" min="7446" max="7446"/>
    <col width="11.5703125" customWidth="1" style="22" min="7447" max="7447"/>
    <col width="10" customWidth="1" style="22" min="7448" max="7448"/>
    <col width="7.28515625" customWidth="1" style="22" min="7449" max="7449"/>
    <col width="1.85546875" customWidth="1" style="22" min="7450" max="7450"/>
    <col width="10.7109375" customWidth="1" style="22" min="7451" max="7451"/>
    <col width="7.28515625" customWidth="1" style="22" min="7452" max="7452"/>
    <col width="3.5703125" customWidth="1" style="22" min="7453" max="7453"/>
    <col width="7" customWidth="1" style="22" min="7454" max="7454"/>
    <col width="15.85546875" customWidth="1" style="22" min="7455" max="7455"/>
    <col width="9.28515625" customWidth="1" style="22" min="7456" max="7456"/>
    <col width="9.7109375" customWidth="1" style="22" min="7457" max="7457"/>
    <col width="10.28515625" customWidth="1" style="22" min="7458" max="7459"/>
    <col width="9.5703125" customWidth="1" style="22" min="7460" max="7460"/>
    <col width="0.85546875" customWidth="1" style="22" min="7461" max="7680"/>
    <col width="5.28515625" customWidth="1" style="22" min="7681" max="7681"/>
    <col width="26.28515625" customWidth="1" style="22" min="7682" max="7682"/>
    <col width="5.140625" customWidth="1" style="22" min="7683" max="7683"/>
    <col width="6.5703125" customWidth="1" style="22" min="7684" max="7684"/>
    <col width="6.140625" customWidth="1" style="22" min="7685" max="7685"/>
    <col width="10" customWidth="1" style="22" min="7686" max="7686"/>
    <col width="7.28515625" customWidth="1" style="22" min="7687" max="7687"/>
    <col width="7.7109375" customWidth="1" style="22" min="7688" max="7688"/>
    <col width="9.5703125" customWidth="1" style="22" min="7689" max="7689"/>
    <col width="9.85546875" customWidth="1" style="22" min="7690" max="7690"/>
    <col width="9" customWidth="1" style="22" min="7691" max="7692"/>
    <col width="16.5703125" customWidth="1" style="22" min="7693" max="7693"/>
    <col width="11.28515625" customWidth="1" style="22" min="7694" max="7694"/>
    <col width="7.5703125" customWidth="1" style="22" min="7695" max="7695"/>
    <col width="3.7109375" customWidth="1" style="22" min="7696" max="7696"/>
    <col width="9.140625" customWidth="1" style="22" min="7697" max="7697"/>
    <col width="10.28515625" customWidth="1" style="22" min="7698" max="7698"/>
    <col width="10" customWidth="1" style="22" min="7699" max="7699"/>
    <col width="9.85546875" customWidth="1" style="22" min="7700" max="7700"/>
    <col width="7.140625" customWidth="1" style="22" min="7701" max="7701"/>
    <col width="14.42578125" customWidth="1" style="22" min="7702" max="7702"/>
    <col width="11.5703125" customWidth="1" style="22" min="7703" max="7703"/>
    <col width="10" customWidth="1" style="22" min="7704" max="7704"/>
    <col width="7.28515625" customWidth="1" style="22" min="7705" max="7705"/>
    <col width="1.85546875" customWidth="1" style="22" min="7706" max="7706"/>
    <col width="10.7109375" customWidth="1" style="22" min="7707" max="7707"/>
    <col width="7.28515625" customWidth="1" style="22" min="7708" max="7708"/>
    <col width="3.5703125" customWidth="1" style="22" min="7709" max="7709"/>
    <col width="7" customWidth="1" style="22" min="7710" max="7710"/>
    <col width="15.85546875" customWidth="1" style="22" min="7711" max="7711"/>
    <col width="9.28515625" customWidth="1" style="22" min="7712" max="7712"/>
    <col width="9.7109375" customWidth="1" style="22" min="7713" max="7713"/>
    <col width="10.28515625" customWidth="1" style="22" min="7714" max="7715"/>
    <col width="9.5703125" customWidth="1" style="22" min="7716" max="7716"/>
    <col width="0.85546875" customWidth="1" style="22" min="7717" max="7936"/>
    <col width="5.28515625" customWidth="1" style="22" min="7937" max="7937"/>
    <col width="26.28515625" customWidth="1" style="22" min="7938" max="7938"/>
    <col width="5.140625" customWidth="1" style="22" min="7939" max="7939"/>
    <col width="6.5703125" customWidth="1" style="22" min="7940" max="7940"/>
    <col width="6.140625" customWidth="1" style="22" min="7941" max="7941"/>
    <col width="10" customWidth="1" style="22" min="7942" max="7942"/>
    <col width="7.28515625" customWidth="1" style="22" min="7943" max="7943"/>
    <col width="7.7109375" customWidth="1" style="22" min="7944" max="7944"/>
    <col width="9.5703125" customWidth="1" style="22" min="7945" max="7945"/>
    <col width="9.85546875" customWidth="1" style="22" min="7946" max="7946"/>
    <col width="9" customWidth="1" style="22" min="7947" max="7948"/>
    <col width="16.5703125" customWidth="1" style="22" min="7949" max="7949"/>
    <col width="11.28515625" customWidth="1" style="22" min="7950" max="7950"/>
    <col width="7.5703125" customWidth="1" style="22" min="7951" max="7951"/>
    <col width="3.7109375" customWidth="1" style="22" min="7952" max="7952"/>
    <col width="9.140625" customWidth="1" style="22" min="7953" max="7953"/>
    <col width="10.28515625" customWidth="1" style="22" min="7954" max="7954"/>
    <col width="10" customWidth="1" style="22" min="7955" max="7955"/>
    <col width="9.85546875" customWidth="1" style="22" min="7956" max="7956"/>
    <col width="7.140625" customWidth="1" style="22" min="7957" max="7957"/>
    <col width="14.42578125" customWidth="1" style="22" min="7958" max="7958"/>
    <col width="11.5703125" customWidth="1" style="22" min="7959" max="7959"/>
    <col width="10" customWidth="1" style="22" min="7960" max="7960"/>
    <col width="7.28515625" customWidth="1" style="22" min="7961" max="7961"/>
    <col width="1.85546875" customWidth="1" style="22" min="7962" max="7962"/>
    <col width="10.7109375" customWidth="1" style="22" min="7963" max="7963"/>
    <col width="7.28515625" customWidth="1" style="22" min="7964" max="7964"/>
    <col width="3.5703125" customWidth="1" style="22" min="7965" max="7965"/>
    <col width="7" customWidth="1" style="22" min="7966" max="7966"/>
    <col width="15.85546875" customWidth="1" style="22" min="7967" max="7967"/>
    <col width="9.28515625" customWidth="1" style="22" min="7968" max="7968"/>
    <col width="9.7109375" customWidth="1" style="22" min="7969" max="7969"/>
    <col width="10.28515625" customWidth="1" style="22" min="7970" max="7971"/>
    <col width="9.5703125" customWidth="1" style="22" min="7972" max="7972"/>
    <col width="0.85546875" customWidth="1" style="22" min="7973" max="8192"/>
    <col width="5.28515625" customWidth="1" style="22" min="8193" max="8193"/>
    <col width="26.28515625" customWidth="1" style="22" min="8194" max="8194"/>
    <col width="5.140625" customWidth="1" style="22" min="8195" max="8195"/>
    <col width="6.5703125" customWidth="1" style="22" min="8196" max="8196"/>
    <col width="6.140625" customWidth="1" style="22" min="8197" max="8197"/>
    <col width="10" customWidth="1" style="22" min="8198" max="8198"/>
    <col width="7.28515625" customWidth="1" style="22" min="8199" max="8199"/>
    <col width="7.7109375" customWidth="1" style="22" min="8200" max="8200"/>
    <col width="9.5703125" customWidth="1" style="22" min="8201" max="8201"/>
    <col width="9.85546875" customWidth="1" style="22" min="8202" max="8202"/>
    <col width="9" customWidth="1" style="22" min="8203" max="8204"/>
    <col width="16.5703125" customWidth="1" style="22" min="8205" max="8205"/>
    <col width="11.28515625" customWidth="1" style="22" min="8206" max="8206"/>
    <col width="7.5703125" customWidth="1" style="22" min="8207" max="8207"/>
    <col width="3.7109375" customWidth="1" style="22" min="8208" max="8208"/>
    <col width="9.140625" customWidth="1" style="22" min="8209" max="8209"/>
    <col width="10.28515625" customWidth="1" style="22" min="8210" max="8210"/>
    <col width="10" customWidth="1" style="22" min="8211" max="8211"/>
    <col width="9.85546875" customWidth="1" style="22" min="8212" max="8212"/>
    <col width="7.140625" customWidth="1" style="22" min="8213" max="8213"/>
    <col width="14.42578125" customWidth="1" style="22" min="8214" max="8214"/>
    <col width="11.5703125" customWidth="1" style="22" min="8215" max="8215"/>
    <col width="10" customWidth="1" style="22" min="8216" max="8216"/>
    <col width="7.28515625" customWidth="1" style="22" min="8217" max="8217"/>
    <col width="1.85546875" customWidth="1" style="22" min="8218" max="8218"/>
    <col width="10.7109375" customWidth="1" style="22" min="8219" max="8219"/>
    <col width="7.28515625" customWidth="1" style="22" min="8220" max="8220"/>
    <col width="3.5703125" customWidth="1" style="22" min="8221" max="8221"/>
    <col width="7" customWidth="1" style="22" min="8222" max="8222"/>
    <col width="15.85546875" customWidth="1" style="22" min="8223" max="8223"/>
    <col width="9.28515625" customWidth="1" style="22" min="8224" max="8224"/>
    <col width="9.7109375" customWidth="1" style="22" min="8225" max="8225"/>
    <col width="10.28515625" customWidth="1" style="22" min="8226" max="8227"/>
    <col width="9.5703125" customWidth="1" style="22" min="8228" max="8228"/>
    <col width="0.85546875" customWidth="1" style="22" min="8229" max="8448"/>
    <col width="5.28515625" customWidth="1" style="22" min="8449" max="8449"/>
    <col width="26.28515625" customWidth="1" style="22" min="8450" max="8450"/>
    <col width="5.140625" customWidth="1" style="22" min="8451" max="8451"/>
    <col width="6.5703125" customWidth="1" style="22" min="8452" max="8452"/>
    <col width="6.140625" customWidth="1" style="22" min="8453" max="8453"/>
    <col width="10" customWidth="1" style="22" min="8454" max="8454"/>
    <col width="7.28515625" customWidth="1" style="22" min="8455" max="8455"/>
    <col width="7.7109375" customWidth="1" style="22" min="8456" max="8456"/>
    <col width="9.5703125" customWidth="1" style="22" min="8457" max="8457"/>
    <col width="9.85546875" customWidth="1" style="22" min="8458" max="8458"/>
    <col width="9" customWidth="1" style="22" min="8459" max="8460"/>
    <col width="16.5703125" customWidth="1" style="22" min="8461" max="8461"/>
    <col width="11.28515625" customWidth="1" style="22" min="8462" max="8462"/>
    <col width="7.5703125" customWidth="1" style="22" min="8463" max="8463"/>
    <col width="3.7109375" customWidth="1" style="22" min="8464" max="8464"/>
    <col width="9.140625" customWidth="1" style="22" min="8465" max="8465"/>
    <col width="10.28515625" customWidth="1" style="22" min="8466" max="8466"/>
    <col width="10" customWidth="1" style="22" min="8467" max="8467"/>
    <col width="9.85546875" customWidth="1" style="22" min="8468" max="8468"/>
    <col width="7.140625" customWidth="1" style="22" min="8469" max="8469"/>
    <col width="14.42578125" customWidth="1" style="22" min="8470" max="8470"/>
    <col width="11.5703125" customWidth="1" style="22" min="8471" max="8471"/>
    <col width="10" customWidth="1" style="22" min="8472" max="8472"/>
    <col width="7.28515625" customWidth="1" style="22" min="8473" max="8473"/>
    <col width="1.85546875" customWidth="1" style="22" min="8474" max="8474"/>
    <col width="10.7109375" customWidth="1" style="22" min="8475" max="8475"/>
    <col width="7.28515625" customWidth="1" style="22" min="8476" max="8476"/>
    <col width="3.5703125" customWidth="1" style="22" min="8477" max="8477"/>
    <col width="7" customWidth="1" style="22" min="8478" max="8478"/>
    <col width="15.85546875" customWidth="1" style="22" min="8479" max="8479"/>
    <col width="9.28515625" customWidth="1" style="22" min="8480" max="8480"/>
    <col width="9.7109375" customWidth="1" style="22" min="8481" max="8481"/>
    <col width="10.28515625" customWidth="1" style="22" min="8482" max="8483"/>
    <col width="9.5703125" customWidth="1" style="22" min="8484" max="8484"/>
    <col width="0.85546875" customWidth="1" style="22" min="8485" max="8704"/>
    <col width="5.28515625" customWidth="1" style="22" min="8705" max="8705"/>
    <col width="26.28515625" customWidth="1" style="22" min="8706" max="8706"/>
    <col width="5.140625" customWidth="1" style="22" min="8707" max="8707"/>
    <col width="6.5703125" customWidth="1" style="22" min="8708" max="8708"/>
    <col width="6.140625" customWidth="1" style="22" min="8709" max="8709"/>
    <col width="10" customWidth="1" style="22" min="8710" max="8710"/>
    <col width="7.28515625" customWidth="1" style="22" min="8711" max="8711"/>
    <col width="7.7109375" customWidth="1" style="22" min="8712" max="8712"/>
    <col width="9.5703125" customWidth="1" style="22" min="8713" max="8713"/>
    <col width="9.85546875" customWidth="1" style="22" min="8714" max="8714"/>
    <col width="9" customWidth="1" style="22" min="8715" max="8716"/>
    <col width="16.5703125" customWidth="1" style="22" min="8717" max="8717"/>
    <col width="11.28515625" customWidth="1" style="22" min="8718" max="8718"/>
    <col width="7.5703125" customWidth="1" style="22" min="8719" max="8719"/>
    <col width="3.7109375" customWidth="1" style="22" min="8720" max="8720"/>
    <col width="9.140625" customWidth="1" style="22" min="8721" max="8721"/>
    <col width="10.28515625" customWidth="1" style="22" min="8722" max="8722"/>
    <col width="10" customWidth="1" style="22" min="8723" max="8723"/>
    <col width="9.85546875" customWidth="1" style="22" min="8724" max="8724"/>
    <col width="7.140625" customWidth="1" style="22" min="8725" max="8725"/>
    <col width="14.42578125" customWidth="1" style="22" min="8726" max="8726"/>
    <col width="11.5703125" customWidth="1" style="22" min="8727" max="8727"/>
    <col width="10" customWidth="1" style="22" min="8728" max="8728"/>
    <col width="7.28515625" customWidth="1" style="22" min="8729" max="8729"/>
    <col width="1.85546875" customWidth="1" style="22" min="8730" max="8730"/>
    <col width="10.7109375" customWidth="1" style="22" min="8731" max="8731"/>
    <col width="7.28515625" customWidth="1" style="22" min="8732" max="8732"/>
    <col width="3.5703125" customWidth="1" style="22" min="8733" max="8733"/>
    <col width="7" customWidth="1" style="22" min="8734" max="8734"/>
    <col width="15.85546875" customWidth="1" style="22" min="8735" max="8735"/>
    <col width="9.28515625" customWidth="1" style="22" min="8736" max="8736"/>
    <col width="9.7109375" customWidth="1" style="22" min="8737" max="8737"/>
    <col width="10.28515625" customWidth="1" style="22" min="8738" max="8739"/>
    <col width="9.5703125" customWidth="1" style="22" min="8740" max="8740"/>
    <col width="0.85546875" customWidth="1" style="22" min="8741" max="8960"/>
    <col width="5.28515625" customWidth="1" style="22" min="8961" max="8961"/>
    <col width="26.28515625" customWidth="1" style="22" min="8962" max="8962"/>
    <col width="5.140625" customWidth="1" style="22" min="8963" max="8963"/>
    <col width="6.5703125" customWidth="1" style="22" min="8964" max="8964"/>
    <col width="6.140625" customWidth="1" style="22" min="8965" max="8965"/>
    <col width="10" customWidth="1" style="22" min="8966" max="8966"/>
    <col width="7.28515625" customWidth="1" style="22" min="8967" max="8967"/>
    <col width="7.7109375" customWidth="1" style="22" min="8968" max="8968"/>
    <col width="9.5703125" customWidth="1" style="22" min="8969" max="8969"/>
    <col width="9.85546875" customWidth="1" style="22" min="8970" max="8970"/>
    <col width="9" customWidth="1" style="22" min="8971" max="8972"/>
    <col width="16.5703125" customWidth="1" style="22" min="8973" max="8973"/>
    <col width="11.28515625" customWidth="1" style="22" min="8974" max="8974"/>
    <col width="7.5703125" customWidth="1" style="22" min="8975" max="8975"/>
    <col width="3.7109375" customWidth="1" style="22" min="8976" max="8976"/>
    <col width="9.140625" customWidth="1" style="22" min="8977" max="8977"/>
    <col width="10.28515625" customWidth="1" style="22" min="8978" max="8978"/>
    <col width="10" customWidth="1" style="22" min="8979" max="8979"/>
    <col width="9.85546875" customWidth="1" style="22" min="8980" max="8980"/>
    <col width="7.140625" customWidth="1" style="22" min="8981" max="8981"/>
    <col width="14.42578125" customWidth="1" style="22" min="8982" max="8982"/>
    <col width="11.5703125" customWidth="1" style="22" min="8983" max="8983"/>
    <col width="10" customWidth="1" style="22" min="8984" max="8984"/>
    <col width="7.28515625" customWidth="1" style="22" min="8985" max="8985"/>
    <col width="1.85546875" customWidth="1" style="22" min="8986" max="8986"/>
    <col width="10.7109375" customWidth="1" style="22" min="8987" max="8987"/>
    <col width="7.28515625" customWidth="1" style="22" min="8988" max="8988"/>
    <col width="3.5703125" customWidth="1" style="22" min="8989" max="8989"/>
    <col width="7" customWidth="1" style="22" min="8990" max="8990"/>
    <col width="15.85546875" customWidth="1" style="22" min="8991" max="8991"/>
    <col width="9.28515625" customWidth="1" style="22" min="8992" max="8992"/>
    <col width="9.7109375" customWidth="1" style="22" min="8993" max="8993"/>
    <col width="10.28515625" customWidth="1" style="22" min="8994" max="8995"/>
    <col width="9.5703125" customWidth="1" style="22" min="8996" max="8996"/>
    <col width="0.85546875" customWidth="1" style="22" min="8997" max="9216"/>
    <col width="5.28515625" customWidth="1" style="22" min="9217" max="9217"/>
    <col width="26.28515625" customWidth="1" style="22" min="9218" max="9218"/>
    <col width="5.140625" customWidth="1" style="22" min="9219" max="9219"/>
    <col width="6.5703125" customWidth="1" style="22" min="9220" max="9220"/>
    <col width="6.140625" customWidth="1" style="22" min="9221" max="9221"/>
    <col width="10" customWidth="1" style="22" min="9222" max="9222"/>
    <col width="7.28515625" customWidth="1" style="22" min="9223" max="9223"/>
    <col width="7.7109375" customWidth="1" style="22" min="9224" max="9224"/>
    <col width="9.5703125" customWidth="1" style="22" min="9225" max="9225"/>
    <col width="9.85546875" customWidth="1" style="22" min="9226" max="9226"/>
    <col width="9" customWidth="1" style="22" min="9227" max="9228"/>
    <col width="16.5703125" customWidth="1" style="22" min="9229" max="9229"/>
    <col width="11.28515625" customWidth="1" style="22" min="9230" max="9230"/>
    <col width="7.5703125" customWidth="1" style="22" min="9231" max="9231"/>
    <col width="3.7109375" customWidth="1" style="22" min="9232" max="9232"/>
    <col width="9.140625" customWidth="1" style="22" min="9233" max="9233"/>
    <col width="10.28515625" customWidth="1" style="22" min="9234" max="9234"/>
    <col width="10" customWidth="1" style="22" min="9235" max="9235"/>
    <col width="9.85546875" customWidth="1" style="22" min="9236" max="9236"/>
    <col width="7.140625" customWidth="1" style="22" min="9237" max="9237"/>
    <col width="14.42578125" customWidth="1" style="22" min="9238" max="9238"/>
    <col width="11.5703125" customWidth="1" style="22" min="9239" max="9239"/>
    <col width="10" customWidth="1" style="22" min="9240" max="9240"/>
    <col width="7.28515625" customWidth="1" style="22" min="9241" max="9241"/>
    <col width="1.85546875" customWidth="1" style="22" min="9242" max="9242"/>
    <col width="10.7109375" customWidth="1" style="22" min="9243" max="9243"/>
    <col width="7.28515625" customWidth="1" style="22" min="9244" max="9244"/>
    <col width="3.5703125" customWidth="1" style="22" min="9245" max="9245"/>
    <col width="7" customWidth="1" style="22" min="9246" max="9246"/>
    <col width="15.85546875" customWidth="1" style="22" min="9247" max="9247"/>
    <col width="9.28515625" customWidth="1" style="22" min="9248" max="9248"/>
    <col width="9.7109375" customWidth="1" style="22" min="9249" max="9249"/>
    <col width="10.28515625" customWidth="1" style="22" min="9250" max="9251"/>
    <col width="9.5703125" customWidth="1" style="22" min="9252" max="9252"/>
    <col width="0.85546875" customWidth="1" style="22" min="9253" max="9472"/>
    <col width="5.28515625" customWidth="1" style="22" min="9473" max="9473"/>
    <col width="26.28515625" customWidth="1" style="22" min="9474" max="9474"/>
    <col width="5.140625" customWidth="1" style="22" min="9475" max="9475"/>
    <col width="6.5703125" customWidth="1" style="22" min="9476" max="9476"/>
    <col width="6.140625" customWidth="1" style="22" min="9477" max="9477"/>
    <col width="10" customWidth="1" style="22" min="9478" max="9478"/>
    <col width="7.28515625" customWidth="1" style="22" min="9479" max="9479"/>
    <col width="7.7109375" customWidth="1" style="22" min="9480" max="9480"/>
    <col width="9.5703125" customWidth="1" style="22" min="9481" max="9481"/>
    <col width="9.85546875" customWidth="1" style="22" min="9482" max="9482"/>
    <col width="9" customWidth="1" style="22" min="9483" max="9484"/>
    <col width="16.5703125" customWidth="1" style="22" min="9485" max="9485"/>
    <col width="11.28515625" customWidth="1" style="22" min="9486" max="9486"/>
    <col width="7.5703125" customWidth="1" style="22" min="9487" max="9487"/>
    <col width="3.7109375" customWidth="1" style="22" min="9488" max="9488"/>
    <col width="9.140625" customWidth="1" style="22" min="9489" max="9489"/>
    <col width="10.28515625" customWidth="1" style="22" min="9490" max="9490"/>
    <col width="10" customWidth="1" style="22" min="9491" max="9491"/>
    <col width="9.85546875" customWidth="1" style="22" min="9492" max="9492"/>
    <col width="7.140625" customWidth="1" style="22" min="9493" max="9493"/>
    <col width="14.42578125" customWidth="1" style="22" min="9494" max="9494"/>
    <col width="11.5703125" customWidth="1" style="22" min="9495" max="9495"/>
    <col width="10" customWidth="1" style="22" min="9496" max="9496"/>
    <col width="7.28515625" customWidth="1" style="22" min="9497" max="9497"/>
    <col width="1.85546875" customWidth="1" style="22" min="9498" max="9498"/>
    <col width="10.7109375" customWidth="1" style="22" min="9499" max="9499"/>
    <col width="7.28515625" customWidth="1" style="22" min="9500" max="9500"/>
    <col width="3.5703125" customWidth="1" style="22" min="9501" max="9501"/>
    <col width="7" customWidth="1" style="22" min="9502" max="9502"/>
    <col width="15.85546875" customWidth="1" style="22" min="9503" max="9503"/>
    <col width="9.28515625" customWidth="1" style="22" min="9504" max="9504"/>
    <col width="9.7109375" customWidth="1" style="22" min="9505" max="9505"/>
    <col width="10.28515625" customWidth="1" style="22" min="9506" max="9507"/>
    <col width="9.5703125" customWidth="1" style="22" min="9508" max="9508"/>
    <col width="0.85546875" customWidth="1" style="22" min="9509" max="9728"/>
    <col width="5.28515625" customWidth="1" style="22" min="9729" max="9729"/>
    <col width="26.28515625" customWidth="1" style="22" min="9730" max="9730"/>
    <col width="5.140625" customWidth="1" style="22" min="9731" max="9731"/>
    <col width="6.5703125" customWidth="1" style="22" min="9732" max="9732"/>
    <col width="6.140625" customWidth="1" style="22" min="9733" max="9733"/>
    <col width="10" customWidth="1" style="22" min="9734" max="9734"/>
    <col width="7.28515625" customWidth="1" style="22" min="9735" max="9735"/>
    <col width="7.7109375" customWidth="1" style="22" min="9736" max="9736"/>
    <col width="9.5703125" customWidth="1" style="22" min="9737" max="9737"/>
    <col width="9.85546875" customWidth="1" style="22" min="9738" max="9738"/>
    <col width="9" customWidth="1" style="22" min="9739" max="9740"/>
    <col width="16.5703125" customWidth="1" style="22" min="9741" max="9741"/>
    <col width="11.28515625" customWidth="1" style="22" min="9742" max="9742"/>
    <col width="7.5703125" customWidth="1" style="22" min="9743" max="9743"/>
    <col width="3.7109375" customWidth="1" style="22" min="9744" max="9744"/>
    <col width="9.140625" customWidth="1" style="22" min="9745" max="9745"/>
    <col width="10.28515625" customWidth="1" style="22" min="9746" max="9746"/>
    <col width="10" customWidth="1" style="22" min="9747" max="9747"/>
    <col width="9.85546875" customWidth="1" style="22" min="9748" max="9748"/>
    <col width="7.140625" customWidth="1" style="22" min="9749" max="9749"/>
    <col width="14.42578125" customWidth="1" style="22" min="9750" max="9750"/>
    <col width="11.5703125" customWidth="1" style="22" min="9751" max="9751"/>
    <col width="10" customWidth="1" style="22" min="9752" max="9752"/>
    <col width="7.28515625" customWidth="1" style="22" min="9753" max="9753"/>
    <col width="1.85546875" customWidth="1" style="22" min="9754" max="9754"/>
    <col width="10.7109375" customWidth="1" style="22" min="9755" max="9755"/>
    <col width="7.28515625" customWidth="1" style="22" min="9756" max="9756"/>
    <col width="3.5703125" customWidth="1" style="22" min="9757" max="9757"/>
    <col width="7" customWidth="1" style="22" min="9758" max="9758"/>
    <col width="15.85546875" customWidth="1" style="22" min="9759" max="9759"/>
    <col width="9.28515625" customWidth="1" style="22" min="9760" max="9760"/>
    <col width="9.7109375" customWidth="1" style="22" min="9761" max="9761"/>
    <col width="10.28515625" customWidth="1" style="22" min="9762" max="9763"/>
    <col width="9.5703125" customWidth="1" style="22" min="9764" max="9764"/>
    <col width="0.85546875" customWidth="1" style="22" min="9765" max="9984"/>
    <col width="5.28515625" customWidth="1" style="22" min="9985" max="9985"/>
    <col width="26.28515625" customWidth="1" style="22" min="9986" max="9986"/>
    <col width="5.140625" customWidth="1" style="22" min="9987" max="9987"/>
    <col width="6.5703125" customWidth="1" style="22" min="9988" max="9988"/>
    <col width="6.140625" customWidth="1" style="22" min="9989" max="9989"/>
    <col width="10" customWidth="1" style="22" min="9990" max="9990"/>
    <col width="7.28515625" customWidth="1" style="22" min="9991" max="9991"/>
    <col width="7.7109375" customWidth="1" style="22" min="9992" max="9992"/>
    <col width="9.5703125" customWidth="1" style="22" min="9993" max="9993"/>
    <col width="9.85546875" customWidth="1" style="22" min="9994" max="9994"/>
    <col width="9" customWidth="1" style="22" min="9995" max="9996"/>
    <col width="16.5703125" customWidth="1" style="22" min="9997" max="9997"/>
    <col width="11.28515625" customWidth="1" style="22" min="9998" max="9998"/>
    <col width="7.5703125" customWidth="1" style="22" min="9999" max="9999"/>
    <col width="3.7109375" customWidth="1" style="22" min="10000" max="10000"/>
    <col width="9.140625" customWidth="1" style="22" min="10001" max="10001"/>
    <col width="10.28515625" customWidth="1" style="22" min="10002" max="10002"/>
    <col width="10" customWidth="1" style="22" min="10003" max="10003"/>
    <col width="9.85546875" customWidth="1" style="22" min="10004" max="10004"/>
    <col width="7.140625" customWidth="1" style="22" min="10005" max="10005"/>
    <col width="14.42578125" customWidth="1" style="22" min="10006" max="10006"/>
    <col width="11.5703125" customWidth="1" style="22" min="10007" max="10007"/>
    <col width="10" customWidth="1" style="22" min="10008" max="10008"/>
    <col width="7.28515625" customWidth="1" style="22" min="10009" max="10009"/>
    <col width="1.85546875" customWidth="1" style="22" min="10010" max="10010"/>
    <col width="10.7109375" customWidth="1" style="22" min="10011" max="10011"/>
    <col width="7.28515625" customWidth="1" style="22" min="10012" max="10012"/>
    <col width="3.5703125" customWidth="1" style="22" min="10013" max="10013"/>
    <col width="7" customWidth="1" style="22" min="10014" max="10014"/>
    <col width="15.85546875" customWidth="1" style="22" min="10015" max="10015"/>
    <col width="9.28515625" customWidth="1" style="22" min="10016" max="10016"/>
    <col width="9.7109375" customWidth="1" style="22" min="10017" max="10017"/>
    <col width="10.28515625" customWidth="1" style="22" min="10018" max="10019"/>
    <col width="9.5703125" customWidth="1" style="22" min="10020" max="10020"/>
    <col width="0.85546875" customWidth="1" style="22" min="10021" max="10240"/>
    <col width="5.28515625" customWidth="1" style="22" min="10241" max="10241"/>
    <col width="26.28515625" customWidth="1" style="22" min="10242" max="10242"/>
    <col width="5.140625" customWidth="1" style="22" min="10243" max="10243"/>
    <col width="6.5703125" customWidth="1" style="22" min="10244" max="10244"/>
    <col width="6.140625" customWidth="1" style="22" min="10245" max="10245"/>
    <col width="10" customWidth="1" style="22" min="10246" max="10246"/>
    <col width="7.28515625" customWidth="1" style="22" min="10247" max="10247"/>
    <col width="7.7109375" customWidth="1" style="22" min="10248" max="10248"/>
    <col width="9.5703125" customWidth="1" style="22" min="10249" max="10249"/>
    <col width="9.85546875" customWidth="1" style="22" min="10250" max="10250"/>
    <col width="9" customWidth="1" style="22" min="10251" max="10252"/>
    <col width="16.5703125" customWidth="1" style="22" min="10253" max="10253"/>
    <col width="11.28515625" customWidth="1" style="22" min="10254" max="10254"/>
    <col width="7.5703125" customWidth="1" style="22" min="10255" max="10255"/>
    <col width="3.7109375" customWidth="1" style="22" min="10256" max="10256"/>
    <col width="9.140625" customWidth="1" style="22" min="10257" max="10257"/>
    <col width="10.28515625" customWidth="1" style="22" min="10258" max="10258"/>
    <col width="10" customWidth="1" style="22" min="10259" max="10259"/>
    <col width="9.85546875" customWidth="1" style="22" min="10260" max="10260"/>
    <col width="7.140625" customWidth="1" style="22" min="10261" max="10261"/>
    <col width="14.42578125" customWidth="1" style="22" min="10262" max="10262"/>
    <col width="11.5703125" customWidth="1" style="22" min="10263" max="10263"/>
    <col width="10" customWidth="1" style="22" min="10264" max="10264"/>
    <col width="7.28515625" customWidth="1" style="22" min="10265" max="10265"/>
    <col width="1.85546875" customWidth="1" style="22" min="10266" max="10266"/>
    <col width="10.7109375" customWidth="1" style="22" min="10267" max="10267"/>
    <col width="7.28515625" customWidth="1" style="22" min="10268" max="10268"/>
    <col width="3.5703125" customWidth="1" style="22" min="10269" max="10269"/>
    <col width="7" customWidth="1" style="22" min="10270" max="10270"/>
    <col width="15.85546875" customWidth="1" style="22" min="10271" max="10271"/>
    <col width="9.28515625" customWidth="1" style="22" min="10272" max="10272"/>
    <col width="9.7109375" customWidth="1" style="22" min="10273" max="10273"/>
    <col width="10.28515625" customWidth="1" style="22" min="10274" max="10275"/>
    <col width="9.5703125" customWidth="1" style="22" min="10276" max="10276"/>
    <col width="0.85546875" customWidth="1" style="22" min="10277" max="10496"/>
    <col width="5.28515625" customWidth="1" style="22" min="10497" max="10497"/>
    <col width="26.28515625" customWidth="1" style="22" min="10498" max="10498"/>
    <col width="5.140625" customWidth="1" style="22" min="10499" max="10499"/>
    <col width="6.5703125" customWidth="1" style="22" min="10500" max="10500"/>
    <col width="6.140625" customWidth="1" style="22" min="10501" max="10501"/>
    <col width="10" customWidth="1" style="22" min="10502" max="10502"/>
    <col width="7.28515625" customWidth="1" style="22" min="10503" max="10503"/>
    <col width="7.7109375" customWidth="1" style="22" min="10504" max="10504"/>
    <col width="9.5703125" customWidth="1" style="22" min="10505" max="10505"/>
    <col width="9.85546875" customWidth="1" style="22" min="10506" max="10506"/>
    <col width="9" customWidth="1" style="22" min="10507" max="10508"/>
    <col width="16.5703125" customWidth="1" style="22" min="10509" max="10509"/>
    <col width="11.28515625" customWidth="1" style="22" min="10510" max="10510"/>
    <col width="7.5703125" customWidth="1" style="22" min="10511" max="10511"/>
    <col width="3.7109375" customWidth="1" style="22" min="10512" max="10512"/>
    <col width="9.140625" customWidth="1" style="22" min="10513" max="10513"/>
    <col width="10.28515625" customWidth="1" style="22" min="10514" max="10514"/>
    <col width="10" customWidth="1" style="22" min="10515" max="10515"/>
    <col width="9.85546875" customWidth="1" style="22" min="10516" max="10516"/>
    <col width="7.140625" customWidth="1" style="22" min="10517" max="10517"/>
    <col width="14.42578125" customWidth="1" style="22" min="10518" max="10518"/>
    <col width="11.5703125" customWidth="1" style="22" min="10519" max="10519"/>
    <col width="10" customWidth="1" style="22" min="10520" max="10520"/>
    <col width="7.28515625" customWidth="1" style="22" min="10521" max="10521"/>
    <col width="1.85546875" customWidth="1" style="22" min="10522" max="10522"/>
    <col width="10.7109375" customWidth="1" style="22" min="10523" max="10523"/>
    <col width="7.28515625" customWidth="1" style="22" min="10524" max="10524"/>
    <col width="3.5703125" customWidth="1" style="22" min="10525" max="10525"/>
    <col width="7" customWidth="1" style="22" min="10526" max="10526"/>
    <col width="15.85546875" customWidth="1" style="22" min="10527" max="10527"/>
    <col width="9.28515625" customWidth="1" style="22" min="10528" max="10528"/>
    <col width="9.7109375" customWidth="1" style="22" min="10529" max="10529"/>
    <col width="10.28515625" customWidth="1" style="22" min="10530" max="10531"/>
    <col width="9.5703125" customWidth="1" style="22" min="10532" max="10532"/>
    <col width="0.85546875" customWidth="1" style="22" min="10533" max="10752"/>
    <col width="5.28515625" customWidth="1" style="22" min="10753" max="10753"/>
    <col width="26.28515625" customWidth="1" style="22" min="10754" max="10754"/>
    <col width="5.140625" customWidth="1" style="22" min="10755" max="10755"/>
    <col width="6.5703125" customWidth="1" style="22" min="10756" max="10756"/>
    <col width="6.140625" customWidth="1" style="22" min="10757" max="10757"/>
    <col width="10" customWidth="1" style="22" min="10758" max="10758"/>
    <col width="7.28515625" customWidth="1" style="22" min="10759" max="10759"/>
    <col width="7.7109375" customWidth="1" style="22" min="10760" max="10760"/>
    <col width="9.5703125" customWidth="1" style="22" min="10761" max="10761"/>
    <col width="9.85546875" customWidth="1" style="22" min="10762" max="10762"/>
    <col width="9" customWidth="1" style="22" min="10763" max="10764"/>
    <col width="16.5703125" customWidth="1" style="22" min="10765" max="10765"/>
    <col width="11.28515625" customWidth="1" style="22" min="10766" max="10766"/>
    <col width="7.5703125" customWidth="1" style="22" min="10767" max="10767"/>
    <col width="3.7109375" customWidth="1" style="22" min="10768" max="10768"/>
    <col width="9.140625" customWidth="1" style="22" min="10769" max="10769"/>
    <col width="10.28515625" customWidth="1" style="22" min="10770" max="10770"/>
    <col width="10" customWidth="1" style="22" min="10771" max="10771"/>
    <col width="9.85546875" customWidth="1" style="22" min="10772" max="10772"/>
    <col width="7.140625" customWidth="1" style="22" min="10773" max="10773"/>
    <col width="14.42578125" customWidth="1" style="22" min="10774" max="10774"/>
    <col width="11.5703125" customWidth="1" style="22" min="10775" max="10775"/>
    <col width="10" customWidth="1" style="22" min="10776" max="10776"/>
    <col width="7.28515625" customWidth="1" style="22" min="10777" max="10777"/>
    <col width="1.85546875" customWidth="1" style="22" min="10778" max="10778"/>
    <col width="10.7109375" customWidth="1" style="22" min="10779" max="10779"/>
    <col width="7.28515625" customWidth="1" style="22" min="10780" max="10780"/>
    <col width="3.5703125" customWidth="1" style="22" min="10781" max="10781"/>
    <col width="7" customWidth="1" style="22" min="10782" max="10782"/>
    <col width="15.85546875" customWidth="1" style="22" min="10783" max="10783"/>
    <col width="9.28515625" customWidth="1" style="22" min="10784" max="10784"/>
    <col width="9.7109375" customWidth="1" style="22" min="10785" max="10785"/>
    <col width="10.28515625" customWidth="1" style="22" min="10786" max="10787"/>
    <col width="9.5703125" customWidth="1" style="22" min="10788" max="10788"/>
    <col width="0.85546875" customWidth="1" style="22" min="10789" max="11008"/>
    <col width="5.28515625" customWidth="1" style="22" min="11009" max="11009"/>
    <col width="26.28515625" customWidth="1" style="22" min="11010" max="11010"/>
    <col width="5.140625" customWidth="1" style="22" min="11011" max="11011"/>
    <col width="6.5703125" customWidth="1" style="22" min="11012" max="11012"/>
    <col width="6.140625" customWidth="1" style="22" min="11013" max="11013"/>
    <col width="10" customWidth="1" style="22" min="11014" max="11014"/>
    <col width="7.28515625" customWidth="1" style="22" min="11015" max="11015"/>
    <col width="7.7109375" customWidth="1" style="22" min="11016" max="11016"/>
    <col width="9.5703125" customWidth="1" style="22" min="11017" max="11017"/>
    <col width="9.85546875" customWidth="1" style="22" min="11018" max="11018"/>
    <col width="9" customWidth="1" style="22" min="11019" max="11020"/>
    <col width="16.5703125" customWidth="1" style="22" min="11021" max="11021"/>
    <col width="11.28515625" customWidth="1" style="22" min="11022" max="11022"/>
    <col width="7.5703125" customWidth="1" style="22" min="11023" max="11023"/>
    <col width="3.7109375" customWidth="1" style="22" min="11024" max="11024"/>
    <col width="9.140625" customWidth="1" style="22" min="11025" max="11025"/>
    <col width="10.28515625" customWidth="1" style="22" min="11026" max="11026"/>
    <col width="10" customWidth="1" style="22" min="11027" max="11027"/>
    <col width="9.85546875" customWidth="1" style="22" min="11028" max="11028"/>
    <col width="7.140625" customWidth="1" style="22" min="11029" max="11029"/>
    <col width="14.42578125" customWidth="1" style="22" min="11030" max="11030"/>
    <col width="11.5703125" customWidth="1" style="22" min="11031" max="11031"/>
    <col width="10" customWidth="1" style="22" min="11032" max="11032"/>
    <col width="7.28515625" customWidth="1" style="22" min="11033" max="11033"/>
    <col width="1.85546875" customWidth="1" style="22" min="11034" max="11034"/>
    <col width="10.7109375" customWidth="1" style="22" min="11035" max="11035"/>
    <col width="7.28515625" customWidth="1" style="22" min="11036" max="11036"/>
    <col width="3.5703125" customWidth="1" style="22" min="11037" max="11037"/>
    <col width="7" customWidth="1" style="22" min="11038" max="11038"/>
    <col width="15.85546875" customWidth="1" style="22" min="11039" max="11039"/>
    <col width="9.28515625" customWidth="1" style="22" min="11040" max="11040"/>
    <col width="9.7109375" customWidth="1" style="22" min="11041" max="11041"/>
    <col width="10.28515625" customWidth="1" style="22" min="11042" max="11043"/>
    <col width="9.5703125" customWidth="1" style="22" min="11044" max="11044"/>
    <col width="0.85546875" customWidth="1" style="22" min="11045" max="11264"/>
    <col width="5.28515625" customWidth="1" style="22" min="11265" max="11265"/>
    <col width="26.28515625" customWidth="1" style="22" min="11266" max="11266"/>
    <col width="5.140625" customWidth="1" style="22" min="11267" max="11267"/>
    <col width="6.5703125" customWidth="1" style="22" min="11268" max="11268"/>
    <col width="6.140625" customWidth="1" style="22" min="11269" max="11269"/>
    <col width="10" customWidth="1" style="22" min="11270" max="11270"/>
    <col width="7.28515625" customWidth="1" style="22" min="11271" max="11271"/>
    <col width="7.7109375" customWidth="1" style="22" min="11272" max="11272"/>
    <col width="9.5703125" customWidth="1" style="22" min="11273" max="11273"/>
    <col width="9.85546875" customWidth="1" style="22" min="11274" max="11274"/>
    <col width="9" customWidth="1" style="22" min="11275" max="11276"/>
    <col width="16.5703125" customWidth="1" style="22" min="11277" max="11277"/>
    <col width="11.28515625" customWidth="1" style="22" min="11278" max="11278"/>
    <col width="7.5703125" customWidth="1" style="22" min="11279" max="11279"/>
    <col width="3.7109375" customWidth="1" style="22" min="11280" max="11280"/>
    <col width="9.140625" customWidth="1" style="22" min="11281" max="11281"/>
    <col width="10.28515625" customWidth="1" style="22" min="11282" max="11282"/>
    <col width="10" customWidth="1" style="22" min="11283" max="11283"/>
    <col width="9.85546875" customWidth="1" style="22" min="11284" max="11284"/>
    <col width="7.140625" customWidth="1" style="22" min="11285" max="11285"/>
    <col width="14.42578125" customWidth="1" style="22" min="11286" max="11286"/>
    <col width="11.5703125" customWidth="1" style="22" min="11287" max="11287"/>
    <col width="10" customWidth="1" style="22" min="11288" max="11288"/>
    <col width="7.28515625" customWidth="1" style="22" min="11289" max="11289"/>
    <col width="1.85546875" customWidth="1" style="22" min="11290" max="11290"/>
    <col width="10.7109375" customWidth="1" style="22" min="11291" max="11291"/>
    <col width="7.28515625" customWidth="1" style="22" min="11292" max="11292"/>
    <col width="3.5703125" customWidth="1" style="22" min="11293" max="11293"/>
    <col width="7" customWidth="1" style="22" min="11294" max="11294"/>
    <col width="15.85546875" customWidth="1" style="22" min="11295" max="11295"/>
    <col width="9.28515625" customWidth="1" style="22" min="11296" max="11296"/>
    <col width="9.7109375" customWidth="1" style="22" min="11297" max="11297"/>
    <col width="10.28515625" customWidth="1" style="22" min="11298" max="11299"/>
    <col width="9.5703125" customWidth="1" style="22" min="11300" max="11300"/>
    <col width="0.85546875" customWidth="1" style="22" min="11301" max="11520"/>
    <col width="5.28515625" customWidth="1" style="22" min="11521" max="11521"/>
    <col width="26.28515625" customWidth="1" style="22" min="11522" max="11522"/>
    <col width="5.140625" customWidth="1" style="22" min="11523" max="11523"/>
    <col width="6.5703125" customWidth="1" style="22" min="11524" max="11524"/>
    <col width="6.140625" customWidth="1" style="22" min="11525" max="11525"/>
    <col width="10" customWidth="1" style="22" min="11526" max="11526"/>
    <col width="7.28515625" customWidth="1" style="22" min="11527" max="11527"/>
    <col width="7.7109375" customWidth="1" style="22" min="11528" max="11528"/>
    <col width="9.5703125" customWidth="1" style="22" min="11529" max="11529"/>
    <col width="9.85546875" customWidth="1" style="22" min="11530" max="11530"/>
    <col width="9" customWidth="1" style="22" min="11531" max="11532"/>
    <col width="16.5703125" customWidth="1" style="22" min="11533" max="11533"/>
    <col width="11.28515625" customWidth="1" style="22" min="11534" max="11534"/>
    <col width="7.5703125" customWidth="1" style="22" min="11535" max="11535"/>
    <col width="3.7109375" customWidth="1" style="22" min="11536" max="11536"/>
    <col width="9.140625" customWidth="1" style="22" min="11537" max="11537"/>
    <col width="10.28515625" customWidth="1" style="22" min="11538" max="11538"/>
    <col width="10" customWidth="1" style="22" min="11539" max="11539"/>
    <col width="9.85546875" customWidth="1" style="22" min="11540" max="11540"/>
    <col width="7.140625" customWidth="1" style="22" min="11541" max="11541"/>
    <col width="14.42578125" customWidth="1" style="22" min="11542" max="11542"/>
    <col width="11.5703125" customWidth="1" style="22" min="11543" max="11543"/>
    <col width="10" customWidth="1" style="22" min="11544" max="11544"/>
    <col width="7.28515625" customWidth="1" style="22" min="11545" max="11545"/>
    <col width="1.85546875" customWidth="1" style="22" min="11546" max="11546"/>
    <col width="10.7109375" customWidth="1" style="22" min="11547" max="11547"/>
    <col width="7.28515625" customWidth="1" style="22" min="11548" max="11548"/>
    <col width="3.5703125" customWidth="1" style="22" min="11549" max="11549"/>
    <col width="7" customWidth="1" style="22" min="11550" max="11550"/>
    <col width="15.85546875" customWidth="1" style="22" min="11551" max="11551"/>
    <col width="9.28515625" customWidth="1" style="22" min="11552" max="11552"/>
    <col width="9.7109375" customWidth="1" style="22" min="11553" max="11553"/>
    <col width="10.28515625" customWidth="1" style="22" min="11554" max="11555"/>
    <col width="9.5703125" customWidth="1" style="22" min="11556" max="11556"/>
    <col width="0.85546875" customWidth="1" style="22" min="11557" max="11776"/>
    <col width="5.28515625" customWidth="1" style="22" min="11777" max="11777"/>
    <col width="26.28515625" customWidth="1" style="22" min="11778" max="11778"/>
    <col width="5.140625" customWidth="1" style="22" min="11779" max="11779"/>
    <col width="6.5703125" customWidth="1" style="22" min="11780" max="11780"/>
    <col width="6.140625" customWidth="1" style="22" min="11781" max="11781"/>
    <col width="10" customWidth="1" style="22" min="11782" max="11782"/>
    <col width="7.28515625" customWidth="1" style="22" min="11783" max="11783"/>
    <col width="7.7109375" customWidth="1" style="22" min="11784" max="11784"/>
    <col width="9.5703125" customWidth="1" style="22" min="11785" max="11785"/>
    <col width="9.85546875" customWidth="1" style="22" min="11786" max="11786"/>
    <col width="9" customWidth="1" style="22" min="11787" max="11788"/>
    <col width="16.5703125" customWidth="1" style="22" min="11789" max="11789"/>
    <col width="11.28515625" customWidth="1" style="22" min="11790" max="11790"/>
    <col width="7.5703125" customWidth="1" style="22" min="11791" max="11791"/>
    <col width="3.7109375" customWidth="1" style="22" min="11792" max="11792"/>
    <col width="9.140625" customWidth="1" style="22" min="11793" max="11793"/>
    <col width="10.28515625" customWidth="1" style="22" min="11794" max="11794"/>
    <col width="10" customWidth="1" style="22" min="11795" max="11795"/>
    <col width="9.85546875" customWidth="1" style="22" min="11796" max="11796"/>
    <col width="7.140625" customWidth="1" style="22" min="11797" max="11797"/>
    <col width="14.42578125" customWidth="1" style="22" min="11798" max="11798"/>
    <col width="11.5703125" customWidth="1" style="22" min="11799" max="11799"/>
    <col width="10" customWidth="1" style="22" min="11800" max="11800"/>
    <col width="7.28515625" customWidth="1" style="22" min="11801" max="11801"/>
    <col width="1.85546875" customWidth="1" style="22" min="11802" max="11802"/>
    <col width="10.7109375" customWidth="1" style="22" min="11803" max="11803"/>
    <col width="7.28515625" customWidth="1" style="22" min="11804" max="11804"/>
    <col width="3.5703125" customWidth="1" style="22" min="11805" max="11805"/>
    <col width="7" customWidth="1" style="22" min="11806" max="11806"/>
    <col width="15.85546875" customWidth="1" style="22" min="11807" max="11807"/>
    <col width="9.28515625" customWidth="1" style="22" min="11808" max="11808"/>
    <col width="9.7109375" customWidth="1" style="22" min="11809" max="11809"/>
    <col width="10.28515625" customWidth="1" style="22" min="11810" max="11811"/>
    <col width="9.5703125" customWidth="1" style="22" min="11812" max="11812"/>
    <col width="0.85546875" customWidth="1" style="22" min="11813" max="12032"/>
    <col width="5.28515625" customWidth="1" style="22" min="12033" max="12033"/>
    <col width="26.28515625" customWidth="1" style="22" min="12034" max="12034"/>
    <col width="5.140625" customWidth="1" style="22" min="12035" max="12035"/>
    <col width="6.5703125" customWidth="1" style="22" min="12036" max="12036"/>
    <col width="6.140625" customWidth="1" style="22" min="12037" max="12037"/>
    <col width="10" customWidth="1" style="22" min="12038" max="12038"/>
    <col width="7.28515625" customWidth="1" style="22" min="12039" max="12039"/>
    <col width="7.7109375" customWidth="1" style="22" min="12040" max="12040"/>
    <col width="9.5703125" customWidth="1" style="22" min="12041" max="12041"/>
    <col width="9.85546875" customWidth="1" style="22" min="12042" max="12042"/>
    <col width="9" customWidth="1" style="22" min="12043" max="12044"/>
    <col width="16.5703125" customWidth="1" style="22" min="12045" max="12045"/>
    <col width="11.28515625" customWidth="1" style="22" min="12046" max="12046"/>
    <col width="7.5703125" customWidth="1" style="22" min="12047" max="12047"/>
    <col width="3.7109375" customWidth="1" style="22" min="12048" max="12048"/>
    <col width="9.140625" customWidth="1" style="22" min="12049" max="12049"/>
    <col width="10.28515625" customWidth="1" style="22" min="12050" max="12050"/>
    <col width="10" customWidth="1" style="22" min="12051" max="12051"/>
    <col width="9.85546875" customWidth="1" style="22" min="12052" max="12052"/>
    <col width="7.140625" customWidth="1" style="22" min="12053" max="12053"/>
    <col width="14.42578125" customWidth="1" style="22" min="12054" max="12054"/>
    <col width="11.5703125" customWidth="1" style="22" min="12055" max="12055"/>
    <col width="10" customWidth="1" style="22" min="12056" max="12056"/>
    <col width="7.28515625" customWidth="1" style="22" min="12057" max="12057"/>
    <col width="1.85546875" customWidth="1" style="22" min="12058" max="12058"/>
    <col width="10.7109375" customWidth="1" style="22" min="12059" max="12059"/>
    <col width="7.28515625" customWidth="1" style="22" min="12060" max="12060"/>
    <col width="3.5703125" customWidth="1" style="22" min="12061" max="12061"/>
    <col width="7" customWidth="1" style="22" min="12062" max="12062"/>
    <col width="15.85546875" customWidth="1" style="22" min="12063" max="12063"/>
    <col width="9.28515625" customWidth="1" style="22" min="12064" max="12064"/>
    <col width="9.7109375" customWidth="1" style="22" min="12065" max="12065"/>
    <col width="10.28515625" customWidth="1" style="22" min="12066" max="12067"/>
    <col width="9.5703125" customWidth="1" style="22" min="12068" max="12068"/>
    <col width="0.85546875" customWidth="1" style="22" min="12069" max="12288"/>
    <col width="5.28515625" customWidth="1" style="22" min="12289" max="12289"/>
    <col width="26.28515625" customWidth="1" style="22" min="12290" max="12290"/>
    <col width="5.140625" customWidth="1" style="22" min="12291" max="12291"/>
    <col width="6.5703125" customWidth="1" style="22" min="12292" max="12292"/>
    <col width="6.140625" customWidth="1" style="22" min="12293" max="12293"/>
    <col width="10" customWidth="1" style="22" min="12294" max="12294"/>
    <col width="7.28515625" customWidth="1" style="22" min="12295" max="12295"/>
    <col width="7.7109375" customWidth="1" style="22" min="12296" max="12296"/>
    <col width="9.5703125" customWidth="1" style="22" min="12297" max="12297"/>
    <col width="9.85546875" customWidth="1" style="22" min="12298" max="12298"/>
    <col width="9" customWidth="1" style="22" min="12299" max="12300"/>
    <col width="16.5703125" customWidth="1" style="22" min="12301" max="12301"/>
    <col width="11.28515625" customWidth="1" style="22" min="12302" max="12302"/>
    <col width="7.5703125" customWidth="1" style="22" min="12303" max="12303"/>
    <col width="3.7109375" customWidth="1" style="22" min="12304" max="12304"/>
    <col width="9.140625" customWidth="1" style="22" min="12305" max="12305"/>
    <col width="10.28515625" customWidth="1" style="22" min="12306" max="12306"/>
    <col width="10" customWidth="1" style="22" min="12307" max="12307"/>
    <col width="9.85546875" customWidth="1" style="22" min="12308" max="12308"/>
    <col width="7.140625" customWidth="1" style="22" min="12309" max="12309"/>
    <col width="14.42578125" customWidth="1" style="22" min="12310" max="12310"/>
    <col width="11.5703125" customWidth="1" style="22" min="12311" max="12311"/>
    <col width="10" customWidth="1" style="22" min="12312" max="12312"/>
    <col width="7.28515625" customWidth="1" style="22" min="12313" max="12313"/>
    <col width="1.85546875" customWidth="1" style="22" min="12314" max="12314"/>
    <col width="10.7109375" customWidth="1" style="22" min="12315" max="12315"/>
    <col width="7.28515625" customWidth="1" style="22" min="12316" max="12316"/>
    <col width="3.5703125" customWidth="1" style="22" min="12317" max="12317"/>
    <col width="7" customWidth="1" style="22" min="12318" max="12318"/>
    <col width="15.85546875" customWidth="1" style="22" min="12319" max="12319"/>
    <col width="9.28515625" customWidth="1" style="22" min="12320" max="12320"/>
    <col width="9.7109375" customWidth="1" style="22" min="12321" max="12321"/>
    <col width="10.28515625" customWidth="1" style="22" min="12322" max="12323"/>
    <col width="9.5703125" customWidth="1" style="22" min="12324" max="12324"/>
    <col width="0.85546875" customWidth="1" style="22" min="12325" max="12544"/>
    <col width="5.28515625" customWidth="1" style="22" min="12545" max="12545"/>
    <col width="26.28515625" customWidth="1" style="22" min="12546" max="12546"/>
    <col width="5.140625" customWidth="1" style="22" min="12547" max="12547"/>
    <col width="6.5703125" customWidth="1" style="22" min="12548" max="12548"/>
    <col width="6.140625" customWidth="1" style="22" min="12549" max="12549"/>
    <col width="10" customWidth="1" style="22" min="12550" max="12550"/>
    <col width="7.28515625" customWidth="1" style="22" min="12551" max="12551"/>
    <col width="7.7109375" customWidth="1" style="22" min="12552" max="12552"/>
    <col width="9.5703125" customWidth="1" style="22" min="12553" max="12553"/>
    <col width="9.85546875" customWidth="1" style="22" min="12554" max="12554"/>
    <col width="9" customWidth="1" style="22" min="12555" max="12556"/>
    <col width="16.5703125" customWidth="1" style="22" min="12557" max="12557"/>
    <col width="11.28515625" customWidth="1" style="22" min="12558" max="12558"/>
    <col width="7.5703125" customWidth="1" style="22" min="12559" max="12559"/>
    <col width="3.7109375" customWidth="1" style="22" min="12560" max="12560"/>
    <col width="9.140625" customWidth="1" style="22" min="12561" max="12561"/>
    <col width="10.28515625" customWidth="1" style="22" min="12562" max="12562"/>
    <col width="10" customWidth="1" style="22" min="12563" max="12563"/>
    <col width="9.85546875" customWidth="1" style="22" min="12564" max="12564"/>
    <col width="7.140625" customWidth="1" style="22" min="12565" max="12565"/>
    <col width="14.42578125" customWidth="1" style="22" min="12566" max="12566"/>
    <col width="11.5703125" customWidth="1" style="22" min="12567" max="12567"/>
    <col width="10" customWidth="1" style="22" min="12568" max="12568"/>
    <col width="7.28515625" customWidth="1" style="22" min="12569" max="12569"/>
    <col width="1.85546875" customWidth="1" style="22" min="12570" max="12570"/>
    <col width="10.7109375" customWidth="1" style="22" min="12571" max="12571"/>
    <col width="7.28515625" customWidth="1" style="22" min="12572" max="12572"/>
    <col width="3.5703125" customWidth="1" style="22" min="12573" max="12573"/>
    <col width="7" customWidth="1" style="22" min="12574" max="12574"/>
    <col width="15.85546875" customWidth="1" style="22" min="12575" max="12575"/>
    <col width="9.28515625" customWidth="1" style="22" min="12576" max="12576"/>
    <col width="9.7109375" customWidth="1" style="22" min="12577" max="12577"/>
    <col width="10.28515625" customWidth="1" style="22" min="12578" max="12579"/>
    <col width="9.5703125" customWidth="1" style="22" min="12580" max="12580"/>
    <col width="0.85546875" customWidth="1" style="22" min="12581" max="12800"/>
    <col width="5.28515625" customWidth="1" style="22" min="12801" max="12801"/>
    <col width="26.28515625" customWidth="1" style="22" min="12802" max="12802"/>
    <col width="5.140625" customWidth="1" style="22" min="12803" max="12803"/>
    <col width="6.5703125" customWidth="1" style="22" min="12804" max="12804"/>
    <col width="6.140625" customWidth="1" style="22" min="12805" max="12805"/>
    <col width="10" customWidth="1" style="22" min="12806" max="12806"/>
    <col width="7.28515625" customWidth="1" style="22" min="12807" max="12807"/>
    <col width="7.7109375" customWidth="1" style="22" min="12808" max="12808"/>
    <col width="9.5703125" customWidth="1" style="22" min="12809" max="12809"/>
    <col width="9.85546875" customWidth="1" style="22" min="12810" max="12810"/>
    <col width="9" customWidth="1" style="22" min="12811" max="12812"/>
    <col width="16.5703125" customWidth="1" style="22" min="12813" max="12813"/>
    <col width="11.28515625" customWidth="1" style="22" min="12814" max="12814"/>
    <col width="7.5703125" customWidth="1" style="22" min="12815" max="12815"/>
    <col width="3.7109375" customWidth="1" style="22" min="12816" max="12816"/>
    <col width="9.140625" customWidth="1" style="22" min="12817" max="12817"/>
    <col width="10.28515625" customWidth="1" style="22" min="12818" max="12818"/>
    <col width="10" customWidth="1" style="22" min="12819" max="12819"/>
    <col width="9.85546875" customWidth="1" style="22" min="12820" max="12820"/>
    <col width="7.140625" customWidth="1" style="22" min="12821" max="12821"/>
    <col width="14.42578125" customWidth="1" style="22" min="12822" max="12822"/>
    <col width="11.5703125" customWidth="1" style="22" min="12823" max="12823"/>
    <col width="10" customWidth="1" style="22" min="12824" max="12824"/>
    <col width="7.28515625" customWidth="1" style="22" min="12825" max="12825"/>
    <col width="1.85546875" customWidth="1" style="22" min="12826" max="12826"/>
    <col width="10.7109375" customWidth="1" style="22" min="12827" max="12827"/>
    <col width="7.28515625" customWidth="1" style="22" min="12828" max="12828"/>
    <col width="3.5703125" customWidth="1" style="22" min="12829" max="12829"/>
    <col width="7" customWidth="1" style="22" min="12830" max="12830"/>
    <col width="15.85546875" customWidth="1" style="22" min="12831" max="12831"/>
    <col width="9.28515625" customWidth="1" style="22" min="12832" max="12832"/>
    <col width="9.7109375" customWidth="1" style="22" min="12833" max="12833"/>
    <col width="10.28515625" customWidth="1" style="22" min="12834" max="12835"/>
    <col width="9.5703125" customWidth="1" style="22" min="12836" max="12836"/>
    <col width="0.85546875" customWidth="1" style="22" min="12837" max="13056"/>
    <col width="5.28515625" customWidth="1" style="22" min="13057" max="13057"/>
    <col width="26.28515625" customWidth="1" style="22" min="13058" max="13058"/>
    <col width="5.140625" customWidth="1" style="22" min="13059" max="13059"/>
    <col width="6.5703125" customWidth="1" style="22" min="13060" max="13060"/>
    <col width="6.140625" customWidth="1" style="22" min="13061" max="13061"/>
    <col width="10" customWidth="1" style="22" min="13062" max="13062"/>
    <col width="7.28515625" customWidth="1" style="22" min="13063" max="13063"/>
    <col width="7.7109375" customWidth="1" style="22" min="13064" max="13064"/>
    <col width="9.5703125" customWidth="1" style="22" min="13065" max="13065"/>
    <col width="9.85546875" customWidth="1" style="22" min="13066" max="13066"/>
    <col width="9" customWidth="1" style="22" min="13067" max="13068"/>
    <col width="16.5703125" customWidth="1" style="22" min="13069" max="13069"/>
    <col width="11.28515625" customWidth="1" style="22" min="13070" max="13070"/>
    <col width="7.5703125" customWidth="1" style="22" min="13071" max="13071"/>
    <col width="3.7109375" customWidth="1" style="22" min="13072" max="13072"/>
    <col width="9.140625" customWidth="1" style="22" min="13073" max="13073"/>
    <col width="10.28515625" customWidth="1" style="22" min="13074" max="13074"/>
    <col width="10" customWidth="1" style="22" min="13075" max="13075"/>
    <col width="9.85546875" customWidth="1" style="22" min="13076" max="13076"/>
    <col width="7.140625" customWidth="1" style="22" min="13077" max="13077"/>
    <col width="14.42578125" customWidth="1" style="22" min="13078" max="13078"/>
    <col width="11.5703125" customWidth="1" style="22" min="13079" max="13079"/>
    <col width="10" customWidth="1" style="22" min="13080" max="13080"/>
    <col width="7.28515625" customWidth="1" style="22" min="13081" max="13081"/>
    <col width="1.85546875" customWidth="1" style="22" min="13082" max="13082"/>
    <col width="10.7109375" customWidth="1" style="22" min="13083" max="13083"/>
    <col width="7.28515625" customWidth="1" style="22" min="13084" max="13084"/>
    <col width="3.5703125" customWidth="1" style="22" min="13085" max="13085"/>
    <col width="7" customWidth="1" style="22" min="13086" max="13086"/>
    <col width="15.85546875" customWidth="1" style="22" min="13087" max="13087"/>
    <col width="9.28515625" customWidth="1" style="22" min="13088" max="13088"/>
    <col width="9.7109375" customWidth="1" style="22" min="13089" max="13089"/>
    <col width="10.28515625" customWidth="1" style="22" min="13090" max="13091"/>
    <col width="9.5703125" customWidth="1" style="22" min="13092" max="13092"/>
    <col width="0.85546875" customWidth="1" style="22" min="13093" max="13312"/>
    <col width="5.28515625" customWidth="1" style="22" min="13313" max="13313"/>
    <col width="26.28515625" customWidth="1" style="22" min="13314" max="13314"/>
    <col width="5.140625" customWidth="1" style="22" min="13315" max="13315"/>
    <col width="6.5703125" customWidth="1" style="22" min="13316" max="13316"/>
    <col width="6.140625" customWidth="1" style="22" min="13317" max="13317"/>
    <col width="10" customWidth="1" style="22" min="13318" max="13318"/>
    <col width="7.28515625" customWidth="1" style="22" min="13319" max="13319"/>
    <col width="7.7109375" customWidth="1" style="22" min="13320" max="13320"/>
    <col width="9.5703125" customWidth="1" style="22" min="13321" max="13321"/>
    <col width="9.85546875" customWidth="1" style="22" min="13322" max="13322"/>
    <col width="9" customWidth="1" style="22" min="13323" max="13324"/>
    <col width="16.5703125" customWidth="1" style="22" min="13325" max="13325"/>
    <col width="11.28515625" customWidth="1" style="22" min="13326" max="13326"/>
    <col width="7.5703125" customWidth="1" style="22" min="13327" max="13327"/>
    <col width="3.7109375" customWidth="1" style="22" min="13328" max="13328"/>
    <col width="9.140625" customWidth="1" style="22" min="13329" max="13329"/>
    <col width="10.28515625" customWidth="1" style="22" min="13330" max="13330"/>
    <col width="10" customWidth="1" style="22" min="13331" max="13331"/>
    <col width="9.85546875" customWidth="1" style="22" min="13332" max="13332"/>
    <col width="7.140625" customWidth="1" style="22" min="13333" max="13333"/>
    <col width="14.42578125" customWidth="1" style="22" min="13334" max="13334"/>
    <col width="11.5703125" customWidth="1" style="22" min="13335" max="13335"/>
    <col width="10" customWidth="1" style="22" min="13336" max="13336"/>
    <col width="7.28515625" customWidth="1" style="22" min="13337" max="13337"/>
    <col width="1.85546875" customWidth="1" style="22" min="13338" max="13338"/>
    <col width="10.7109375" customWidth="1" style="22" min="13339" max="13339"/>
    <col width="7.28515625" customWidth="1" style="22" min="13340" max="13340"/>
    <col width="3.5703125" customWidth="1" style="22" min="13341" max="13341"/>
    <col width="7" customWidth="1" style="22" min="13342" max="13342"/>
    <col width="15.85546875" customWidth="1" style="22" min="13343" max="13343"/>
    <col width="9.28515625" customWidth="1" style="22" min="13344" max="13344"/>
    <col width="9.7109375" customWidth="1" style="22" min="13345" max="13345"/>
    <col width="10.28515625" customWidth="1" style="22" min="13346" max="13347"/>
    <col width="9.5703125" customWidth="1" style="22" min="13348" max="13348"/>
    <col width="0.85546875" customWidth="1" style="22" min="13349" max="13568"/>
    <col width="5.28515625" customWidth="1" style="22" min="13569" max="13569"/>
    <col width="26.28515625" customWidth="1" style="22" min="13570" max="13570"/>
    <col width="5.140625" customWidth="1" style="22" min="13571" max="13571"/>
    <col width="6.5703125" customWidth="1" style="22" min="13572" max="13572"/>
    <col width="6.140625" customWidth="1" style="22" min="13573" max="13573"/>
    <col width="10" customWidth="1" style="22" min="13574" max="13574"/>
    <col width="7.28515625" customWidth="1" style="22" min="13575" max="13575"/>
    <col width="7.7109375" customWidth="1" style="22" min="13576" max="13576"/>
    <col width="9.5703125" customWidth="1" style="22" min="13577" max="13577"/>
    <col width="9.85546875" customWidth="1" style="22" min="13578" max="13578"/>
    <col width="9" customWidth="1" style="22" min="13579" max="13580"/>
    <col width="16.5703125" customWidth="1" style="22" min="13581" max="13581"/>
    <col width="11.28515625" customWidth="1" style="22" min="13582" max="13582"/>
    <col width="7.5703125" customWidth="1" style="22" min="13583" max="13583"/>
    <col width="3.7109375" customWidth="1" style="22" min="13584" max="13584"/>
    <col width="9.140625" customWidth="1" style="22" min="13585" max="13585"/>
    <col width="10.28515625" customWidth="1" style="22" min="13586" max="13586"/>
    <col width="10" customWidth="1" style="22" min="13587" max="13587"/>
    <col width="9.85546875" customWidth="1" style="22" min="13588" max="13588"/>
    <col width="7.140625" customWidth="1" style="22" min="13589" max="13589"/>
    <col width="14.42578125" customWidth="1" style="22" min="13590" max="13590"/>
    <col width="11.5703125" customWidth="1" style="22" min="13591" max="13591"/>
    <col width="10" customWidth="1" style="22" min="13592" max="13592"/>
    <col width="7.28515625" customWidth="1" style="22" min="13593" max="13593"/>
    <col width="1.85546875" customWidth="1" style="22" min="13594" max="13594"/>
    <col width="10.7109375" customWidth="1" style="22" min="13595" max="13595"/>
    <col width="7.28515625" customWidth="1" style="22" min="13596" max="13596"/>
    <col width="3.5703125" customWidth="1" style="22" min="13597" max="13597"/>
    <col width="7" customWidth="1" style="22" min="13598" max="13598"/>
    <col width="15.85546875" customWidth="1" style="22" min="13599" max="13599"/>
    <col width="9.28515625" customWidth="1" style="22" min="13600" max="13600"/>
    <col width="9.7109375" customWidth="1" style="22" min="13601" max="13601"/>
    <col width="10.28515625" customWidth="1" style="22" min="13602" max="13603"/>
    <col width="9.5703125" customWidth="1" style="22" min="13604" max="13604"/>
    <col width="0.85546875" customWidth="1" style="22" min="13605" max="13824"/>
    <col width="5.28515625" customWidth="1" style="22" min="13825" max="13825"/>
    <col width="26.28515625" customWidth="1" style="22" min="13826" max="13826"/>
    <col width="5.140625" customWidth="1" style="22" min="13827" max="13827"/>
    <col width="6.5703125" customWidth="1" style="22" min="13828" max="13828"/>
    <col width="6.140625" customWidth="1" style="22" min="13829" max="13829"/>
    <col width="10" customWidth="1" style="22" min="13830" max="13830"/>
    <col width="7.28515625" customWidth="1" style="22" min="13831" max="13831"/>
    <col width="7.7109375" customWidth="1" style="22" min="13832" max="13832"/>
    <col width="9.5703125" customWidth="1" style="22" min="13833" max="13833"/>
    <col width="9.85546875" customWidth="1" style="22" min="13834" max="13834"/>
    <col width="9" customWidth="1" style="22" min="13835" max="13836"/>
    <col width="16.5703125" customWidth="1" style="22" min="13837" max="13837"/>
    <col width="11.28515625" customWidth="1" style="22" min="13838" max="13838"/>
    <col width="7.5703125" customWidth="1" style="22" min="13839" max="13839"/>
    <col width="3.7109375" customWidth="1" style="22" min="13840" max="13840"/>
    <col width="9.140625" customWidth="1" style="22" min="13841" max="13841"/>
    <col width="10.28515625" customWidth="1" style="22" min="13842" max="13842"/>
    <col width="10" customWidth="1" style="22" min="13843" max="13843"/>
    <col width="9.85546875" customWidth="1" style="22" min="13844" max="13844"/>
    <col width="7.140625" customWidth="1" style="22" min="13845" max="13845"/>
    <col width="14.42578125" customWidth="1" style="22" min="13846" max="13846"/>
    <col width="11.5703125" customWidth="1" style="22" min="13847" max="13847"/>
    <col width="10" customWidth="1" style="22" min="13848" max="13848"/>
    <col width="7.28515625" customWidth="1" style="22" min="13849" max="13849"/>
    <col width="1.85546875" customWidth="1" style="22" min="13850" max="13850"/>
    <col width="10.7109375" customWidth="1" style="22" min="13851" max="13851"/>
    <col width="7.28515625" customWidth="1" style="22" min="13852" max="13852"/>
    <col width="3.5703125" customWidth="1" style="22" min="13853" max="13853"/>
    <col width="7" customWidth="1" style="22" min="13854" max="13854"/>
    <col width="15.85546875" customWidth="1" style="22" min="13855" max="13855"/>
    <col width="9.28515625" customWidth="1" style="22" min="13856" max="13856"/>
    <col width="9.7109375" customWidth="1" style="22" min="13857" max="13857"/>
    <col width="10.28515625" customWidth="1" style="22" min="13858" max="13859"/>
    <col width="9.5703125" customWidth="1" style="22" min="13860" max="13860"/>
    <col width="0.85546875" customWidth="1" style="22" min="13861" max="14080"/>
    <col width="5.28515625" customWidth="1" style="22" min="14081" max="14081"/>
    <col width="26.28515625" customWidth="1" style="22" min="14082" max="14082"/>
    <col width="5.140625" customWidth="1" style="22" min="14083" max="14083"/>
    <col width="6.5703125" customWidth="1" style="22" min="14084" max="14084"/>
    <col width="6.140625" customWidth="1" style="22" min="14085" max="14085"/>
    <col width="10" customWidth="1" style="22" min="14086" max="14086"/>
    <col width="7.28515625" customWidth="1" style="22" min="14087" max="14087"/>
    <col width="7.7109375" customWidth="1" style="22" min="14088" max="14088"/>
    <col width="9.5703125" customWidth="1" style="22" min="14089" max="14089"/>
    <col width="9.85546875" customWidth="1" style="22" min="14090" max="14090"/>
    <col width="9" customWidth="1" style="22" min="14091" max="14092"/>
    <col width="16.5703125" customWidth="1" style="22" min="14093" max="14093"/>
    <col width="11.28515625" customWidth="1" style="22" min="14094" max="14094"/>
    <col width="7.5703125" customWidth="1" style="22" min="14095" max="14095"/>
    <col width="3.7109375" customWidth="1" style="22" min="14096" max="14096"/>
    <col width="9.140625" customWidth="1" style="22" min="14097" max="14097"/>
    <col width="10.28515625" customWidth="1" style="22" min="14098" max="14098"/>
    <col width="10" customWidth="1" style="22" min="14099" max="14099"/>
    <col width="9.85546875" customWidth="1" style="22" min="14100" max="14100"/>
    <col width="7.140625" customWidth="1" style="22" min="14101" max="14101"/>
    <col width="14.42578125" customWidth="1" style="22" min="14102" max="14102"/>
    <col width="11.5703125" customWidth="1" style="22" min="14103" max="14103"/>
    <col width="10" customWidth="1" style="22" min="14104" max="14104"/>
    <col width="7.28515625" customWidth="1" style="22" min="14105" max="14105"/>
    <col width="1.85546875" customWidth="1" style="22" min="14106" max="14106"/>
    <col width="10.7109375" customWidth="1" style="22" min="14107" max="14107"/>
    <col width="7.28515625" customWidth="1" style="22" min="14108" max="14108"/>
    <col width="3.5703125" customWidth="1" style="22" min="14109" max="14109"/>
    <col width="7" customWidth="1" style="22" min="14110" max="14110"/>
    <col width="15.85546875" customWidth="1" style="22" min="14111" max="14111"/>
    <col width="9.28515625" customWidth="1" style="22" min="14112" max="14112"/>
    <col width="9.7109375" customWidth="1" style="22" min="14113" max="14113"/>
    <col width="10.28515625" customWidth="1" style="22" min="14114" max="14115"/>
    <col width="9.5703125" customWidth="1" style="22" min="14116" max="14116"/>
    <col width="0.85546875" customWidth="1" style="22" min="14117" max="14336"/>
    <col width="5.28515625" customWidth="1" style="22" min="14337" max="14337"/>
    <col width="26.28515625" customWidth="1" style="22" min="14338" max="14338"/>
    <col width="5.140625" customWidth="1" style="22" min="14339" max="14339"/>
    <col width="6.5703125" customWidth="1" style="22" min="14340" max="14340"/>
    <col width="6.140625" customWidth="1" style="22" min="14341" max="14341"/>
    <col width="10" customWidth="1" style="22" min="14342" max="14342"/>
    <col width="7.28515625" customWidth="1" style="22" min="14343" max="14343"/>
    <col width="7.7109375" customWidth="1" style="22" min="14344" max="14344"/>
    <col width="9.5703125" customWidth="1" style="22" min="14345" max="14345"/>
    <col width="9.85546875" customWidth="1" style="22" min="14346" max="14346"/>
    <col width="9" customWidth="1" style="22" min="14347" max="14348"/>
    <col width="16.5703125" customWidth="1" style="22" min="14349" max="14349"/>
    <col width="11.28515625" customWidth="1" style="22" min="14350" max="14350"/>
    <col width="7.5703125" customWidth="1" style="22" min="14351" max="14351"/>
    <col width="3.7109375" customWidth="1" style="22" min="14352" max="14352"/>
    <col width="9.140625" customWidth="1" style="22" min="14353" max="14353"/>
    <col width="10.28515625" customWidth="1" style="22" min="14354" max="14354"/>
    <col width="10" customWidth="1" style="22" min="14355" max="14355"/>
    <col width="9.85546875" customWidth="1" style="22" min="14356" max="14356"/>
    <col width="7.140625" customWidth="1" style="22" min="14357" max="14357"/>
    <col width="14.42578125" customWidth="1" style="22" min="14358" max="14358"/>
    <col width="11.5703125" customWidth="1" style="22" min="14359" max="14359"/>
    <col width="10" customWidth="1" style="22" min="14360" max="14360"/>
    <col width="7.28515625" customWidth="1" style="22" min="14361" max="14361"/>
    <col width="1.85546875" customWidth="1" style="22" min="14362" max="14362"/>
    <col width="10.7109375" customWidth="1" style="22" min="14363" max="14363"/>
    <col width="7.28515625" customWidth="1" style="22" min="14364" max="14364"/>
    <col width="3.5703125" customWidth="1" style="22" min="14365" max="14365"/>
    <col width="7" customWidth="1" style="22" min="14366" max="14366"/>
    <col width="15.85546875" customWidth="1" style="22" min="14367" max="14367"/>
    <col width="9.28515625" customWidth="1" style="22" min="14368" max="14368"/>
    <col width="9.7109375" customWidth="1" style="22" min="14369" max="14369"/>
    <col width="10.28515625" customWidth="1" style="22" min="14370" max="14371"/>
    <col width="9.5703125" customWidth="1" style="22" min="14372" max="14372"/>
    <col width="0.85546875" customWidth="1" style="22" min="14373" max="14592"/>
    <col width="5.28515625" customWidth="1" style="22" min="14593" max="14593"/>
    <col width="26.28515625" customWidth="1" style="22" min="14594" max="14594"/>
    <col width="5.140625" customWidth="1" style="22" min="14595" max="14595"/>
    <col width="6.5703125" customWidth="1" style="22" min="14596" max="14596"/>
    <col width="6.140625" customWidth="1" style="22" min="14597" max="14597"/>
    <col width="10" customWidth="1" style="22" min="14598" max="14598"/>
    <col width="7.28515625" customWidth="1" style="22" min="14599" max="14599"/>
    <col width="7.7109375" customWidth="1" style="22" min="14600" max="14600"/>
    <col width="9.5703125" customWidth="1" style="22" min="14601" max="14601"/>
    <col width="9.85546875" customWidth="1" style="22" min="14602" max="14602"/>
    <col width="9" customWidth="1" style="22" min="14603" max="14604"/>
    <col width="16.5703125" customWidth="1" style="22" min="14605" max="14605"/>
    <col width="11.28515625" customWidth="1" style="22" min="14606" max="14606"/>
    <col width="7.5703125" customWidth="1" style="22" min="14607" max="14607"/>
    <col width="3.7109375" customWidth="1" style="22" min="14608" max="14608"/>
    <col width="9.140625" customWidth="1" style="22" min="14609" max="14609"/>
    <col width="10.28515625" customWidth="1" style="22" min="14610" max="14610"/>
    <col width="10" customWidth="1" style="22" min="14611" max="14611"/>
    <col width="9.85546875" customWidth="1" style="22" min="14612" max="14612"/>
    <col width="7.140625" customWidth="1" style="22" min="14613" max="14613"/>
    <col width="14.42578125" customWidth="1" style="22" min="14614" max="14614"/>
    <col width="11.5703125" customWidth="1" style="22" min="14615" max="14615"/>
    <col width="10" customWidth="1" style="22" min="14616" max="14616"/>
    <col width="7.28515625" customWidth="1" style="22" min="14617" max="14617"/>
    <col width="1.85546875" customWidth="1" style="22" min="14618" max="14618"/>
    <col width="10.7109375" customWidth="1" style="22" min="14619" max="14619"/>
    <col width="7.28515625" customWidth="1" style="22" min="14620" max="14620"/>
    <col width="3.5703125" customWidth="1" style="22" min="14621" max="14621"/>
    <col width="7" customWidth="1" style="22" min="14622" max="14622"/>
    <col width="15.85546875" customWidth="1" style="22" min="14623" max="14623"/>
    <col width="9.28515625" customWidth="1" style="22" min="14624" max="14624"/>
    <col width="9.7109375" customWidth="1" style="22" min="14625" max="14625"/>
    <col width="10.28515625" customWidth="1" style="22" min="14626" max="14627"/>
    <col width="9.5703125" customWidth="1" style="22" min="14628" max="14628"/>
    <col width="0.85546875" customWidth="1" style="22" min="14629" max="14848"/>
    <col width="5.28515625" customWidth="1" style="22" min="14849" max="14849"/>
    <col width="26.28515625" customWidth="1" style="22" min="14850" max="14850"/>
    <col width="5.140625" customWidth="1" style="22" min="14851" max="14851"/>
    <col width="6.5703125" customWidth="1" style="22" min="14852" max="14852"/>
    <col width="6.140625" customWidth="1" style="22" min="14853" max="14853"/>
    <col width="10" customWidth="1" style="22" min="14854" max="14854"/>
    <col width="7.28515625" customWidth="1" style="22" min="14855" max="14855"/>
    <col width="7.7109375" customWidth="1" style="22" min="14856" max="14856"/>
    <col width="9.5703125" customWidth="1" style="22" min="14857" max="14857"/>
    <col width="9.85546875" customWidth="1" style="22" min="14858" max="14858"/>
    <col width="9" customWidth="1" style="22" min="14859" max="14860"/>
    <col width="16.5703125" customWidth="1" style="22" min="14861" max="14861"/>
    <col width="11.28515625" customWidth="1" style="22" min="14862" max="14862"/>
    <col width="7.5703125" customWidth="1" style="22" min="14863" max="14863"/>
    <col width="3.7109375" customWidth="1" style="22" min="14864" max="14864"/>
    <col width="9.140625" customWidth="1" style="22" min="14865" max="14865"/>
    <col width="10.28515625" customWidth="1" style="22" min="14866" max="14866"/>
    <col width="10" customWidth="1" style="22" min="14867" max="14867"/>
    <col width="9.85546875" customWidth="1" style="22" min="14868" max="14868"/>
    <col width="7.140625" customWidth="1" style="22" min="14869" max="14869"/>
    <col width="14.42578125" customWidth="1" style="22" min="14870" max="14870"/>
    <col width="11.5703125" customWidth="1" style="22" min="14871" max="14871"/>
    <col width="10" customWidth="1" style="22" min="14872" max="14872"/>
    <col width="7.28515625" customWidth="1" style="22" min="14873" max="14873"/>
    <col width="1.85546875" customWidth="1" style="22" min="14874" max="14874"/>
    <col width="10.7109375" customWidth="1" style="22" min="14875" max="14875"/>
    <col width="7.28515625" customWidth="1" style="22" min="14876" max="14876"/>
    <col width="3.5703125" customWidth="1" style="22" min="14877" max="14877"/>
    <col width="7" customWidth="1" style="22" min="14878" max="14878"/>
    <col width="15.85546875" customWidth="1" style="22" min="14879" max="14879"/>
    <col width="9.28515625" customWidth="1" style="22" min="14880" max="14880"/>
    <col width="9.7109375" customWidth="1" style="22" min="14881" max="14881"/>
    <col width="10.28515625" customWidth="1" style="22" min="14882" max="14883"/>
    <col width="9.5703125" customWidth="1" style="22" min="14884" max="14884"/>
    <col width="0.85546875" customWidth="1" style="22" min="14885" max="15104"/>
    <col width="5.28515625" customWidth="1" style="22" min="15105" max="15105"/>
    <col width="26.28515625" customWidth="1" style="22" min="15106" max="15106"/>
    <col width="5.140625" customWidth="1" style="22" min="15107" max="15107"/>
    <col width="6.5703125" customWidth="1" style="22" min="15108" max="15108"/>
    <col width="6.140625" customWidth="1" style="22" min="15109" max="15109"/>
    <col width="10" customWidth="1" style="22" min="15110" max="15110"/>
    <col width="7.28515625" customWidth="1" style="22" min="15111" max="15111"/>
    <col width="7.7109375" customWidth="1" style="22" min="15112" max="15112"/>
    <col width="9.5703125" customWidth="1" style="22" min="15113" max="15113"/>
    <col width="9.85546875" customWidth="1" style="22" min="15114" max="15114"/>
    <col width="9" customWidth="1" style="22" min="15115" max="15116"/>
    <col width="16.5703125" customWidth="1" style="22" min="15117" max="15117"/>
    <col width="11.28515625" customWidth="1" style="22" min="15118" max="15118"/>
    <col width="7.5703125" customWidth="1" style="22" min="15119" max="15119"/>
    <col width="3.7109375" customWidth="1" style="22" min="15120" max="15120"/>
    <col width="9.140625" customWidth="1" style="22" min="15121" max="15121"/>
    <col width="10.28515625" customWidth="1" style="22" min="15122" max="15122"/>
    <col width="10" customWidth="1" style="22" min="15123" max="15123"/>
    <col width="9.85546875" customWidth="1" style="22" min="15124" max="15124"/>
    <col width="7.140625" customWidth="1" style="22" min="15125" max="15125"/>
    <col width="14.42578125" customWidth="1" style="22" min="15126" max="15126"/>
    <col width="11.5703125" customWidth="1" style="22" min="15127" max="15127"/>
    <col width="10" customWidth="1" style="22" min="15128" max="15128"/>
    <col width="7.28515625" customWidth="1" style="22" min="15129" max="15129"/>
    <col width="1.85546875" customWidth="1" style="22" min="15130" max="15130"/>
    <col width="10.7109375" customWidth="1" style="22" min="15131" max="15131"/>
    <col width="7.28515625" customWidth="1" style="22" min="15132" max="15132"/>
    <col width="3.5703125" customWidth="1" style="22" min="15133" max="15133"/>
    <col width="7" customWidth="1" style="22" min="15134" max="15134"/>
    <col width="15.85546875" customWidth="1" style="22" min="15135" max="15135"/>
    <col width="9.28515625" customWidth="1" style="22" min="15136" max="15136"/>
    <col width="9.7109375" customWidth="1" style="22" min="15137" max="15137"/>
    <col width="10.28515625" customWidth="1" style="22" min="15138" max="15139"/>
    <col width="9.5703125" customWidth="1" style="22" min="15140" max="15140"/>
    <col width="0.85546875" customWidth="1" style="22" min="15141" max="15360"/>
    <col width="5.28515625" customWidth="1" style="22" min="15361" max="15361"/>
    <col width="26.28515625" customWidth="1" style="22" min="15362" max="15362"/>
    <col width="5.140625" customWidth="1" style="22" min="15363" max="15363"/>
    <col width="6.5703125" customWidth="1" style="22" min="15364" max="15364"/>
    <col width="6.140625" customWidth="1" style="22" min="15365" max="15365"/>
    <col width="10" customWidth="1" style="22" min="15366" max="15366"/>
    <col width="7.28515625" customWidth="1" style="22" min="15367" max="15367"/>
    <col width="7.7109375" customWidth="1" style="22" min="15368" max="15368"/>
    <col width="9.5703125" customWidth="1" style="22" min="15369" max="15369"/>
    <col width="9.85546875" customWidth="1" style="22" min="15370" max="15370"/>
    <col width="9" customWidth="1" style="22" min="15371" max="15372"/>
    <col width="16.5703125" customWidth="1" style="22" min="15373" max="15373"/>
    <col width="11.28515625" customWidth="1" style="22" min="15374" max="15374"/>
    <col width="7.5703125" customWidth="1" style="22" min="15375" max="15375"/>
    <col width="3.7109375" customWidth="1" style="22" min="15376" max="15376"/>
    <col width="9.140625" customWidth="1" style="22" min="15377" max="15377"/>
    <col width="10.28515625" customWidth="1" style="22" min="15378" max="15378"/>
    <col width="10" customWidth="1" style="22" min="15379" max="15379"/>
    <col width="9.85546875" customWidth="1" style="22" min="15380" max="15380"/>
    <col width="7.140625" customWidth="1" style="22" min="15381" max="15381"/>
    <col width="14.42578125" customWidth="1" style="22" min="15382" max="15382"/>
    <col width="11.5703125" customWidth="1" style="22" min="15383" max="15383"/>
    <col width="10" customWidth="1" style="22" min="15384" max="15384"/>
    <col width="7.28515625" customWidth="1" style="22" min="15385" max="15385"/>
    <col width="1.85546875" customWidth="1" style="22" min="15386" max="15386"/>
    <col width="10.7109375" customWidth="1" style="22" min="15387" max="15387"/>
    <col width="7.28515625" customWidth="1" style="22" min="15388" max="15388"/>
    <col width="3.5703125" customWidth="1" style="22" min="15389" max="15389"/>
    <col width="7" customWidth="1" style="22" min="15390" max="15390"/>
    <col width="15.85546875" customWidth="1" style="22" min="15391" max="15391"/>
    <col width="9.28515625" customWidth="1" style="22" min="15392" max="15392"/>
    <col width="9.7109375" customWidth="1" style="22" min="15393" max="15393"/>
    <col width="10.28515625" customWidth="1" style="22" min="15394" max="15395"/>
    <col width="9.5703125" customWidth="1" style="22" min="15396" max="15396"/>
    <col width="0.85546875" customWidth="1" style="22" min="15397" max="15616"/>
    <col width="5.28515625" customWidth="1" style="22" min="15617" max="15617"/>
    <col width="26.28515625" customWidth="1" style="22" min="15618" max="15618"/>
    <col width="5.140625" customWidth="1" style="22" min="15619" max="15619"/>
    <col width="6.5703125" customWidth="1" style="22" min="15620" max="15620"/>
    <col width="6.140625" customWidth="1" style="22" min="15621" max="15621"/>
    <col width="10" customWidth="1" style="22" min="15622" max="15622"/>
    <col width="7.28515625" customWidth="1" style="22" min="15623" max="15623"/>
    <col width="7.7109375" customWidth="1" style="22" min="15624" max="15624"/>
    <col width="9.5703125" customWidth="1" style="22" min="15625" max="15625"/>
    <col width="9.85546875" customWidth="1" style="22" min="15626" max="15626"/>
    <col width="9" customWidth="1" style="22" min="15627" max="15628"/>
    <col width="16.5703125" customWidth="1" style="22" min="15629" max="15629"/>
    <col width="11.28515625" customWidth="1" style="22" min="15630" max="15630"/>
    <col width="7.5703125" customWidth="1" style="22" min="15631" max="15631"/>
    <col width="3.7109375" customWidth="1" style="22" min="15632" max="15632"/>
    <col width="9.140625" customWidth="1" style="22" min="15633" max="15633"/>
    <col width="10.28515625" customWidth="1" style="22" min="15634" max="15634"/>
    <col width="10" customWidth="1" style="22" min="15635" max="15635"/>
    <col width="9.85546875" customWidth="1" style="22" min="15636" max="15636"/>
    <col width="7.140625" customWidth="1" style="22" min="15637" max="15637"/>
    <col width="14.42578125" customWidth="1" style="22" min="15638" max="15638"/>
    <col width="11.5703125" customWidth="1" style="22" min="15639" max="15639"/>
    <col width="10" customWidth="1" style="22" min="15640" max="15640"/>
    <col width="7.28515625" customWidth="1" style="22" min="15641" max="15641"/>
    <col width="1.85546875" customWidth="1" style="22" min="15642" max="15642"/>
    <col width="10.7109375" customWidth="1" style="22" min="15643" max="15643"/>
    <col width="7.28515625" customWidth="1" style="22" min="15644" max="15644"/>
    <col width="3.5703125" customWidth="1" style="22" min="15645" max="15645"/>
    <col width="7" customWidth="1" style="22" min="15646" max="15646"/>
    <col width="15.85546875" customWidth="1" style="22" min="15647" max="15647"/>
    <col width="9.28515625" customWidth="1" style="22" min="15648" max="15648"/>
    <col width="9.7109375" customWidth="1" style="22" min="15649" max="15649"/>
    <col width="10.28515625" customWidth="1" style="22" min="15650" max="15651"/>
    <col width="9.5703125" customWidth="1" style="22" min="15652" max="15652"/>
    <col width="0.85546875" customWidth="1" style="22" min="15653" max="15872"/>
    <col width="5.28515625" customWidth="1" style="22" min="15873" max="15873"/>
    <col width="26.28515625" customWidth="1" style="22" min="15874" max="15874"/>
    <col width="5.140625" customWidth="1" style="22" min="15875" max="15875"/>
    <col width="6.5703125" customWidth="1" style="22" min="15876" max="15876"/>
    <col width="6.140625" customWidth="1" style="22" min="15877" max="15877"/>
    <col width="10" customWidth="1" style="22" min="15878" max="15878"/>
    <col width="7.28515625" customWidth="1" style="22" min="15879" max="15879"/>
    <col width="7.7109375" customWidth="1" style="22" min="15880" max="15880"/>
    <col width="9.5703125" customWidth="1" style="22" min="15881" max="15881"/>
    <col width="9.85546875" customWidth="1" style="22" min="15882" max="15882"/>
    <col width="9" customWidth="1" style="22" min="15883" max="15884"/>
    <col width="16.5703125" customWidth="1" style="22" min="15885" max="15885"/>
    <col width="11.28515625" customWidth="1" style="22" min="15886" max="15886"/>
    <col width="7.5703125" customWidth="1" style="22" min="15887" max="15887"/>
    <col width="3.7109375" customWidth="1" style="22" min="15888" max="15888"/>
    <col width="9.140625" customWidth="1" style="22" min="15889" max="15889"/>
    <col width="10.28515625" customWidth="1" style="22" min="15890" max="15890"/>
    <col width="10" customWidth="1" style="22" min="15891" max="15891"/>
    <col width="9.85546875" customWidth="1" style="22" min="15892" max="15892"/>
    <col width="7.140625" customWidth="1" style="22" min="15893" max="15893"/>
    <col width="14.42578125" customWidth="1" style="22" min="15894" max="15894"/>
    <col width="11.5703125" customWidth="1" style="22" min="15895" max="15895"/>
    <col width="10" customWidth="1" style="22" min="15896" max="15896"/>
    <col width="7.28515625" customWidth="1" style="22" min="15897" max="15897"/>
    <col width="1.85546875" customWidth="1" style="22" min="15898" max="15898"/>
    <col width="10.7109375" customWidth="1" style="22" min="15899" max="15899"/>
    <col width="7.28515625" customWidth="1" style="22" min="15900" max="15900"/>
    <col width="3.5703125" customWidth="1" style="22" min="15901" max="15901"/>
    <col width="7" customWidth="1" style="22" min="15902" max="15902"/>
    <col width="15.85546875" customWidth="1" style="22" min="15903" max="15903"/>
    <col width="9.28515625" customWidth="1" style="22" min="15904" max="15904"/>
    <col width="9.7109375" customWidth="1" style="22" min="15905" max="15905"/>
    <col width="10.28515625" customWidth="1" style="22" min="15906" max="15907"/>
    <col width="9.5703125" customWidth="1" style="22" min="15908" max="15908"/>
    <col width="0.85546875" customWidth="1" style="22" min="15909" max="16128"/>
    <col width="5.28515625" customWidth="1" style="22" min="16129" max="16129"/>
    <col width="26.28515625" customWidth="1" style="22" min="16130" max="16130"/>
    <col width="5.140625" customWidth="1" style="22" min="16131" max="16131"/>
    <col width="6.5703125" customWidth="1" style="22" min="16132" max="16132"/>
    <col width="6.140625" customWidth="1" style="22" min="16133" max="16133"/>
    <col width="10" customWidth="1" style="22" min="16134" max="16134"/>
    <col width="7.28515625" customWidth="1" style="22" min="16135" max="16135"/>
    <col width="7.7109375" customWidth="1" style="22" min="16136" max="16136"/>
    <col width="9.5703125" customWidth="1" style="22" min="16137" max="16137"/>
    <col width="9.85546875" customWidth="1" style="22" min="16138" max="16138"/>
    <col width="9" customWidth="1" style="22" min="16139" max="16140"/>
    <col width="16.5703125" customWidth="1" style="22" min="16141" max="16141"/>
    <col width="11.28515625" customWidth="1" style="22" min="16142" max="16142"/>
    <col width="7.5703125" customWidth="1" style="22" min="16143" max="16143"/>
    <col width="3.7109375" customWidth="1" style="22" min="16144" max="16144"/>
    <col width="9.140625" customWidth="1" style="22" min="16145" max="16145"/>
    <col width="10.28515625" customWidth="1" style="22" min="16146" max="16146"/>
    <col width="10" customWidth="1" style="22" min="16147" max="16147"/>
    <col width="9.85546875" customWidth="1" style="22" min="16148" max="16148"/>
    <col width="7.140625" customWidth="1" style="22" min="16149" max="16149"/>
    <col width="14.42578125" customWidth="1" style="22" min="16150" max="16150"/>
    <col width="11.5703125" customWidth="1" style="22" min="16151" max="16151"/>
    <col width="10" customWidth="1" style="22" min="16152" max="16152"/>
    <col width="7.28515625" customWidth="1" style="22" min="16153" max="16153"/>
    <col width="1.85546875" customWidth="1" style="22" min="16154" max="16154"/>
    <col width="10.7109375" customWidth="1" style="22" min="16155" max="16155"/>
    <col width="7.28515625" customWidth="1" style="22" min="16156" max="16156"/>
    <col width="3.5703125" customWidth="1" style="22" min="16157" max="16157"/>
    <col width="7" customWidth="1" style="22" min="16158" max="16158"/>
    <col width="15.85546875" customWidth="1" style="22" min="16159" max="16159"/>
    <col width="9.28515625" customWidth="1" style="22" min="16160" max="16160"/>
    <col width="9.7109375" customWidth="1" style="22" min="16161" max="16161"/>
    <col width="10.28515625" customWidth="1" style="22" min="16162" max="16163"/>
    <col width="9.5703125" customWidth="1" style="22" min="16164" max="16164"/>
    <col width="0.85546875" customWidth="1" style="22" min="16165" max="16384"/>
  </cols>
  <sheetData>
    <row r="1" ht="16.5" customHeight="1" s="794">
      <c r="AI1" s="1059" t="inlineStr">
        <is>
          <t>Форма № 4д</t>
        </is>
      </c>
    </row>
    <row r="2" ht="19.5" customHeight="1" s="794">
      <c r="A2" s="854" t="inlineStr">
        <is>
          <t>РАСШИФРОВКА</t>
        </is>
      </c>
    </row>
    <row r="3" ht="15" customHeight="1" s="794">
      <c r="A3" s="854" t="inlineStr">
        <is>
          <t>затрат на приобретение сырья, материалов и вспомогательных материалов</t>
        </is>
      </c>
    </row>
    <row r="4" ht="22.5" customHeight="1" s="794">
      <c r="C4" s="809" t="n"/>
      <c r="D4" s="809" t="n"/>
      <c r="E4" s="1144" t="inlineStr">
        <is>
          <t>ТЕМА</t>
        </is>
      </c>
      <c r="F4" s="1409" t="n"/>
      <c r="G4" s="1409" t="n"/>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809" t="n"/>
      <c r="AI4" s="809" t="n"/>
      <c r="AJ4" s="49" t="n"/>
    </row>
    <row r="5" ht="15" customHeight="1" s="794">
      <c r="A5" s="1121" t="inlineStr">
        <is>
          <t>(наименование, шифр товара, работы, услуги)</t>
        </is>
      </c>
    </row>
    <row r="6" ht="9" customHeight="1" s="794"/>
    <row r="7" ht="18"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 xml:space="preserve">Отчетный период / период, предшествующий планируемому </t>
        </is>
      </c>
      <c r="H7" s="1412" t="n"/>
      <c r="I7" s="1412" t="n"/>
      <c r="J7" s="1412" t="n"/>
      <c r="K7" s="1412" t="n"/>
      <c r="L7" s="1412" t="n"/>
      <c r="M7" s="1412" t="n"/>
      <c r="N7" s="1412" t="n"/>
      <c r="O7" s="1412" t="n"/>
      <c r="P7" s="1412" t="n"/>
      <c r="Q7" s="1410" t="n"/>
      <c r="R7" s="1119" t="inlineStr">
        <is>
          <t xml:space="preserve">Стоимостная оценка затрат в условиях первого года производства </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37.5"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495" t="inlineStr">
        <is>
          <t>норма расхода (всего) на единицу продукции</t>
        </is>
      </c>
      <c r="S8" s="1125" t="inlineStr">
        <is>
          <t>применяе-мый индекс цен</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19" t="inlineStr">
        <is>
          <t xml:space="preserve">первый год производства
</t>
        </is>
      </c>
      <c r="AB8" s="1412" t="n"/>
      <c r="AC8" s="1412" t="n"/>
      <c r="AD8" s="1410" t="n"/>
      <c r="AE8" s="1119" t="inlineStr">
        <is>
          <t xml:space="preserve">n-ый год производства </t>
        </is>
      </c>
      <c r="AF8" s="1412" t="n"/>
      <c r="AG8" s="1412" t="n"/>
      <c r="AH8" s="1412" t="n"/>
      <c r="AI8" s="1410" t="n"/>
      <c r="AJ8" s="1119" t="inlineStr">
        <is>
          <t>затраты
(руб.)</t>
        </is>
      </c>
    </row>
    <row r="9" ht="52.5"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обосновывающие документы</t>
        </is>
      </c>
      <c r="W9" s="1119" t="inlineStr">
        <is>
          <t>метод определения цены</t>
        </is>
      </c>
      <c r="X9" s="495" t="inlineStr">
        <is>
          <t>наимено-вание</t>
        </is>
      </c>
      <c r="Y9" s="495" t="inlineStr">
        <is>
          <t>ИНН</t>
        </is>
      </c>
      <c r="Z9" s="1410" t="n"/>
      <c r="AA9" s="1134" t="inlineStr">
        <is>
          <t>норма расхода на единицу продукции</t>
        </is>
      </c>
      <c r="AB9" s="1119" t="inlineStr">
        <is>
          <t>цена за единицу измерения (руб.)</t>
        </is>
      </c>
      <c r="AC9" s="1410" t="n"/>
      <c r="AD9" s="1134" t="inlineStr">
        <is>
          <t>затраты (руб.)</t>
        </is>
      </c>
      <c r="AE9" s="1134" t="inlineStr">
        <is>
          <t>стоимостная оценка затрат n-го года в условиях первого года производства</t>
        </is>
      </c>
      <c r="AF9" s="1136" t="inlineStr">
        <is>
          <t>норма расхода на единицу продукции</t>
        </is>
      </c>
      <c r="AG9" s="1134" t="inlineStr">
        <is>
          <t>применяе-мый индекс цен</t>
        </is>
      </c>
      <c r="AH9" s="1134" t="inlineStr">
        <is>
          <t>цена за единицу измерения (руб.)</t>
        </is>
      </c>
      <c r="AI9" s="1134" t="inlineStr">
        <is>
          <t>затраты n-го года (руб.)</t>
        </is>
      </c>
      <c r="AJ9" s="1413" t="n"/>
    </row>
    <row r="10" ht="14.25" customFormat="1" customHeight="1" s="24">
      <c r="A10" s="25" t="n">
        <v>1</v>
      </c>
      <c r="B10" s="25" t="n">
        <v>2</v>
      </c>
      <c r="C10" s="25" t="n">
        <v>3</v>
      </c>
      <c r="D10" s="25" t="n">
        <v>4</v>
      </c>
      <c r="E10" s="25" t="n">
        <v>5</v>
      </c>
      <c r="F10" s="499" t="n">
        <v>6</v>
      </c>
      <c r="G10" s="499" t="n">
        <v>7</v>
      </c>
      <c r="H10" s="499" t="n">
        <v>8</v>
      </c>
      <c r="I10" s="499" t="n">
        <v>9</v>
      </c>
      <c r="J10" s="499" t="n">
        <v>10</v>
      </c>
      <c r="K10" s="499" t="n">
        <v>11</v>
      </c>
      <c r="L10" s="499" t="n">
        <v>12</v>
      </c>
      <c r="M10" s="500" t="inlineStr">
        <is>
          <t>13.1</t>
        </is>
      </c>
      <c r="N10" s="500" t="inlineStr">
        <is>
          <t>13.2</t>
        </is>
      </c>
      <c r="O10" s="499" t="n">
        <v>14</v>
      </c>
      <c r="P10" s="1410" t="n"/>
      <c r="Q10" s="499" t="n">
        <v>15</v>
      </c>
      <c r="R10" s="499" t="n">
        <v>16</v>
      </c>
      <c r="S10" s="499" t="n">
        <v>17</v>
      </c>
      <c r="T10" s="25" t="n">
        <v>18</v>
      </c>
      <c r="U10" s="25" t="n">
        <v>19</v>
      </c>
      <c r="V10" s="500" t="inlineStr">
        <is>
          <t>20.1</t>
        </is>
      </c>
      <c r="W10" s="500" t="inlineStr">
        <is>
          <t>20.2</t>
        </is>
      </c>
      <c r="X10" s="499" t="n">
        <v>21</v>
      </c>
      <c r="Y10" s="25" t="n">
        <v>22</v>
      </c>
      <c r="Z10" s="1410" t="n"/>
      <c r="AA10" s="25" t="n">
        <v>23</v>
      </c>
      <c r="AB10" s="25" t="n">
        <v>24</v>
      </c>
      <c r="AC10" s="1410" t="n"/>
      <c r="AD10" s="25" t="n">
        <v>25</v>
      </c>
      <c r="AE10" s="25" t="n">
        <v>26</v>
      </c>
      <c r="AF10" s="25" t="n">
        <v>27</v>
      </c>
      <c r="AG10" s="25" t="n">
        <v>28</v>
      </c>
      <c r="AH10" s="25" t="n">
        <v>29</v>
      </c>
      <c r="AI10" s="25" t="n">
        <v>30</v>
      </c>
      <c r="AJ10" s="25" t="n">
        <v>31</v>
      </c>
    </row>
    <row r="11" ht="12.75" customFormat="1" customHeight="1" s="23">
      <c r="A11" s="849" t="n"/>
      <c r="B11" s="849" t="inlineStr">
        <is>
          <t>ВСЕГО по разделу 1 и 2:</t>
        </is>
      </c>
      <c r="C11" s="1119" t="inlineStr">
        <is>
          <t>-</t>
        </is>
      </c>
      <c r="D11" s="1119" t="inlineStr">
        <is>
          <t>-</t>
        </is>
      </c>
      <c r="E11" s="1119" t="inlineStr">
        <is>
          <t>-</t>
        </is>
      </c>
      <c r="F11" s="1119" t="inlineStr">
        <is>
          <t>-</t>
        </is>
      </c>
      <c r="G11" s="1119" t="inlineStr">
        <is>
          <t>-</t>
        </is>
      </c>
      <c r="H11" s="1119" t="inlineStr">
        <is>
          <t>-</t>
        </is>
      </c>
      <c r="I11" s="1119" t="inlineStr">
        <is>
          <t>-</t>
        </is>
      </c>
      <c r="J11" s="1119" t="inlineStr">
        <is>
          <t>-</t>
        </is>
      </c>
      <c r="K11" s="1119" t="inlineStr">
        <is>
          <t>-</t>
        </is>
      </c>
      <c r="L11" s="1119" t="inlineStr">
        <is>
          <t>-</t>
        </is>
      </c>
      <c r="M11" s="1119" t="inlineStr">
        <is>
          <t>-</t>
        </is>
      </c>
      <c r="N11" s="1119" t="inlineStr">
        <is>
          <t>-</t>
        </is>
      </c>
      <c r="O11" s="1499" t="inlineStr">
        <is>
          <t>-</t>
        </is>
      </c>
      <c r="P11" s="1410" t="n"/>
      <c r="Q11" s="1119" t="inlineStr">
        <is>
          <t>-</t>
        </is>
      </c>
      <c r="R11" s="1119" t="inlineStr">
        <is>
          <t>-</t>
        </is>
      </c>
      <c r="S11" s="1119" t="inlineStr">
        <is>
          <t>-</t>
        </is>
      </c>
      <c r="T11" s="1119" t="inlineStr">
        <is>
          <t>-</t>
        </is>
      </c>
      <c r="U11" s="1119" t="inlineStr">
        <is>
          <t>-</t>
        </is>
      </c>
      <c r="V11" s="1119" t="inlineStr">
        <is>
          <t>-</t>
        </is>
      </c>
      <c r="W11" s="1143" t="inlineStr">
        <is>
          <t>-</t>
        </is>
      </c>
      <c r="X11" s="1143" t="inlineStr">
        <is>
          <t>-</t>
        </is>
      </c>
      <c r="Y11" s="1143" t="inlineStr">
        <is>
          <t>-</t>
        </is>
      </c>
      <c r="Z11" s="1410" t="n"/>
      <c r="AA11" s="1143" t="inlineStr">
        <is>
          <t>-</t>
        </is>
      </c>
      <c r="AB11" s="1143" t="inlineStr">
        <is>
          <t>-</t>
        </is>
      </c>
      <c r="AC11" s="1410" t="n"/>
      <c r="AD11" s="1143" t="inlineStr">
        <is>
          <t>-</t>
        </is>
      </c>
      <c r="AE11" s="1143" t="inlineStr">
        <is>
          <t>-</t>
        </is>
      </c>
      <c r="AF11" s="1143" t="inlineStr">
        <is>
          <t>-</t>
        </is>
      </c>
      <c r="AG11" s="1119" t="inlineStr">
        <is>
          <t>-</t>
        </is>
      </c>
      <c r="AH11" s="1119" t="inlineStr">
        <is>
          <t>-</t>
        </is>
      </c>
      <c r="AI11" s="1119" t="inlineStr">
        <is>
          <t>-</t>
        </is>
      </c>
      <c r="AJ11" s="1119" t="inlineStr">
        <is>
          <t>-</t>
        </is>
      </c>
    </row>
    <row r="12" ht="27.75" customFormat="1" customHeight="1" s="23">
      <c r="A12" s="975" t="inlineStr">
        <is>
          <t>1.</t>
        </is>
      </c>
      <c r="B12" s="206" t="inlineStr">
        <is>
          <t>Сырье и основные материалы:</t>
        </is>
      </c>
      <c r="C12" s="1119" t="inlineStr">
        <is>
          <t>-</t>
        </is>
      </c>
      <c r="D12" s="1119" t="inlineStr">
        <is>
          <t>-</t>
        </is>
      </c>
      <c r="E12" s="1119" t="inlineStr">
        <is>
          <t>-</t>
        </is>
      </c>
      <c r="F12" s="1119" t="inlineStr">
        <is>
          <t>-</t>
        </is>
      </c>
      <c r="G12" s="1119" t="inlineStr">
        <is>
          <t>-</t>
        </is>
      </c>
      <c r="H12" s="1119" t="inlineStr">
        <is>
          <t>-</t>
        </is>
      </c>
      <c r="I12" s="1119" t="inlineStr">
        <is>
          <t>-</t>
        </is>
      </c>
      <c r="J12" s="1119" t="inlineStr">
        <is>
          <t>-</t>
        </is>
      </c>
      <c r="K12" s="1119" t="inlineStr">
        <is>
          <t>-</t>
        </is>
      </c>
      <c r="L12" s="1119" t="inlineStr">
        <is>
          <t>-</t>
        </is>
      </c>
      <c r="M12" s="1119" t="inlineStr">
        <is>
          <t>-</t>
        </is>
      </c>
      <c r="N12" s="1119" t="inlineStr">
        <is>
          <t>-</t>
        </is>
      </c>
      <c r="O12" s="1499" t="inlineStr">
        <is>
          <t>-</t>
        </is>
      </c>
      <c r="P12" s="1410" t="n"/>
      <c r="Q12" s="1119" t="inlineStr">
        <is>
          <t>-</t>
        </is>
      </c>
      <c r="R12" s="1119" t="inlineStr">
        <is>
          <t>-</t>
        </is>
      </c>
      <c r="S12" s="1119" t="inlineStr">
        <is>
          <t>-</t>
        </is>
      </c>
      <c r="T12" s="1119" t="inlineStr">
        <is>
          <t>-</t>
        </is>
      </c>
      <c r="U12" s="1119" t="inlineStr">
        <is>
          <t>-</t>
        </is>
      </c>
      <c r="V12" s="1119" t="inlineStr">
        <is>
          <t>-</t>
        </is>
      </c>
      <c r="W12" s="1143" t="inlineStr">
        <is>
          <t>-</t>
        </is>
      </c>
      <c r="X12" s="1143" t="inlineStr">
        <is>
          <t>-</t>
        </is>
      </c>
      <c r="Y12" s="1143" t="inlineStr">
        <is>
          <t>-</t>
        </is>
      </c>
      <c r="Z12" s="1410" t="n"/>
      <c r="AA12" s="1143" t="inlineStr">
        <is>
          <t>-</t>
        </is>
      </c>
      <c r="AB12" s="1143" t="inlineStr">
        <is>
          <t>-</t>
        </is>
      </c>
      <c r="AC12" s="1410" t="n"/>
      <c r="AD12" s="1143" t="inlineStr">
        <is>
          <t>-</t>
        </is>
      </c>
      <c r="AE12" s="1143" t="inlineStr">
        <is>
          <t>-</t>
        </is>
      </c>
      <c r="AF12" s="1143" t="inlineStr">
        <is>
          <t>-</t>
        </is>
      </c>
      <c r="AG12" s="1119" t="inlineStr">
        <is>
          <t>-</t>
        </is>
      </c>
      <c r="AH12" s="1119" t="inlineStr">
        <is>
          <t>-</t>
        </is>
      </c>
      <c r="AI12" s="1119" t="inlineStr">
        <is>
          <t>-</t>
        </is>
      </c>
      <c r="AJ12" s="1119" t="inlineStr">
        <is>
          <t>-</t>
        </is>
      </c>
    </row>
    <row r="13" ht="16.5" customFormat="1" customHeight="1" s="23">
      <c r="A13" s="1069" t="inlineStr">
        <is>
          <t>1.1</t>
        </is>
      </c>
      <c r="B13" s="502" t="inlineStr">
        <is>
          <t>-</t>
        </is>
      </c>
      <c r="C13" s="503" t="inlineStr">
        <is>
          <t>-</t>
        </is>
      </c>
      <c r="D13" s="503" t="inlineStr">
        <is>
          <t>-</t>
        </is>
      </c>
      <c r="E13" s="503" t="inlineStr">
        <is>
          <t>-</t>
        </is>
      </c>
      <c r="F13" s="503" t="inlineStr">
        <is>
          <t>-</t>
        </is>
      </c>
      <c r="G13" s="503" t="inlineStr">
        <is>
          <t>-</t>
        </is>
      </c>
      <c r="H13" s="503" t="inlineStr">
        <is>
          <t>-</t>
        </is>
      </c>
      <c r="I13" s="503" t="inlineStr">
        <is>
          <t>-</t>
        </is>
      </c>
      <c r="J13" s="503" t="inlineStr">
        <is>
          <t>-</t>
        </is>
      </c>
      <c r="K13" s="503" t="inlineStr">
        <is>
          <t>-</t>
        </is>
      </c>
      <c r="L13" s="503" t="inlineStr">
        <is>
          <t>-</t>
        </is>
      </c>
      <c r="M13" s="503" t="inlineStr">
        <is>
          <t>-</t>
        </is>
      </c>
      <c r="N13" s="503" t="inlineStr">
        <is>
          <t>-</t>
        </is>
      </c>
      <c r="O13" s="1499" t="inlineStr">
        <is>
          <t>-</t>
        </is>
      </c>
      <c r="P13" s="1410" t="n"/>
      <c r="Q13" s="503" t="inlineStr">
        <is>
          <t>-</t>
        </is>
      </c>
      <c r="R13" s="503" t="inlineStr">
        <is>
          <t>-</t>
        </is>
      </c>
      <c r="S13" s="503" t="inlineStr">
        <is>
          <t>-</t>
        </is>
      </c>
      <c r="T13" s="503" t="inlineStr">
        <is>
          <t>-</t>
        </is>
      </c>
      <c r="U13" s="503" t="inlineStr">
        <is>
          <t>-</t>
        </is>
      </c>
      <c r="V13" s="503" t="inlineStr">
        <is>
          <t>-</t>
        </is>
      </c>
      <c r="W13" s="1143" t="inlineStr">
        <is>
          <t>-</t>
        </is>
      </c>
      <c r="X13" s="1143" t="inlineStr">
        <is>
          <t>-</t>
        </is>
      </c>
      <c r="Y13" s="1143" t="inlineStr">
        <is>
          <t>-</t>
        </is>
      </c>
      <c r="Z13" s="1410" t="n"/>
      <c r="AA13" s="1143" t="inlineStr">
        <is>
          <t>-</t>
        </is>
      </c>
      <c r="AB13" s="1143" t="inlineStr">
        <is>
          <t>-</t>
        </is>
      </c>
      <c r="AC13" s="1410" t="n"/>
      <c r="AD13" s="1143" t="inlineStr">
        <is>
          <t>-</t>
        </is>
      </c>
      <c r="AE13" s="1143" t="inlineStr">
        <is>
          <t>-</t>
        </is>
      </c>
      <c r="AF13" s="1143" t="inlineStr">
        <is>
          <t>-</t>
        </is>
      </c>
      <c r="AG13" s="503" t="inlineStr">
        <is>
          <t>-</t>
        </is>
      </c>
      <c r="AH13" s="503" t="inlineStr">
        <is>
          <t>-</t>
        </is>
      </c>
      <c r="AI13" s="503" t="inlineStr">
        <is>
          <t>-</t>
        </is>
      </c>
      <c r="AJ13" s="503" t="inlineStr">
        <is>
          <t>-</t>
        </is>
      </c>
    </row>
    <row r="14" ht="14.25" customFormat="1" customHeight="1" s="23">
      <c r="A14" s="849" t="n"/>
      <c r="B14" s="504" t="inlineStr">
        <is>
          <t>ИТОГО по разделу 1</t>
        </is>
      </c>
      <c r="C14" s="1119" t="inlineStr">
        <is>
          <t>-</t>
        </is>
      </c>
      <c r="D14" s="1119" t="inlineStr">
        <is>
          <t>-</t>
        </is>
      </c>
      <c r="E14" s="1119" t="inlineStr">
        <is>
          <t>-</t>
        </is>
      </c>
      <c r="F14" s="1119" t="inlineStr">
        <is>
          <t>-</t>
        </is>
      </c>
      <c r="G14" s="1119" t="inlineStr">
        <is>
          <t>-</t>
        </is>
      </c>
      <c r="H14" s="1119" t="inlineStr">
        <is>
          <t>-</t>
        </is>
      </c>
      <c r="I14" s="1119" t="inlineStr">
        <is>
          <t>-</t>
        </is>
      </c>
      <c r="J14" s="1119" t="inlineStr">
        <is>
          <t>-</t>
        </is>
      </c>
      <c r="K14" s="1119" t="inlineStr">
        <is>
          <t>-</t>
        </is>
      </c>
      <c r="L14" s="1119" t="inlineStr">
        <is>
          <t>-</t>
        </is>
      </c>
      <c r="M14" s="1119" t="inlineStr">
        <is>
          <t>-</t>
        </is>
      </c>
      <c r="N14" s="1119" t="inlineStr">
        <is>
          <t>-</t>
        </is>
      </c>
      <c r="O14" s="1499" t="inlineStr">
        <is>
          <t>-</t>
        </is>
      </c>
      <c r="P14" s="1410" t="n"/>
      <c r="Q14" s="1119" t="inlineStr">
        <is>
          <t>-</t>
        </is>
      </c>
      <c r="R14" s="1119" t="inlineStr">
        <is>
          <t>-</t>
        </is>
      </c>
      <c r="S14" s="1119" t="inlineStr">
        <is>
          <t>-</t>
        </is>
      </c>
      <c r="T14" s="1119" t="inlineStr">
        <is>
          <t>-</t>
        </is>
      </c>
      <c r="U14" s="1119" t="inlineStr">
        <is>
          <t>-</t>
        </is>
      </c>
      <c r="V14" s="1119" t="inlineStr">
        <is>
          <t>-</t>
        </is>
      </c>
      <c r="W14" s="1143" t="inlineStr">
        <is>
          <t>-</t>
        </is>
      </c>
      <c r="X14" s="1143" t="inlineStr">
        <is>
          <t>-</t>
        </is>
      </c>
      <c r="Y14" s="1143" t="inlineStr">
        <is>
          <t>-</t>
        </is>
      </c>
      <c r="Z14" s="1410" t="n"/>
      <c r="AA14" s="1143" t="inlineStr">
        <is>
          <t>-</t>
        </is>
      </c>
      <c r="AB14" s="1143" t="inlineStr">
        <is>
          <t>-</t>
        </is>
      </c>
      <c r="AC14" s="1410" t="n"/>
      <c r="AD14" s="1143" t="inlineStr">
        <is>
          <t>-</t>
        </is>
      </c>
      <c r="AE14" s="1143" t="inlineStr">
        <is>
          <t>-</t>
        </is>
      </c>
      <c r="AF14" s="1143" t="inlineStr">
        <is>
          <t>-</t>
        </is>
      </c>
      <c r="AG14" s="1119" t="inlineStr">
        <is>
          <t>-</t>
        </is>
      </c>
      <c r="AH14" s="1119" t="inlineStr">
        <is>
          <t>-</t>
        </is>
      </c>
      <c r="AI14" s="1119" t="inlineStr">
        <is>
          <t>-</t>
        </is>
      </c>
      <c r="AJ14" s="1119" t="inlineStr">
        <is>
          <t>-</t>
        </is>
      </c>
    </row>
    <row r="15" customFormat="1" s="23">
      <c r="A15" s="849" t="inlineStr">
        <is>
          <t>2.</t>
        </is>
      </c>
      <c r="B15" s="505" t="inlineStr">
        <is>
          <t>Вспомогательные материалы:</t>
        </is>
      </c>
      <c r="C15" s="1119" t="inlineStr">
        <is>
          <t>-</t>
        </is>
      </c>
      <c r="D15" s="1119" t="inlineStr">
        <is>
          <t>-</t>
        </is>
      </c>
      <c r="E15" s="1119" t="inlineStr">
        <is>
          <t>-</t>
        </is>
      </c>
      <c r="F15" s="1119" t="inlineStr">
        <is>
          <t>-</t>
        </is>
      </c>
      <c r="G15" s="1119" t="inlineStr">
        <is>
          <t>-</t>
        </is>
      </c>
      <c r="H15" s="1119" t="inlineStr">
        <is>
          <t>-</t>
        </is>
      </c>
      <c r="I15" s="1119" t="inlineStr">
        <is>
          <t>-</t>
        </is>
      </c>
      <c r="J15" s="1119" t="inlineStr">
        <is>
          <t>-</t>
        </is>
      </c>
      <c r="K15" s="1119" t="inlineStr">
        <is>
          <t>-</t>
        </is>
      </c>
      <c r="L15" s="1119" t="inlineStr">
        <is>
          <t>-</t>
        </is>
      </c>
      <c r="M15" s="1119" t="inlineStr">
        <is>
          <t>-</t>
        </is>
      </c>
      <c r="N15" s="1119" t="inlineStr">
        <is>
          <t>-</t>
        </is>
      </c>
      <c r="O15" s="1499" t="inlineStr">
        <is>
          <t>-</t>
        </is>
      </c>
      <c r="P15" s="1410" t="n"/>
      <c r="Q15" s="1119" t="inlineStr">
        <is>
          <t>-</t>
        </is>
      </c>
      <c r="R15" s="1119" t="inlineStr">
        <is>
          <t>-</t>
        </is>
      </c>
      <c r="S15" s="1119" t="inlineStr">
        <is>
          <t>-</t>
        </is>
      </c>
      <c r="T15" s="1119" t="inlineStr">
        <is>
          <t>-</t>
        </is>
      </c>
      <c r="U15" s="1119" t="inlineStr">
        <is>
          <t>-</t>
        </is>
      </c>
      <c r="V15" s="1119" t="inlineStr">
        <is>
          <t>-</t>
        </is>
      </c>
      <c r="W15" s="1143" t="inlineStr">
        <is>
          <t>-</t>
        </is>
      </c>
      <c r="X15" s="1143" t="inlineStr">
        <is>
          <t>-</t>
        </is>
      </c>
      <c r="Y15" s="1143" t="inlineStr">
        <is>
          <t>-</t>
        </is>
      </c>
      <c r="Z15" s="1410" t="n"/>
      <c r="AA15" s="1143" t="inlineStr">
        <is>
          <t>-</t>
        </is>
      </c>
      <c r="AB15" s="1143" t="inlineStr">
        <is>
          <t>-</t>
        </is>
      </c>
      <c r="AC15" s="1410" t="n"/>
      <c r="AD15" s="1143" t="inlineStr">
        <is>
          <t>-</t>
        </is>
      </c>
      <c r="AE15" s="1143" t="inlineStr">
        <is>
          <t>-</t>
        </is>
      </c>
      <c r="AF15" s="1143" t="inlineStr">
        <is>
          <t>-</t>
        </is>
      </c>
      <c r="AG15" s="1119" t="inlineStr">
        <is>
          <t>-</t>
        </is>
      </c>
      <c r="AH15" s="1119" t="inlineStr">
        <is>
          <t>-</t>
        </is>
      </c>
      <c r="AI15" s="1119" t="inlineStr">
        <is>
          <t>-</t>
        </is>
      </c>
      <c r="AJ15" s="1119" t="inlineStr">
        <is>
          <t>-</t>
        </is>
      </c>
    </row>
    <row r="16" ht="15" customFormat="1" customHeight="1" s="23">
      <c r="A16" s="1069" t="inlineStr">
        <is>
          <t>2.1</t>
        </is>
      </c>
      <c r="B16" s="502" t="inlineStr">
        <is>
          <t>-</t>
        </is>
      </c>
      <c r="C16" s="503" t="inlineStr">
        <is>
          <t>-</t>
        </is>
      </c>
      <c r="D16" s="503" t="inlineStr">
        <is>
          <t>-</t>
        </is>
      </c>
      <c r="E16" s="503" t="inlineStr">
        <is>
          <t>-</t>
        </is>
      </c>
      <c r="F16" s="503" t="inlineStr">
        <is>
          <t>-</t>
        </is>
      </c>
      <c r="G16" s="503" t="inlineStr">
        <is>
          <t>-</t>
        </is>
      </c>
      <c r="H16" s="503" t="inlineStr">
        <is>
          <t>-</t>
        </is>
      </c>
      <c r="I16" s="503" t="inlineStr">
        <is>
          <t>-</t>
        </is>
      </c>
      <c r="J16" s="503" t="inlineStr">
        <is>
          <t>-</t>
        </is>
      </c>
      <c r="K16" s="503" t="inlineStr">
        <is>
          <t>-</t>
        </is>
      </c>
      <c r="L16" s="503" t="inlineStr">
        <is>
          <t>-</t>
        </is>
      </c>
      <c r="M16" s="503" t="inlineStr">
        <is>
          <t>-</t>
        </is>
      </c>
      <c r="N16" s="503" t="inlineStr">
        <is>
          <t>-</t>
        </is>
      </c>
      <c r="O16" s="1499" t="inlineStr">
        <is>
          <t>-</t>
        </is>
      </c>
      <c r="P16" s="1410" t="n"/>
      <c r="Q16" s="503" t="inlineStr">
        <is>
          <t>-</t>
        </is>
      </c>
      <c r="R16" s="503" t="inlineStr">
        <is>
          <t>-</t>
        </is>
      </c>
      <c r="S16" s="503" t="inlineStr">
        <is>
          <t>-</t>
        </is>
      </c>
      <c r="T16" s="503" t="inlineStr">
        <is>
          <t>-</t>
        </is>
      </c>
      <c r="U16" s="503" t="inlineStr">
        <is>
          <t>-</t>
        </is>
      </c>
      <c r="V16" s="503" t="inlineStr">
        <is>
          <t>-</t>
        </is>
      </c>
      <c r="W16" s="1143" t="inlineStr">
        <is>
          <t>-</t>
        </is>
      </c>
      <c r="X16" s="1143" t="inlineStr">
        <is>
          <t>-</t>
        </is>
      </c>
      <c r="Y16" s="1143" t="inlineStr">
        <is>
          <t>-</t>
        </is>
      </c>
      <c r="Z16" s="1410" t="n"/>
      <c r="AA16" s="1143" t="inlineStr">
        <is>
          <t>-</t>
        </is>
      </c>
      <c r="AB16" s="1143" t="inlineStr">
        <is>
          <t>-</t>
        </is>
      </c>
      <c r="AC16" s="1410" t="n"/>
      <c r="AD16" s="1143" t="inlineStr">
        <is>
          <t>-</t>
        </is>
      </c>
      <c r="AE16" s="1143" t="inlineStr">
        <is>
          <t>-</t>
        </is>
      </c>
      <c r="AF16" s="1143" t="inlineStr">
        <is>
          <t>-</t>
        </is>
      </c>
      <c r="AG16" s="503" t="inlineStr">
        <is>
          <t>-</t>
        </is>
      </c>
      <c r="AH16" s="503" t="inlineStr">
        <is>
          <t>-</t>
        </is>
      </c>
      <c r="AI16" s="503" t="inlineStr">
        <is>
          <t>-</t>
        </is>
      </c>
      <c r="AJ16" s="503" t="inlineStr">
        <is>
          <t>-</t>
        </is>
      </c>
    </row>
    <row r="17" ht="12.75" customFormat="1" customHeight="1" s="23">
      <c r="A17" s="849" t="n"/>
      <c r="B17" s="504" t="inlineStr">
        <is>
          <t>ИТОГО по разделу 2</t>
        </is>
      </c>
      <c r="C17" s="1119" t="inlineStr">
        <is>
          <t>-</t>
        </is>
      </c>
      <c r="D17" s="1119" t="inlineStr">
        <is>
          <t>-</t>
        </is>
      </c>
      <c r="E17" s="1119" t="inlineStr">
        <is>
          <t>-</t>
        </is>
      </c>
      <c r="F17" s="1119" t="inlineStr">
        <is>
          <t>-</t>
        </is>
      </c>
      <c r="G17" s="1119" t="inlineStr">
        <is>
          <t>-</t>
        </is>
      </c>
      <c r="H17" s="1119" t="inlineStr">
        <is>
          <t>-</t>
        </is>
      </c>
      <c r="I17" s="1119" t="inlineStr">
        <is>
          <t>-</t>
        </is>
      </c>
      <c r="J17" s="1119" t="inlineStr">
        <is>
          <t>-</t>
        </is>
      </c>
      <c r="K17" s="1119" t="inlineStr">
        <is>
          <t>-</t>
        </is>
      </c>
      <c r="L17" s="1119" t="inlineStr">
        <is>
          <t>-</t>
        </is>
      </c>
      <c r="M17" s="1119" t="inlineStr">
        <is>
          <t>-</t>
        </is>
      </c>
      <c r="N17" s="1119" t="inlineStr">
        <is>
          <t>-</t>
        </is>
      </c>
      <c r="O17" s="1499" t="inlineStr">
        <is>
          <t>-</t>
        </is>
      </c>
      <c r="P17" s="1410" t="n"/>
      <c r="Q17" s="1119" t="inlineStr">
        <is>
          <t>-</t>
        </is>
      </c>
      <c r="R17" s="1119" t="inlineStr">
        <is>
          <t>-</t>
        </is>
      </c>
      <c r="S17" s="1119" t="inlineStr">
        <is>
          <t>-</t>
        </is>
      </c>
      <c r="T17" s="1119" t="inlineStr">
        <is>
          <t>-</t>
        </is>
      </c>
      <c r="U17" s="1119" t="inlineStr">
        <is>
          <t>-</t>
        </is>
      </c>
      <c r="V17" s="1119" t="inlineStr">
        <is>
          <t>-</t>
        </is>
      </c>
      <c r="W17" s="1143" t="inlineStr">
        <is>
          <t>-</t>
        </is>
      </c>
      <c r="X17" s="1143" t="inlineStr">
        <is>
          <t>-</t>
        </is>
      </c>
      <c r="Y17" s="1143" t="inlineStr">
        <is>
          <t>-</t>
        </is>
      </c>
      <c r="Z17" s="1410" t="n"/>
      <c r="AA17" s="1143" t="inlineStr">
        <is>
          <t>-</t>
        </is>
      </c>
      <c r="AB17" s="1143" t="inlineStr">
        <is>
          <t>-</t>
        </is>
      </c>
      <c r="AC17" s="1410" t="n"/>
      <c r="AD17" s="1143" t="inlineStr">
        <is>
          <t>-</t>
        </is>
      </c>
      <c r="AE17" s="1143" t="inlineStr">
        <is>
          <t>-</t>
        </is>
      </c>
      <c r="AF17" s="1143" t="inlineStr">
        <is>
          <t>-</t>
        </is>
      </c>
      <c r="AG17" s="1119" t="inlineStr">
        <is>
          <t>-</t>
        </is>
      </c>
      <c r="AH17" s="1119" t="inlineStr">
        <is>
          <t>-</t>
        </is>
      </c>
      <c r="AI17" s="1119" t="inlineStr">
        <is>
          <t>-</t>
        </is>
      </c>
      <c r="AJ17" s="1119" t="inlineStr">
        <is>
          <t>-</t>
        </is>
      </c>
    </row>
    <row r="18" ht="12.75" customFormat="1" customHeight="1" s="23">
      <c r="A18" s="849" t="n"/>
      <c r="B18" s="849" t="inlineStr">
        <is>
          <t>ВСЕГО по разделу 3:</t>
        </is>
      </c>
      <c r="C18" s="1119" t="inlineStr">
        <is>
          <t>-</t>
        </is>
      </c>
      <c r="D18" s="1119" t="inlineStr">
        <is>
          <t>-</t>
        </is>
      </c>
      <c r="E18" s="1119" t="inlineStr">
        <is>
          <t>-</t>
        </is>
      </c>
      <c r="F18" s="1119" t="inlineStr">
        <is>
          <t>-</t>
        </is>
      </c>
      <c r="G18" s="1119" t="inlineStr">
        <is>
          <t>-</t>
        </is>
      </c>
      <c r="H18" s="1119" t="inlineStr">
        <is>
          <t>-</t>
        </is>
      </c>
      <c r="I18" s="1119" t="inlineStr">
        <is>
          <t>-</t>
        </is>
      </c>
      <c r="J18" s="1119" t="inlineStr">
        <is>
          <t>-</t>
        </is>
      </c>
      <c r="K18" s="1119" t="inlineStr">
        <is>
          <t>-</t>
        </is>
      </c>
      <c r="L18" s="1119" t="inlineStr">
        <is>
          <t>-</t>
        </is>
      </c>
      <c r="M18" s="1119" t="inlineStr">
        <is>
          <t>-</t>
        </is>
      </c>
      <c r="N18" s="1119" t="inlineStr">
        <is>
          <t>-</t>
        </is>
      </c>
      <c r="O18" s="1499" t="inlineStr">
        <is>
          <t>-</t>
        </is>
      </c>
      <c r="P18" s="1410" t="n"/>
      <c r="Q18" s="1119" t="inlineStr">
        <is>
          <t>-</t>
        </is>
      </c>
      <c r="R18" s="1119" t="inlineStr">
        <is>
          <t>-</t>
        </is>
      </c>
      <c r="S18" s="1119" t="inlineStr">
        <is>
          <t>-</t>
        </is>
      </c>
      <c r="T18" s="1119" t="inlineStr">
        <is>
          <t>-</t>
        </is>
      </c>
      <c r="U18" s="1119" t="inlineStr">
        <is>
          <t>-</t>
        </is>
      </c>
      <c r="V18" s="1119" t="inlineStr">
        <is>
          <t>-</t>
        </is>
      </c>
      <c r="W18" s="1143" t="inlineStr">
        <is>
          <t>-</t>
        </is>
      </c>
      <c r="X18" s="1143" t="inlineStr">
        <is>
          <t>-</t>
        </is>
      </c>
      <c r="Y18" s="1143" t="inlineStr">
        <is>
          <t>-</t>
        </is>
      </c>
      <c r="Z18" s="1410" t="n"/>
      <c r="AA18" s="1143" t="inlineStr">
        <is>
          <t>-</t>
        </is>
      </c>
      <c r="AB18" s="1143" t="inlineStr">
        <is>
          <t>-</t>
        </is>
      </c>
      <c r="AC18" s="1410" t="n"/>
      <c r="AD18" s="1143" t="inlineStr">
        <is>
          <t>-</t>
        </is>
      </c>
      <c r="AE18" s="1143" t="inlineStr">
        <is>
          <t>-</t>
        </is>
      </c>
      <c r="AF18" s="1143" t="inlineStr">
        <is>
          <t>-</t>
        </is>
      </c>
      <c r="AG18" s="1119" t="inlineStr">
        <is>
          <t>-</t>
        </is>
      </c>
      <c r="AH18" s="1119" t="inlineStr">
        <is>
          <t>-</t>
        </is>
      </c>
      <c r="AI18" s="1119" t="inlineStr">
        <is>
          <t>-</t>
        </is>
      </c>
      <c r="AJ18" s="1119" t="inlineStr">
        <is>
          <t>-</t>
        </is>
      </c>
    </row>
    <row r="19" ht="24.75" customFormat="1" customHeight="1" s="23">
      <c r="A19" s="849" t="inlineStr">
        <is>
          <t>3.</t>
        </is>
      </c>
      <c r="B19" s="505" t="inlineStr">
        <is>
          <t>Возвратные отходы (вычитаются):</t>
        </is>
      </c>
      <c r="C19" s="1119" t="inlineStr">
        <is>
          <t>-</t>
        </is>
      </c>
      <c r="D19" s="1119" t="inlineStr">
        <is>
          <t>-</t>
        </is>
      </c>
      <c r="E19" s="1119" t="inlineStr">
        <is>
          <t>-</t>
        </is>
      </c>
      <c r="F19" s="1119" t="inlineStr">
        <is>
          <t>-</t>
        </is>
      </c>
      <c r="G19" s="1119" t="inlineStr">
        <is>
          <t>-</t>
        </is>
      </c>
      <c r="H19" s="1119" t="inlineStr">
        <is>
          <t>-</t>
        </is>
      </c>
      <c r="I19" s="1119" t="inlineStr">
        <is>
          <t>-</t>
        </is>
      </c>
      <c r="J19" s="1119" t="inlineStr">
        <is>
          <t>-</t>
        </is>
      </c>
      <c r="K19" s="1119" t="inlineStr">
        <is>
          <t>-</t>
        </is>
      </c>
      <c r="L19" s="1119" t="inlineStr">
        <is>
          <t>-</t>
        </is>
      </c>
      <c r="M19" s="1119" t="inlineStr">
        <is>
          <t>-</t>
        </is>
      </c>
      <c r="N19" s="1119" t="inlineStr">
        <is>
          <t>-</t>
        </is>
      </c>
      <c r="O19" s="1500" t="inlineStr">
        <is>
          <t>-</t>
        </is>
      </c>
      <c r="P19" s="1410" t="n"/>
      <c r="Q19" s="1119" t="inlineStr">
        <is>
          <t>-</t>
        </is>
      </c>
      <c r="R19" s="1119" t="inlineStr">
        <is>
          <t>-</t>
        </is>
      </c>
      <c r="S19" s="1119" t="inlineStr">
        <is>
          <t>-</t>
        </is>
      </c>
      <c r="T19" s="1119" t="inlineStr">
        <is>
          <t>-</t>
        </is>
      </c>
      <c r="U19" s="1119" t="inlineStr">
        <is>
          <t>-</t>
        </is>
      </c>
      <c r="V19" s="1119" t="inlineStr">
        <is>
          <t>-</t>
        </is>
      </c>
      <c r="W19" s="1143" t="inlineStr">
        <is>
          <t>-</t>
        </is>
      </c>
      <c r="X19" s="1143" t="inlineStr">
        <is>
          <t>-</t>
        </is>
      </c>
      <c r="Y19" s="1143" t="inlineStr">
        <is>
          <t>-</t>
        </is>
      </c>
      <c r="Z19" s="1410" t="n"/>
      <c r="AA19" s="1143" t="inlineStr">
        <is>
          <t>-</t>
        </is>
      </c>
      <c r="AB19" s="1143" t="inlineStr">
        <is>
          <t>-</t>
        </is>
      </c>
      <c r="AC19" s="1410" t="n"/>
      <c r="AD19" s="1143" t="inlineStr">
        <is>
          <t>-</t>
        </is>
      </c>
      <c r="AE19" s="1143" t="inlineStr">
        <is>
          <t>-</t>
        </is>
      </c>
      <c r="AF19" s="1143" t="inlineStr">
        <is>
          <t>-</t>
        </is>
      </c>
      <c r="AG19" s="1119" t="inlineStr">
        <is>
          <t>-</t>
        </is>
      </c>
      <c r="AH19" s="1119" t="inlineStr">
        <is>
          <t>-</t>
        </is>
      </c>
      <c r="AI19" s="1119" t="inlineStr">
        <is>
          <t>-</t>
        </is>
      </c>
      <c r="AJ19" s="1119" t="inlineStr">
        <is>
          <t>-</t>
        </is>
      </c>
    </row>
    <row r="20" ht="14.25" customFormat="1" customHeight="1" s="23">
      <c r="A20" s="1069" t="inlineStr">
        <is>
          <t>3.1</t>
        </is>
      </c>
      <c r="B20" s="502" t="inlineStr">
        <is>
          <t>-</t>
        </is>
      </c>
      <c r="C20" s="503" t="inlineStr">
        <is>
          <t>-</t>
        </is>
      </c>
      <c r="D20" s="503" t="inlineStr">
        <is>
          <t>-</t>
        </is>
      </c>
      <c r="E20" s="503" t="inlineStr">
        <is>
          <t>-</t>
        </is>
      </c>
      <c r="F20" s="503" t="inlineStr">
        <is>
          <t>-</t>
        </is>
      </c>
      <c r="G20" s="503" t="inlineStr">
        <is>
          <t>-</t>
        </is>
      </c>
      <c r="H20" s="503" t="inlineStr">
        <is>
          <t>-</t>
        </is>
      </c>
      <c r="I20" s="503" t="inlineStr">
        <is>
          <t>-</t>
        </is>
      </c>
      <c r="J20" s="503" t="inlineStr">
        <is>
          <t>-</t>
        </is>
      </c>
      <c r="K20" s="503" t="inlineStr">
        <is>
          <t>-</t>
        </is>
      </c>
      <c r="L20" s="503" t="inlineStr">
        <is>
          <t>-</t>
        </is>
      </c>
      <c r="M20" s="503" t="inlineStr">
        <is>
          <t>-</t>
        </is>
      </c>
      <c r="N20" s="503" t="inlineStr">
        <is>
          <t>-</t>
        </is>
      </c>
      <c r="O20" s="1499" t="inlineStr">
        <is>
          <t>-</t>
        </is>
      </c>
      <c r="P20" s="1410" t="n"/>
      <c r="Q20" s="503" t="inlineStr">
        <is>
          <t>-</t>
        </is>
      </c>
      <c r="R20" s="503" t="inlineStr">
        <is>
          <t>-</t>
        </is>
      </c>
      <c r="S20" s="503" t="inlineStr">
        <is>
          <t>-</t>
        </is>
      </c>
      <c r="T20" s="503" t="inlineStr">
        <is>
          <t>-</t>
        </is>
      </c>
      <c r="U20" s="503" t="inlineStr">
        <is>
          <t>-</t>
        </is>
      </c>
      <c r="V20" s="503" t="inlineStr">
        <is>
          <t>-</t>
        </is>
      </c>
      <c r="W20" s="1143" t="inlineStr">
        <is>
          <t>-</t>
        </is>
      </c>
      <c r="X20" s="1143" t="inlineStr">
        <is>
          <t>-</t>
        </is>
      </c>
      <c r="Y20" s="1143" t="inlineStr">
        <is>
          <t>-</t>
        </is>
      </c>
      <c r="Z20" s="1410" t="n"/>
      <c r="AA20" s="1143" t="inlineStr">
        <is>
          <t>-</t>
        </is>
      </c>
      <c r="AB20" s="1143" t="inlineStr">
        <is>
          <t>-</t>
        </is>
      </c>
      <c r="AC20" s="1410" t="n"/>
      <c r="AD20" s="1143" t="inlineStr">
        <is>
          <t>-</t>
        </is>
      </c>
      <c r="AE20" s="1143" t="inlineStr">
        <is>
          <t>-</t>
        </is>
      </c>
      <c r="AF20" s="1143" t="inlineStr">
        <is>
          <t>-</t>
        </is>
      </c>
      <c r="AG20" s="503" t="inlineStr">
        <is>
          <t>-</t>
        </is>
      </c>
      <c r="AH20" s="503" t="inlineStr">
        <is>
          <t>-</t>
        </is>
      </c>
      <c r="AI20" s="503" t="inlineStr">
        <is>
          <t>-</t>
        </is>
      </c>
      <c r="AJ20" s="503" t="inlineStr">
        <is>
          <t>-</t>
        </is>
      </c>
    </row>
    <row r="21" ht="10.5" customFormat="1" customHeight="1" s="23">
      <c r="A21" s="1094" t="n"/>
      <c r="B21" s="1094" t="n"/>
      <c r="C21" s="1094" t="n"/>
      <c r="D21" s="1094" t="n"/>
      <c r="E21" s="1094" t="n"/>
      <c r="F21" s="1093" t="n"/>
      <c r="G21" s="1093" t="n"/>
      <c r="H21" s="1093" t="n"/>
      <c r="I21" s="1093" t="n"/>
      <c r="J21" s="1093" t="n"/>
      <c r="K21" s="1093" t="n"/>
      <c r="L21" s="1093" t="n"/>
      <c r="M21" s="1093" t="n"/>
      <c r="N21" s="506" t="n"/>
      <c r="O21" s="507" t="n"/>
      <c r="P21" s="507" t="n"/>
      <c r="Q21" s="507" t="n"/>
      <c r="R21" s="507" t="n"/>
      <c r="S21" s="1093" t="n"/>
      <c r="T21" s="1093" t="n"/>
      <c r="U21" s="1093" t="n"/>
      <c r="V21" s="1093" t="n"/>
      <c r="W21" s="506" t="n"/>
      <c r="X21" s="508" t="n"/>
      <c r="Y21" s="508" t="n"/>
      <c r="Z21" s="508" t="n"/>
      <c r="AA21" s="1093" t="n"/>
      <c r="AB21" s="1093" t="n"/>
      <c r="AC21" s="1093" t="n"/>
      <c r="AD21" s="1093" t="n"/>
      <c r="AE21" s="1093" t="n"/>
      <c r="AF21" s="1093" t="n"/>
      <c r="AG21" s="1093" t="n"/>
      <c r="AH21" s="1093" t="n"/>
      <c r="AI21" s="1093" t="n"/>
      <c r="AJ21" s="1093" t="n"/>
    </row>
    <row r="22" ht="12.75" customFormat="1" customHeight="1" s="23">
      <c r="A22" s="13" t="n"/>
      <c r="B22" s="13" t="n"/>
      <c r="C22" s="1014" t="n"/>
      <c r="D22" s="1014" t="n"/>
      <c r="E22" s="1014" t="n"/>
      <c r="F22" s="1014" t="n"/>
      <c r="G22" s="1014" t="n"/>
      <c r="H22" s="1014" t="n"/>
      <c r="I22" s="22" t="n"/>
      <c r="J22" s="22" t="n"/>
      <c r="K22" s="22" t="n"/>
      <c r="L22" s="22" t="n"/>
      <c r="M22" s="22" t="n"/>
      <c r="N22" s="22" t="n"/>
      <c r="O22" s="22" t="n"/>
      <c r="P22" s="22" t="n"/>
      <c r="Q22" s="22" t="n"/>
      <c r="R22" s="22" t="n"/>
      <c r="S22" s="22" t="n"/>
      <c r="T22" s="480" t="n"/>
      <c r="U22" s="480" t="n"/>
      <c r="V22" s="480" t="n"/>
      <c r="W22" s="509" t="n"/>
      <c r="X22" s="509" t="n"/>
      <c r="Y22" s="509" t="n"/>
      <c r="Z22" s="509" t="n"/>
      <c r="AA22" s="509" t="n"/>
      <c r="AB22" s="509" t="n"/>
      <c r="AC22" s="510" t="n"/>
      <c r="AD22" s="510" t="n"/>
      <c r="AE22" s="510" t="n"/>
      <c r="AF22" s="511" t="n"/>
      <c r="AG22" s="511" t="n"/>
      <c r="AH22" s="480" t="n"/>
      <c r="AI22" s="480" t="n"/>
      <c r="AJ22" s="511" t="n"/>
    </row>
    <row r="23" ht="33.75" customFormat="1" customHeight="1" s="95">
      <c r="A23" s="207" t="n"/>
      <c r="B23" s="991" t="inlineStr">
        <is>
          <t>Начальник ОФЭиАУ НИОКР</t>
        </is>
      </c>
      <c r="G23" s="991" t="n"/>
      <c r="J23" s="207" t="n"/>
      <c r="K23" s="207" t="n"/>
      <c r="L23" s="207" t="n"/>
      <c r="M23" s="207" t="n"/>
      <c r="N23" s="207" t="n"/>
      <c r="O23" s="991" t="inlineStr">
        <is>
          <t>Ответственный исполнитель</t>
        </is>
      </c>
      <c r="AE23" s="991" t="inlineStr">
        <is>
          <t>Руководитель договора</t>
        </is>
      </c>
      <c r="AI23" s="207" t="n"/>
      <c r="AJ23" s="207" t="n"/>
    </row>
    <row r="24" ht="35.25" customFormat="1" customHeight="1" s="95">
      <c r="A24" s="207" t="n"/>
      <c r="B24" s="95" t="inlineStr">
        <is>
          <t>_____________________ Н.О. Васецкая</t>
        </is>
      </c>
      <c r="C24" s="207" t="n"/>
      <c r="D24" s="207" t="n"/>
      <c r="E24" s="207" t="n"/>
      <c r="F24" s="207" t="n"/>
      <c r="G24" s="207" t="n"/>
      <c r="J24" s="207" t="n"/>
      <c r="K24" s="207" t="n"/>
      <c r="L24" s="207" t="n"/>
      <c r="M24" s="207" t="n"/>
      <c r="N24" s="207" t="n"/>
      <c r="O24" s="512" t="inlineStr">
        <is>
          <t>_____________________ И.О. Фамилия</t>
        </is>
      </c>
      <c r="P24" s="513" t="n"/>
      <c r="Q24" s="513" t="n"/>
      <c r="R24" s="513" t="n"/>
      <c r="S24" s="513" t="n"/>
      <c r="T24" s="513" t="n"/>
      <c r="AE24" s="837" t="inlineStr">
        <is>
          <t>_____________________ А.И. Боровков</t>
        </is>
      </c>
      <c r="AI24" s="207" t="n"/>
      <c r="AJ24" s="207" t="n"/>
    </row>
    <row r="25" ht="17.25" customHeight="1" s="794">
      <c r="A25" s="31" t="n"/>
      <c r="B25" s="63" t="inlineStr">
        <is>
          <t xml:space="preserve">  (подпись)                                                        (Ф.И.О.)</t>
        </is>
      </c>
      <c r="C25" s="31" t="n"/>
      <c r="D25" s="31" t="n"/>
      <c r="E25" s="31" t="n"/>
      <c r="F25" s="31" t="n"/>
      <c r="G25" s="31" t="n"/>
      <c r="J25" s="31" t="n"/>
      <c r="K25" s="31" t="n"/>
      <c r="L25" s="31" t="n"/>
      <c r="M25" s="31" t="n"/>
      <c r="N25" s="31" t="n"/>
      <c r="O25" s="63" t="inlineStr">
        <is>
          <t xml:space="preserve">  (подпись)                                                         (Ф.И.О.)</t>
        </is>
      </c>
      <c r="P25" s="190" t="n"/>
      <c r="Q25" s="190" t="n"/>
      <c r="R25" s="190" t="n"/>
      <c r="Z25" s="190" t="n"/>
      <c r="AA25" s="190" t="n"/>
      <c r="AB25" s="190" t="n"/>
      <c r="AC25" s="190" t="n"/>
      <c r="AD25" s="190" t="n"/>
      <c r="AE25" s="63" t="inlineStr">
        <is>
          <t xml:space="preserve">  (подпись)                                                            (Ф.И.О.)</t>
        </is>
      </c>
      <c r="AF25" s="190" t="n"/>
      <c r="AG25" s="190" t="n"/>
      <c r="AH25" s="190" t="n"/>
      <c r="AI25" s="31" t="n"/>
      <c r="AJ25" s="31" t="n"/>
    </row>
    <row r="26" ht="23.25" customFormat="1" customHeight="1" s="103">
      <c r="B26" s="107" t="inlineStr">
        <is>
          <t>«____» __________________ 2025 г.</t>
        </is>
      </c>
      <c r="O26" s="107" t="inlineStr">
        <is>
          <t>«____» __________________ 2025 г.</t>
        </is>
      </c>
      <c r="AE26" s="107" t="inlineStr">
        <is>
          <t>«____» __________________ 2025 г.</t>
        </is>
      </c>
    </row>
  </sheetData>
  <mergeCells count="67">
    <mergeCell ref="R7:Z7"/>
    <mergeCell ref="AB15:AC15"/>
    <mergeCell ref="O19:P19"/>
    <mergeCell ref="AJ8:AJ9"/>
    <mergeCell ref="AB20:AC20"/>
    <mergeCell ref="O10:P10"/>
    <mergeCell ref="AI1:AJ1"/>
    <mergeCell ref="AB14:AC14"/>
    <mergeCell ref="O18:P18"/>
    <mergeCell ref="O15:P15"/>
    <mergeCell ref="Y15:Z15"/>
    <mergeCell ref="V8:W8"/>
    <mergeCell ref="S8:S9"/>
    <mergeCell ref="O9:P9"/>
    <mergeCell ref="G8:H8"/>
    <mergeCell ref="Y9:Z9"/>
    <mergeCell ref="O23:U23"/>
    <mergeCell ref="C7:C9"/>
    <mergeCell ref="AA8:AD8"/>
    <mergeCell ref="E7:E9"/>
    <mergeCell ref="O20:P20"/>
    <mergeCell ref="Y20:Z20"/>
    <mergeCell ref="AB16:AC16"/>
    <mergeCell ref="Y14:Z14"/>
    <mergeCell ref="A3:AJ3"/>
    <mergeCell ref="G7:Q7"/>
    <mergeCell ref="Y11:Z11"/>
    <mergeCell ref="E4:AG4"/>
    <mergeCell ref="Y19:Z19"/>
    <mergeCell ref="B23:F23"/>
    <mergeCell ref="T8:T9"/>
    <mergeCell ref="Y10:Z10"/>
    <mergeCell ref="A2:AJ2"/>
    <mergeCell ref="O8:Q8"/>
    <mergeCell ref="B7:B9"/>
    <mergeCell ref="AB9:AC9"/>
    <mergeCell ref="Y17:Z17"/>
    <mergeCell ref="AE8:AI8"/>
    <mergeCell ref="A5:AJ5"/>
    <mergeCell ref="O16:P16"/>
    <mergeCell ref="AB12:AC12"/>
    <mergeCell ref="Y16:Z16"/>
    <mergeCell ref="K8:L8"/>
    <mergeCell ref="U8:U9"/>
    <mergeCell ref="F7:F9"/>
    <mergeCell ref="AB11:AC11"/>
    <mergeCell ref="I8:J8"/>
    <mergeCell ref="Y13:Z13"/>
    <mergeCell ref="Y18:Z18"/>
    <mergeCell ref="O12:P12"/>
    <mergeCell ref="AB17:AC17"/>
    <mergeCell ref="M8:N8"/>
    <mergeCell ref="AB13:AC13"/>
    <mergeCell ref="O17:P17"/>
    <mergeCell ref="AE23:AH23"/>
    <mergeCell ref="Y12:Z12"/>
    <mergeCell ref="O11:P11"/>
    <mergeCell ref="A7:A9"/>
    <mergeCell ref="AB10:AC10"/>
    <mergeCell ref="R8:R9"/>
    <mergeCell ref="O14:P14"/>
    <mergeCell ref="AB19:AC19"/>
    <mergeCell ref="X8:Z8"/>
    <mergeCell ref="D7:D9"/>
    <mergeCell ref="AA7:AJ7"/>
    <mergeCell ref="AB18:AC18"/>
    <mergeCell ref="O13:P13"/>
  </mergeCells>
  <printOptions horizontalCentered="1"/>
  <pageMargins left="0.25" right="0.25" top="0.75" bottom="0.75" header="0.3" footer="0.3"/>
  <pageSetup orientation="landscape" paperSize="9" scale="45"/>
</worksheet>
</file>

<file path=xl/worksheets/sheet16.xml><?xml version="1.0" encoding="utf-8"?>
<worksheet xmlns="http://schemas.openxmlformats.org/spreadsheetml/2006/main">
  <sheetPr>
    <tabColor theme="4" tint="0.7999816888943144"/>
    <outlinePr summaryBelow="1" summaryRight="1"/>
    <pageSetUpPr fitToPage="1"/>
  </sheetPr>
  <dimension ref="A1:AJ34"/>
  <sheetViews>
    <sheetView view="pageBreakPreview" zoomScale="70" zoomScaleNormal="100" zoomScaleSheetLayoutView="70" workbookViewId="0">
      <selection activeCell="A5" sqref="A5:AJ5"/>
    </sheetView>
  </sheetViews>
  <sheetFormatPr baseColWidth="8" defaultColWidth="0.85546875" defaultRowHeight="12.75"/>
  <cols>
    <col width="5.7109375" bestFit="1" customWidth="1" style="22" min="1" max="1"/>
    <col width="23.42578125" customWidth="1" style="22" min="2" max="2"/>
    <col width="4.7109375" customWidth="1" style="22" min="3" max="3"/>
    <col width="4.85546875" customWidth="1" style="22" min="4" max="4"/>
    <col width="4.7109375" customWidth="1" style="22" min="5" max="5"/>
    <col width="9.28515625" customWidth="1" style="22" min="6" max="6"/>
    <col width="7.28515625" customWidth="1" style="22" min="7" max="7"/>
    <col width="7.7109375" customWidth="1" style="22" min="8" max="8"/>
    <col width="6.85546875" customWidth="1" style="22" min="9" max="9"/>
    <col width="6.42578125" customWidth="1" style="22" min="10" max="12"/>
    <col width="15.140625" customWidth="1" style="22" min="13" max="13"/>
    <col width="10.140625" customWidth="1" style="22" min="14" max="14"/>
    <col width="7.5703125" customWidth="1" style="22" min="15" max="15"/>
    <col width="5" customWidth="1" style="22" min="16" max="16"/>
    <col width="7.140625" customWidth="1" style="22" min="17" max="17"/>
    <col width="9.42578125" customWidth="1" style="22" min="18" max="18"/>
    <col width="10" customWidth="1" style="22" min="19" max="20"/>
    <col width="7.7109375" customWidth="1" style="22" min="21" max="21"/>
    <col width="14.140625" customWidth="1" style="22" min="22" max="22"/>
    <col width="10.42578125" customWidth="1" style="22" min="23" max="23"/>
    <col width="7.7109375" customWidth="1" style="22" min="24" max="24"/>
    <col width="3.42578125" customWidth="1" style="22" min="25" max="25"/>
    <col width="8.28515625" customWidth="1" style="22" min="26" max="26"/>
    <col width="9" customWidth="1" style="22" min="27" max="27"/>
    <col width="3" customWidth="1" style="22" min="28" max="28"/>
    <col width="10" customWidth="1" style="22" min="29" max="29"/>
    <col width="8" customWidth="1" style="22" min="30" max="30"/>
    <col width="10.85546875" customWidth="1" style="22" min="31" max="31"/>
    <col width="9.5703125" customWidth="1" style="22" min="32" max="32"/>
    <col width="9.85546875" customWidth="1" style="22" min="33" max="33"/>
    <col width="10.140625" customWidth="1" style="22" min="34" max="34"/>
    <col width="10.5703125" customWidth="1" style="22" min="35" max="35"/>
    <col width="7.5703125" customWidth="1" style="22" min="36" max="36"/>
    <col width="0.85546875" customWidth="1" style="22" min="37" max="256"/>
    <col width="5.7109375" bestFit="1" customWidth="1" style="22" min="257" max="257"/>
    <col width="23.42578125" customWidth="1" style="22" min="258" max="258"/>
    <col width="6.140625" customWidth="1" style="22" min="259" max="260"/>
    <col width="6.28515625" customWidth="1" style="22" min="261" max="261"/>
    <col width="9.28515625" customWidth="1" style="22" min="262" max="262"/>
    <col width="7.28515625" customWidth="1" style="22" min="263" max="263"/>
    <col width="7.7109375" customWidth="1" style="22" min="264" max="264"/>
    <col width="8.28515625" customWidth="1" style="22" min="265" max="265"/>
    <col width="8.85546875" customWidth="1" style="22" min="266" max="266"/>
    <col width="7.85546875" customWidth="1" style="22" min="267" max="268"/>
    <col width="15.140625" customWidth="1" style="22" min="269" max="269"/>
    <col width="11.5703125" customWidth="1" style="22" min="270" max="270"/>
    <col width="7.5703125" customWidth="1" style="22" min="271" max="271"/>
    <col width="6.85546875" customWidth="1" style="22" min="272" max="272"/>
    <col width="9.140625" customWidth="1" style="22" min="273" max="273"/>
    <col width="9.42578125" customWidth="1" style="22" min="274" max="274"/>
    <col width="10" customWidth="1" style="22" min="275" max="276"/>
    <col width="7.7109375" customWidth="1" style="22" min="277" max="277"/>
    <col width="14.85546875" customWidth="1" style="22" min="278" max="278"/>
    <col width="10.42578125" customWidth="1" style="22" min="279" max="279"/>
    <col width="7.7109375" customWidth="1" style="22" min="280" max="280"/>
    <col width="4.42578125" customWidth="1" style="22" min="281" max="281"/>
    <col width="8" customWidth="1" style="22" min="282" max="282"/>
    <col width="9" customWidth="1" style="22" min="283" max="283"/>
    <col width="3" customWidth="1" style="22" min="284" max="284"/>
    <col width="10" customWidth="1" style="22" min="285" max="285"/>
    <col width="8" customWidth="1" style="22" min="286" max="286"/>
    <col width="10.85546875" customWidth="1" style="22" min="287" max="287"/>
    <col width="9.5703125" customWidth="1" style="22" min="288" max="288"/>
    <col width="9.85546875" customWidth="1" style="22" min="289" max="289"/>
    <col width="10.140625" customWidth="1" style="22" min="290" max="290"/>
    <col width="10.5703125" customWidth="1" style="22" min="291" max="291"/>
    <col width="8" customWidth="1" style="22" min="292" max="292"/>
    <col width="0.85546875" customWidth="1" style="22" min="293" max="512"/>
    <col width="5.7109375" bestFit="1" customWidth="1" style="22" min="513" max="513"/>
    <col width="23.42578125" customWidth="1" style="22" min="514" max="514"/>
    <col width="6.140625" customWidth="1" style="22" min="515" max="516"/>
    <col width="6.28515625" customWidth="1" style="22" min="517" max="517"/>
    <col width="9.28515625" customWidth="1" style="22" min="518" max="518"/>
    <col width="7.28515625" customWidth="1" style="22" min="519" max="519"/>
    <col width="7.7109375" customWidth="1" style="22" min="520" max="520"/>
    <col width="8.28515625" customWidth="1" style="22" min="521" max="521"/>
    <col width="8.85546875" customWidth="1" style="22" min="522" max="522"/>
    <col width="7.85546875" customWidth="1" style="22" min="523" max="524"/>
    <col width="15.140625" customWidth="1" style="22" min="525" max="525"/>
    <col width="11.5703125" customWidth="1" style="22" min="526" max="526"/>
    <col width="7.5703125" customWidth="1" style="22" min="527" max="527"/>
    <col width="6.85546875" customWidth="1" style="22" min="528" max="528"/>
    <col width="9.140625" customWidth="1" style="22" min="529" max="529"/>
    <col width="9.42578125" customWidth="1" style="22" min="530" max="530"/>
    <col width="10" customWidth="1" style="22" min="531" max="532"/>
    <col width="7.7109375" customWidth="1" style="22" min="533" max="533"/>
    <col width="14.85546875" customWidth="1" style="22" min="534" max="534"/>
    <col width="10.42578125" customWidth="1" style="22" min="535" max="535"/>
    <col width="7.7109375" customWidth="1" style="22" min="536" max="536"/>
    <col width="4.42578125" customWidth="1" style="22" min="537" max="537"/>
    <col width="8" customWidth="1" style="22" min="538" max="538"/>
    <col width="9" customWidth="1" style="22" min="539" max="539"/>
    <col width="3" customWidth="1" style="22" min="540" max="540"/>
    <col width="10" customWidth="1" style="22" min="541" max="541"/>
    <col width="8" customWidth="1" style="22" min="542" max="542"/>
    <col width="10.85546875" customWidth="1" style="22" min="543" max="543"/>
    <col width="9.5703125" customWidth="1" style="22" min="544" max="544"/>
    <col width="9.85546875" customWidth="1" style="22" min="545" max="545"/>
    <col width="10.140625" customWidth="1" style="22" min="546" max="546"/>
    <col width="10.5703125" customWidth="1" style="22" min="547" max="547"/>
    <col width="8" customWidth="1" style="22" min="548" max="548"/>
    <col width="0.85546875" customWidth="1" style="22" min="549" max="768"/>
    <col width="5.7109375" bestFit="1" customWidth="1" style="22" min="769" max="769"/>
    <col width="23.42578125" customWidth="1" style="22" min="770" max="770"/>
    <col width="6.140625" customWidth="1" style="22" min="771" max="772"/>
    <col width="6.28515625" customWidth="1" style="22" min="773" max="773"/>
    <col width="9.28515625" customWidth="1" style="22" min="774" max="774"/>
    <col width="7.28515625" customWidth="1" style="22" min="775" max="775"/>
    <col width="7.7109375" customWidth="1" style="22" min="776" max="776"/>
    <col width="8.28515625" customWidth="1" style="22" min="777" max="777"/>
    <col width="8.85546875" customWidth="1" style="22" min="778" max="778"/>
    <col width="7.85546875" customWidth="1" style="22" min="779" max="780"/>
    <col width="15.140625" customWidth="1" style="22" min="781" max="781"/>
    <col width="11.5703125" customWidth="1" style="22" min="782" max="782"/>
    <col width="7.5703125" customWidth="1" style="22" min="783" max="783"/>
    <col width="6.85546875" customWidth="1" style="22" min="784" max="784"/>
    <col width="9.140625" customWidth="1" style="22" min="785" max="785"/>
    <col width="9.42578125" customWidth="1" style="22" min="786" max="786"/>
    <col width="10" customWidth="1" style="22" min="787" max="788"/>
    <col width="7.7109375" customWidth="1" style="22" min="789" max="789"/>
    <col width="14.85546875" customWidth="1" style="22" min="790" max="790"/>
    <col width="10.42578125" customWidth="1" style="22" min="791" max="791"/>
    <col width="7.7109375" customWidth="1" style="22" min="792" max="792"/>
    <col width="4.42578125" customWidth="1" style="22" min="793" max="793"/>
    <col width="8" customWidth="1" style="22" min="794" max="794"/>
    <col width="9" customWidth="1" style="22" min="795" max="795"/>
    <col width="3" customWidth="1" style="22" min="796" max="796"/>
    <col width="10" customWidth="1" style="22" min="797" max="797"/>
    <col width="8" customWidth="1" style="22" min="798" max="798"/>
    <col width="10.85546875" customWidth="1" style="22" min="799" max="799"/>
    <col width="9.5703125" customWidth="1" style="22" min="800" max="800"/>
    <col width="9.85546875" customWidth="1" style="22" min="801" max="801"/>
    <col width="10.140625" customWidth="1" style="22" min="802" max="802"/>
    <col width="10.5703125" customWidth="1" style="22" min="803" max="803"/>
    <col width="8" customWidth="1" style="22" min="804" max="804"/>
    <col width="0.85546875" customWidth="1" style="22" min="805" max="1024"/>
    <col width="5.7109375" bestFit="1" customWidth="1" style="22" min="1025" max="1025"/>
    <col width="23.42578125" customWidth="1" style="22" min="1026" max="1026"/>
    <col width="6.140625" customWidth="1" style="22" min="1027" max="1028"/>
    <col width="6.28515625" customWidth="1" style="22" min="1029" max="1029"/>
    <col width="9.28515625" customWidth="1" style="22" min="1030" max="1030"/>
    <col width="7.28515625" customWidth="1" style="22" min="1031" max="1031"/>
    <col width="7.7109375" customWidth="1" style="22" min="1032" max="1032"/>
    <col width="8.28515625" customWidth="1" style="22" min="1033" max="1033"/>
    <col width="8.85546875" customWidth="1" style="22" min="1034" max="1034"/>
    <col width="7.85546875" customWidth="1" style="22" min="1035" max="1036"/>
    <col width="15.140625" customWidth="1" style="22" min="1037" max="1037"/>
    <col width="11.5703125" customWidth="1" style="22" min="1038" max="1038"/>
    <col width="7.5703125" customWidth="1" style="22" min="1039" max="1039"/>
    <col width="6.85546875" customWidth="1" style="22" min="1040" max="1040"/>
    <col width="9.140625" customWidth="1" style="22" min="1041" max="1041"/>
    <col width="9.42578125" customWidth="1" style="22" min="1042" max="1042"/>
    <col width="10" customWidth="1" style="22" min="1043" max="1044"/>
    <col width="7.7109375" customWidth="1" style="22" min="1045" max="1045"/>
    <col width="14.85546875" customWidth="1" style="22" min="1046" max="1046"/>
    <col width="10.42578125" customWidth="1" style="22" min="1047" max="1047"/>
    <col width="7.7109375" customWidth="1" style="22" min="1048" max="1048"/>
    <col width="4.42578125" customWidth="1" style="22" min="1049" max="1049"/>
    <col width="8" customWidth="1" style="22" min="1050" max="1050"/>
    <col width="9" customWidth="1" style="22" min="1051" max="1051"/>
    <col width="3" customWidth="1" style="22" min="1052" max="1052"/>
    <col width="10" customWidth="1" style="22" min="1053" max="1053"/>
    <col width="8" customWidth="1" style="22" min="1054" max="1054"/>
    <col width="10.85546875" customWidth="1" style="22" min="1055" max="1055"/>
    <col width="9.5703125" customWidth="1" style="22" min="1056" max="1056"/>
    <col width="9.85546875" customWidth="1" style="22" min="1057" max="1057"/>
    <col width="10.140625" customWidth="1" style="22" min="1058" max="1058"/>
    <col width="10.5703125" customWidth="1" style="22" min="1059" max="1059"/>
    <col width="8" customWidth="1" style="22" min="1060" max="1060"/>
    <col width="0.85546875" customWidth="1" style="22" min="1061" max="1280"/>
    <col width="5.7109375" bestFit="1" customWidth="1" style="22" min="1281" max="1281"/>
    <col width="23.42578125" customWidth="1" style="22" min="1282" max="1282"/>
    <col width="6.140625" customWidth="1" style="22" min="1283" max="1284"/>
    <col width="6.28515625" customWidth="1" style="22" min="1285" max="1285"/>
    <col width="9.28515625" customWidth="1" style="22" min="1286" max="1286"/>
    <col width="7.28515625" customWidth="1" style="22" min="1287" max="1287"/>
    <col width="7.7109375" customWidth="1" style="22" min="1288" max="1288"/>
    <col width="8.28515625" customWidth="1" style="22" min="1289" max="1289"/>
    <col width="8.85546875" customWidth="1" style="22" min="1290" max="1290"/>
    <col width="7.85546875" customWidth="1" style="22" min="1291" max="1292"/>
    <col width="15.140625" customWidth="1" style="22" min="1293" max="1293"/>
    <col width="11.5703125" customWidth="1" style="22" min="1294" max="1294"/>
    <col width="7.5703125" customWidth="1" style="22" min="1295" max="1295"/>
    <col width="6.85546875" customWidth="1" style="22" min="1296" max="1296"/>
    <col width="9.140625" customWidth="1" style="22" min="1297" max="1297"/>
    <col width="9.42578125" customWidth="1" style="22" min="1298" max="1298"/>
    <col width="10" customWidth="1" style="22" min="1299" max="1300"/>
    <col width="7.7109375" customWidth="1" style="22" min="1301" max="1301"/>
    <col width="14.85546875" customWidth="1" style="22" min="1302" max="1302"/>
    <col width="10.42578125" customWidth="1" style="22" min="1303" max="1303"/>
    <col width="7.7109375" customWidth="1" style="22" min="1304" max="1304"/>
    <col width="4.42578125" customWidth="1" style="22" min="1305" max="1305"/>
    <col width="8" customWidth="1" style="22" min="1306" max="1306"/>
    <col width="9" customWidth="1" style="22" min="1307" max="1307"/>
    <col width="3" customWidth="1" style="22" min="1308" max="1308"/>
    <col width="10" customWidth="1" style="22" min="1309" max="1309"/>
    <col width="8" customWidth="1" style="22" min="1310" max="1310"/>
    <col width="10.85546875" customWidth="1" style="22" min="1311" max="1311"/>
    <col width="9.5703125" customWidth="1" style="22" min="1312" max="1312"/>
    <col width="9.85546875" customWidth="1" style="22" min="1313" max="1313"/>
    <col width="10.140625" customWidth="1" style="22" min="1314" max="1314"/>
    <col width="10.5703125" customWidth="1" style="22" min="1315" max="1315"/>
    <col width="8" customWidth="1" style="22" min="1316" max="1316"/>
    <col width="0.85546875" customWidth="1" style="22" min="1317" max="1536"/>
    <col width="5.7109375" bestFit="1" customWidth="1" style="22" min="1537" max="1537"/>
    <col width="23.42578125" customWidth="1" style="22" min="1538" max="1538"/>
    <col width="6.140625" customWidth="1" style="22" min="1539" max="1540"/>
    <col width="6.28515625" customWidth="1" style="22" min="1541" max="1541"/>
    <col width="9.28515625" customWidth="1" style="22" min="1542" max="1542"/>
    <col width="7.28515625" customWidth="1" style="22" min="1543" max="1543"/>
    <col width="7.7109375" customWidth="1" style="22" min="1544" max="1544"/>
    <col width="8.28515625" customWidth="1" style="22" min="1545" max="1545"/>
    <col width="8.85546875" customWidth="1" style="22" min="1546" max="1546"/>
    <col width="7.85546875" customWidth="1" style="22" min="1547" max="1548"/>
    <col width="15.140625" customWidth="1" style="22" min="1549" max="1549"/>
    <col width="11.5703125" customWidth="1" style="22" min="1550" max="1550"/>
    <col width="7.5703125" customWidth="1" style="22" min="1551" max="1551"/>
    <col width="6.85546875" customWidth="1" style="22" min="1552" max="1552"/>
    <col width="9.140625" customWidth="1" style="22" min="1553" max="1553"/>
    <col width="9.42578125" customWidth="1" style="22" min="1554" max="1554"/>
    <col width="10" customWidth="1" style="22" min="1555" max="1556"/>
    <col width="7.7109375" customWidth="1" style="22" min="1557" max="1557"/>
    <col width="14.85546875" customWidth="1" style="22" min="1558" max="1558"/>
    <col width="10.42578125" customWidth="1" style="22" min="1559" max="1559"/>
    <col width="7.7109375" customWidth="1" style="22" min="1560" max="1560"/>
    <col width="4.42578125" customWidth="1" style="22" min="1561" max="1561"/>
    <col width="8" customWidth="1" style="22" min="1562" max="1562"/>
    <col width="9" customWidth="1" style="22" min="1563" max="1563"/>
    <col width="3" customWidth="1" style="22" min="1564" max="1564"/>
    <col width="10" customWidth="1" style="22" min="1565" max="1565"/>
    <col width="8" customWidth="1" style="22" min="1566" max="1566"/>
    <col width="10.85546875" customWidth="1" style="22" min="1567" max="1567"/>
    <col width="9.5703125" customWidth="1" style="22" min="1568" max="1568"/>
    <col width="9.85546875" customWidth="1" style="22" min="1569" max="1569"/>
    <col width="10.140625" customWidth="1" style="22" min="1570" max="1570"/>
    <col width="10.5703125" customWidth="1" style="22" min="1571" max="1571"/>
    <col width="8" customWidth="1" style="22" min="1572" max="1572"/>
    <col width="0.85546875" customWidth="1" style="22" min="1573" max="1792"/>
    <col width="5.7109375" bestFit="1" customWidth="1" style="22" min="1793" max="1793"/>
    <col width="23.42578125" customWidth="1" style="22" min="1794" max="1794"/>
    <col width="6.140625" customWidth="1" style="22" min="1795" max="1796"/>
    <col width="6.28515625" customWidth="1" style="22" min="1797" max="1797"/>
    <col width="9.28515625" customWidth="1" style="22" min="1798" max="1798"/>
    <col width="7.28515625" customWidth="1" style="22" min="1799" max="1799"/>
    <col width="7.7109375" customWidth="1" style="22" min="1800" max="1800"/>
    <col width="8.28515625" customWidth="1" style="22" min="1801" max="1801"/>
    <col width="8.85546875" customWidth="1" style="22" min="1802" max="1802"/>
    <col width="7.85546875" customWidth="1" style="22" min="1803" max="1804"/>
    <col width="15.140625" customWidth="1" style="22" min="1805" max="1805"/>
    <col width="11.5703125" customWidth="1" style="22" min="1806" max="1806"/>
    <col width="7.5703125" customWidth="1" style="22" min="1807" max="1807"/>
    <col width="6.85546875" customWidth="1" style="22" min="1808" max="1808"/>
    <col width="9.140625" customWidth="1" style="22" min="1809" max="1809"/>
    <col width="9.42578125" customWidth="1" style="22" min="1810" max="1810"/>
    <col width="10" customWidth="1" style="22" min="1811" max="1812"/>
    <col width="7.7109375" customWidth="1" style="22" min="1813" max="1813"/>
    <col width="14.85546875" customWidth="1" style="22" min="1814" max="1814"/>
    <col width="10.42578125" customWidth="1" style="22" min="1815" max="1815"/>
    <col width="7.7109375" customWidth="1" style="22" min="1816" max="1816"/>
    <col width="4.42578125" customWidth="1" style="22" min="1817" max="1817"/>
    <col width="8" customWidth="1" style="22" min="1818" max="1818"/>
    <col width="9" customWidth="1" style="22" min="1819" max="1819"/>
    <col width="3" customWidth="1" style="22" min="1820" max="1820"/>
    <col width="10" customWidth="1" style="22" min="1821" max="1821"/>
    <col width="8" customWidth="1" style="22" min="1822" max="1822"/>
    <col width="10.85546875" customWidth="1" style="22" min="1823" max="1823"/>
    <col width="9.5703125" customWidth="1" style="22" min="1824" max="1824"/>
    <col width="9.85546875" customWidth="1" style="22" min="1825" max="1825"/>
    <col width="10.140625" customWidth="1" style="22" min="1826" max="1826"/>
    <col width="10.5703125" customWidth="1" style="22" min="1827" max="1827"/>
    <col width="8" customWidth="1" style="22" min="1828" max="1828"/>
    <col width="0.85546875" customWidth="1" style="22" min="1829" max="2048"/>
    <col width="5.7109375" bestFit="1" customWidth="1" style="22" min="2049" max="2049"/>
    <col width="23.42578125" customWidth="1" style="22" min="2050" max="2050"/>
    <col width="6.140625" customWidth="1" style="22" min="2051" max="2052"/>
    <col width="6.28515625" customWidth="1" style="22" min="2053" max="2053"/>
    <col width="9.28515625" customWidth="1" style="22" min="2054" max="2054"/>
    <col width="7.28515625" customWidth="1" style="22" min="2055" max="2055"/>
    <col width="7.7109375" customWidth="1" style="22" min="2056" max="2056"/>
    <col width="8.28515625" customWidth="1" style="22" min="2057" max="2057"/>
    <col width="8.85546875" customWidth="1" style="22" min="2058" max="2058"/>
    <col width="7.85546875" customWidth="1" style="22" min="2059" max="2060"/>
    <col width="15.140625" customWidth="1" style="22" min="2061" max="2061"/>
    <col width="11.5703125" customWidth="1" style="22" min="2062" max="2062"/>
    <col width="7.5703125" customWidth="1" style="22" min="2063" max="2063"/>
    <col width="6.85546875" customWidth="1" style="22" min="2064" max="2064"/>
    <col width="9.140625" customWidth="1" style="22" min="2065" max="2065"/>
    <col width="9.42578125" customWidth="1" style="22" min="2066" max="2066"/>
    <col width="10" customWidth="1" style="22" min="2067" max="2068"/>
    <col width="7.7109375" customWidth="1" style="22" min="2069" max="2069"/>
    <col width="14.85546875" customWidth="1" style="22" min="2070" max="2070"/>
    <col width="10.42578125" customWidth="1" style="22" min="2071" max="2071"/>
    <col width="7.7109375" customWidth="1" style="22" min="2072" max="2072"/>
    <col width="4.42578125" customWidth="1" style="22" min="2073" max="2073"/>
    <col width="8" customWidth="1" style="22" min="2074" max="2074"/>
    <col width="9" customWidth="1" style="22" min="2075" max="2075"/>
    <col width="3" customWidth="1" style="22" min="2076" max="2076"/>
    <col width="10" customWidth="1" style="22" min="2077" max="2077"/>
    <col width="8" customWidth="1" style="22" min="2078" max="2078"/>
    <col width="10.85546875" customWidth="1" style="22" min="2079" max="2079"/>
    <col width="9.5703125" customWidth="1" style="22" min="2080" max="2080"/>
    <col width="9.85546875" customWidth="1" style="22" min="2081" max="2081"/>
    <col width="10.140625" customWidth="1" style="22" min="2082" max="2082"/>
    <col width="10.5703125" customWidth="1" style="22" min="2083" max="2083"/>
    <col width="8" customWidth="1" style="22" min="2084" max="2084"/>
    <col width="0.85546875" customWidth="1" style="22" min="2085" max="2304"/>
    <col width="5.7109375" bestFit="1" customWidth="1" style="22" min="2305" max="2305"/>
    <col width="23.42578125" customWidth="1" style="22" min="2306" max="2306"/>
    <col width="6.140625" customWidth="1" style="22" min="2307" max="2308"/>
    <col width="6.28515625" customWidth="1" style="22" min="2309" max="2309"/>
    <col width="9.28515625" customWidth="1" style="22" min="2310" max="2310"/>
    <col width="7.28515625" customWidth="1" style="22" min="2311" max="2311"/>
    <col width="7.7109375" customWidth="1" style="22" min="2312" max="2312"/>
    <col width="8.28515625" customWidth="1" style="22" min="2313" max="2313"/>
    <col width="8.85546875" customWidth="1" style="22" min="2314" max="2314"/>
    <col width="7.85546875" customWidth="1" style="22" min="2315" max="2316"/>
    <col width="15.140625" customWidth="1" style="22" min="2317" max="2317"/>
    <col width="11.5703125" customWidth="1" style="22" min="2318" max="2318"/>
    <col width="7.5703125" customWidth="1" style="22" min="2319" max="2319"/>
    <col width="6.85546875" customWidth="1" style="22" min="2320" max="2320"/>
    <col width="9.140625" customWidth="1" style="22" min="2321" max="2321"/>
    <col width="9.42578125" customWidth="1" style="22" min="2322" max="2322"/>
    <col width="10" customWidth="1" style="22" min="2323" max="2324"/>
    <col width="7.7109375" customWidth="1" style="22" min="2325" max="2325"/>
    <col width="14.85546875" customWidth="1" style="22" min="2326" max="2326"/>
    <col width="10.42578125" customWidth="1" style="22" min="2327" max="2327"/>
    <col width="7.7109375" customWidth="1" style="22" min="2328" max="2328"/>
    <col width="4.42578125" customWidth="1" style="22" min="2329" max="2329"/>
    <col width="8" customWidth="1" style="22" min="2330" max="2330"/>
    <col width="9" customWidth="1" style="22" min="2331" max="2331"/>
    <col width="3" customWidth="1" style="22" min="2332" max="2332"/>
    <col width="10" customWidth="1" style="22" min="2333" max="2333"/>
    <col width="8" customWidth="1" style="22" min="2334" max="2334"/>
    <col width="10.85546875" customWidth="1" style="22" min="2335" max="2335"/>
    <col width="9.5703125" customWidth="1" style="22" min="2336" max="2336"/>
    <col width="9.85546875" customWidth="1" style="22" min="2337" max="2337"/>
    <col width="10.140625" customWidth="1" style="22" min="2338" max="2338"/>
    <col width="10.5703125" customWidth="1" style="22" min="2339" max="2339"/>
    <col width="8" customWidth="1" style="22" min="2340" max="2340"/>
    <col width="0.85546875" customWidth="1" style="22" min="2341" max="2560"/>
    <col width="5.7109375" bestFit="1" customWidth="1" style="22" min="2561" max="2561"/>
    <col width="23.42578125" customWidth="1" style="22" min="2562" max="2562"/>
    <col width="6.140625" customWidth="1" style="22" min="2563" max="2564"/>
    <col width="6.28515625" customWidth="1" style="22" min="2565" max="2565"/>
    <col width="9.28515625" customWidth="1" style="22" min="2566" max="2566"/>
    <col width="7.28515625" customWidth="1" style="22" min="2567" max="2567"/>
    <col width="7.7109375" customWidth="1" style="22" min="2568" max="2568"/>
    <col width="8.28515625" customWidth="1" style="22" min="2569" max="2569"/>
    <col width="8.85546875" customWidth="1" style="22" min="2570" max="2570"/>
    <col width="7.85546875" customWidth="1" style="22" min="2571" max="2572"/>
    <col width="15.140625" customWidth="1" style="22" min="2573" max="2573"/>
    <col width="11.5703125" customWidth="1" style="22" min="2574" max="2574"/>
    <col width="7.5703125" customWidth="1" style="22" min="2575" max="2575"/>
    <col width="6.85546875" customWidth="1" style="22" min="2576" max="2576"/>
    <col width="9.140625" customWidth="1" style="22" min="2577" max="2577"/>
    <col width="9.42578125" customWidth="1" style="22" min="2578" max="2578"/>
    <col width="10" customWidth="1" style="22" min="2579" max="2580"/>
    <col width="7.7109375" customWidth="1" style="22" min="2581" max="2581"/>
    <col width="14.85546875" customWidth="1" style="22" min="2582" max="2582"/>
    <col width="10.42578125" customWidth="1" style="22" min="2583" max="2583"/>
    <col width="7.7109375" customWidth="1" style="22" min="2584" max="2584"/>
    <col width="4.42578125" customWidth="1" style="22" min="2585" max="2585"/>
    <col width="8" customWidth="1" style="22" min="2586" max="2586"/>
    <col width="9" customWidth="1" style="22" min="2587" max="2587"/>
    <col width="3" customWidth="1" style="22" min="2588" max="2588"/>
    <col width="10" customWidth="1" style="22" min="2589" max="2589"/>
    <col width="8" customWidth="1" style="22" min="2590" max="2590"/>
    <col width="10.85546875" customWidth="1" style="22" min="2591" max="2591"/>
    <col width="9.5703125" customWidth="1" style="22" min="2592" max="2592"/>
    <col width="9.85546875" customWidth="1" style="22" min="2593" max="2593"/>
    <col width="10.140625" customWidth="1" style="22" min="2594" max="2594"/>
    <col width="10.5703125" customWidth="1" style="22" min="2595" max="2595"/>
    <col width="8" customWidth="1" style="22" min="2596" max="2596"/>
    <col width="0.85546875" customWidth="1" style="22" min="2597" max="2816"/>
    <col width="5.7109375" bestFit="1" customWidth="1" style="22" min="2817" max="2817"/>
    <col width="23.42578125" customWidth="1" style="22" min="2818" max="2818"/>
    <col width="6.140625" customWidth="1" style="22" min="2819" max="2820"/>
    <col width="6.28515625" customWidth="1" style="22" min="2821" max="2821"/>
    <col width="9.28515625" customWidth="1" style="22" min="2822" max="2822"/>
    <col width="7.28515625" customWidth="1" style="22" min="2823" max="2823"/>
    <col width="7.7109375" customWidth="1" style="22" min="2824" max="2824"/>
    <col width="8.28515625" customWidth="1" style="22" min="2825" max="2825"/>
    <col width="8.85546875" customWidth="1" style="22" min="2826" max="2826"/>
    <col width="7.85546875" customWidth="1" style="22" min="2827" max="2828"/>
    <col width="15.140625" customWidth="1" style="22" min="2829" max="2829"/>
    <col width="11.5703125" customWidth="1" style="22" min="2830" max="2830"/>
    <col width="7.5703125" customWidth="1" style="22" min="2831" max="2831"/>
    <col width="6.85546875" customWidth="1" style="22" min="2832" max="2832"/>
    <col width="9.140625" customWidth="1" style="22" min="2833" max="2833"/>
    <col width="9.42578125" customWidth="1" style="22" min="2834" max="2834"/>
    <col width="10" customWidth="1" style="22" min="2835" max="2836"/>
    <col width="7.7109375" customWidth="1" style="22" min="2837" max="2837"/>
    <col width="14.85546875" customWidth="1" style="22" min="2838" max="2838"/>
    <col width="10.42578125" customWidth="1" style="22" min="2839" max="2839"/>
    <col width="7.7109375" customWidth="1" style="22" min="2840" max="2840"/>
    <col width="4.42578125" customWidth="1" style="22" min="2841" max="2841"/>
    <col width="8" customWidth="1" style="22" min="2842" max="2842"/>
    <col width="9" customWidth="1" style="22" min="2843" max="2843"/>
    <col width="3" customWidth="1" style="22" min="2844" max="2844"/>
    <col width="10" customWidth="1" style="22" min="2845" max="2845"/>
    <col width="8" customWidth="1" style="22" min="2846" max="2846"/>
    <col width="10.85546875" customWidth="1" style="22" min="2847" max="2847"/>
    <col width="9.5703125" customWidth="1" style="22" min="2848" max="2848"/>
    <col width="9.85546875" customWidth="1" style="22" min="2849" max="2849"/>
    <col width="10.140625" customWidth="1" style="22" min="2850" max="2850"/>
    <col width="10.5703125" customWidth="1" style="22" min="2851" max="2851"/>
    <col width="8" customWidth="1" style="22" min="2852" max="2852"/>
    <col width="0.85546875" customWidth="1" style="22" min="2853" max="3072"/>
    <col width="5.7109375" bestFit="1" customWidth="1" style="22" min="3073" max="3073"/>
    <col width="23.42578125" customWidth="1" style="22" min="3074" max="3074"/>
    <col width="6.140625" customWidth="1" style="22" min="3075" max="3076"/>
    <col width="6.28515625" customWidth="1" style="22" min="3077" max="3077"/>
    <col width="9.28515625" customWidth="1" style="22" min="3078" max="3078"/>
    <col width="7.28515625" customWidth="1" style="22" min="3079" max="3079"/>
    <col width="7.7109375" customWidth="1" style="22" min="3080" max="3080"/>
    <col width="8.28515625" customWidth="1" style="22" min="3081" max="3081"/>
    <col width="8.85546875" customWidth="1" style="22" min="3082" max="3082"/>
    <col width="7.85546875" customWidth="1" style="22" min="3083" max="3084"/>
    <col width="15.140625" customWidth="1" style="22" min="3085" max="3085"/>
    <col width="11.5703125" customWidth="1" style="22" min="3086" max="3086"/>
    <col width="7.5703125" customWidth="1" style="22" min="3087" max="3087"/>
    <col width="6.85546875" customWidth="1" style="22" min="3088" max="3088"/>
    <col width="9.140625" customWidth="1" style="22" min="3089" max="3089"/>
    <col width="9.42578125" customWidth="1" style="22" min="3090" max="3090"/>
    <col width="10" customWidth="1" style="22" min="3091" max="3092"/>
    <col width="7.7109375" customWidth="1" style="22" min="3093" max="3093"/>
    <col width="14.85546875" customWidth="1" style="22" min="3094" max="3094"/>
    <col width="10.42578125" customWidth="1" style="22" min="3095" max="3095"/>
    <col width="7.7109375" customWidth="1" style="22" min="3096" max="3096"/>
    <col width="4.42578125" customWidth="1" style="22" min="3097" max="3097"/>
    <col width="8" customWidth="1" style="22" min="3098" max="3098"/>
    <col width="9" customWidth="1" style="22" min="3099" max="3099"/>
    <col width="3" customWidth="1" style="22" min="3100" max="3100"/>
    <col width="10" customWidth="1" style="22" min="3101" max="3101"/>
    <col width="8" customWidth="1" style="22" min="3102" max="3102"/>
    <col width="10.85546875" customWidth="1" style="22" min="3103" max="3103"/>
    <col width="9.5703125" customWidth="1" style="22" min="3104" max="3104"/>
    <col width="9.85546875" customWidth="1" style="22" min="3105" max="3105"/>
    <col width="10.140625" customWidth="1" style="22" min="3106" max="3106"/>
    <col width="10.5703125" customWidth="1" style="22" min="3107" max="3107"/>
    <col width="8" customWidth="1" style="22" min="3108" max="3108"/>
    <col width="0.85546875" customWidth="1" style="22" min="3109" max="3328"/>
    <col width="5.7109375" bestFit="1" customWidth="1" style="22" min="3329" max="3329"/>
    <col width="23.42578125" customWidth="1" style="22" min="3330" max="3330"/>
    <col width="6.140625" customWidth="1" style="22" min="3331" max="3332"/>
    <col width="6.28515625" customWidth="1" style="22" min="3333" max="3333"/>
    <col width="9.28515625" customWidth="1" style="22" min="3334" max="3334"/>
    <col width="7.28515625" customWidth="1" style="22" min="3335" max="3335"/>
    <col width="7.7109375" customWidth="1" style="22" min="3336" max="3336"/>
    <col width="8.28515625" customWidth="1" style="22" min="3337" max="3337"/>
    <col width="8.85546875" customWidth="1" style="22" min="3338" max="3338"/>
    <col width="7.85546875" customWidth="1" style="22" min="3339" max="3340"/>
    <col width="15.140625" customWidth="1" style="22" min="3341" max="3341"/>
    <col width="11.5703125" customWidth="1" style="22" min="3342" max="3342"/>
    <col width="7.5703125" customWidth="1" style="22" min="3343" max="3343"/>
    <col width="6.85546875" customWidth="1" style="22" min="3344" max="3344"/>
    <col width="9.140625" customWidth="1" style="22" min="3345" max="3345"/>
    <col width="9.42578125" customWidth="1" style="22" min="3346" max="3346"/>
    <col width="10" customWidth="1" style="22" min="3347" max="3348"/>
    <col width="7.7109375" customWidth="1" style="22" min="3349" max="3349"/>
    <col width="14.85546875" customWidth="1" style="22" min="3350" max="3350"/>
    <col width="10.42578125" customWidth="1" style="22" min="3351" max="3351"/>
    <col width="7.7109375" customWidth="1" style="22" min="3352" max="3352"/>
    <col width="4.42578125" customWidth="1" style="22" min="3353" max="3353"/>
    <col width="8" customWidth="1" style="22" min="3354" max="3354"/>
    <col width="9" customWidth="1" style="22" min="3355" max="3355"/>
    <col width="3" customWidth="1" style="22" min="3356" max="3356"/>
    <col width="10" customWidth="1" style="22" min="3357" max="3357"/>
    <col width="8" customWidth="1" style="22" min="3358" max="3358"/>
    <col width="10.85546875" customWidth="1" style="22" min="3359" max="3359"/>
    <col width="9.5703125" customWidth="1" style="22" min="3360" max="3360"/>
    <col width="9.85546875" customWidth="1" style="22" min="3361" max="3361"/>
    <col width="10.140625" customWidth="1" style="22" min="3362" max="3362"/>
    <col width="10.5703125" customWidth="1" style="22" min="3363" max="3363"/>
    <col width="8" customWidth="1" style="22" min="3364" max="3364"/>
    <col width="0.85546875" customWidth="1" style="22" min="3365" max="3584"/>
    <col width="5.7109375" bestFit="1" customWidth="1" style="22" min="3585" max="3585"/>
    <col width="23.42578125" customWidth="1" style="22" min="3586" max="3586"/>
    <col width="6.140625" customWidth="1" style="22" min="3587" max="3588"/>
    <col width="6.28515625" customWidth="1" style="22" min="3589" max="3589"/>
    <col width="9.28515625" customWidth="1" style="22" min="3590" max="3590"/>
    <col width="7.28515625" customWidth="1" style="22" min="3591" max="3591"/>
    <col width="7.7109375" customWidth="1" style="22" min="3592" max="3592"/>
    <col width="8.28515625" customWidth="1" style="22" min="3593" max="3593"/>
    <col width="8.85546875" customWidth="1" style="22" min="3594" max="3594"/>
    <col width="7.85546875" customWidth="1" style="22" min="3595" max="3596"/>
    <col width="15.140625" customWidth="1" style="22" min="3597" max="3597"/>
    <col width="11.5703125" customWidth="1" style="22" min="3598" max="3598"/>
    <col width="7.5703125" customWidth="1" style="22" min="3599" max="3599"/>
    <col width="6.85546875" customWidth="1" style="22" min="3600" max="3600"/>
    <col width="9.140625" customWidth="1" style="22" min="3601" max="3601"/>
    <col width="9.42578125" customWidth="1" style="22" min="3602" max="3602"/>
    <col width="10" customWidth="1" style="22" min="3603" max="3604"/>
    <col width="7.7109375" customWidth="1" style="22" min="3605" max="3605"/>
    <col width="14.85546875" customWidth="1" style="22" min="3606" max="3606"/>
    <col width="10.42578125" customWidth="1" style="22" min="3607" max="3607"/>
    <col width="7.7109375" customWidth="1" style="22" min="3608" max="3608"/>
    <col width="4.42578125" customWidth="1" style="22" min="3609" max="3609"/>
    <col width="8" customWidth="1" style="22" min="3610" max="3610"/>
    <col width="9" customWidth="1" style="22" min="3611" max="3611"/>
    <col width="3" customWidth="1" style="22" min="3612" max="3612"/>
    <col width="10" customWidth="1" style="22" min="3613" max="3613"/>
    <col width="8" customWidth="1" style="22" min="3614" max="3614"/>
    <col width="10.85546875" customWidth="1" style="22" min="3615" max="3615"/>
    <col width="9.5703125" customWidth="1" style="22" min="3616" max="3616"/>
    <col width="9.85546875" customWidth="1" style="22" min="3617" max="3617"/>
    <col width="10.140625" customWidth="1" style="22" min="3618" max="3618"/>
    <col width="10.5703125" customWidth="1" style="22" min="3619" max="3619"/>
    <col width="8" customWidth="1" style="22" min="3620" max="3620"/>
    <col width="0.85546875" customWidth="1" style="22" min="3621" max="3840"/>
    <col width="5.7109375" bestFit="1" customWidth="1" style="22" min="3841" max="3841"/>
    <col width="23.42578125" customWidth="1" style="22" min="3842" max="3842"/>
    <col width="6.140625" customWidth="1" style="22" min="3843" max="3844"/>
    <col width="6.28515625" customWidth="1" style="22" min="3845" max="3845"/>
    <col width="9.28515625" customWidth="1" style="22" min="3846" max="3846"/>
    <col width="7.28515625" customWidth="1" style="22" min="3847" max="3847"/>
    <col width="7.7109375" customWidth="1" style="22" min="3848" max="3848"/>
    <col width="8.28515625" customWidth="1" style="22" min="3849" max="3849"/>
    <col width="8.85546875" customWidth="1" style="22" min="3850" max="3850"/>
    <col width="7.85546875" customWidth="1" style="22" min="3851" max="3852"/>
    <col width="15.140625" customWidth="1" style="22" min="3853" max="3853"/>
    <col width="11.5703125" customWidth="1" style="22" min="3854" max="3854"/>
    <col width="7.5703125" customWidth="1" style="22" min="3855" max="3855"/>
    <col width="6.85546875" customWidth="1" style="22" min="3856" max="3856"/>
    <col width="9.140625" customWidth="1" style="22" min="3857" max="3857"/>
    <col width="9.42578125" customWidth="1" style="22" min="3858" max="3858"/>
    <col width="10" customWidth="1" style="22" min="3859" max="3860"/>
    <col width="7.7109375" customWidth="1" style="22" min="3861" max="3861"/>
    <col width="14.85546875" customWidth="1" style="22" min="3862" max="3862"/>
    <col width="10.42578125" customWidth="1" style="22" min="3863" max="3863"/>
    <col width="7.7109375" customWidth="1" style="22" min="3864" max="3864"/>
    <col width="4.42578125" customWidth="1" style="22" min="3865" max="3865"/>
    <col width="8" customWidth="1" style="22" min="3866" max="3866"/>
    <col width="9" customWidth="1" style="22" min="3867" max="3867"/>
    <col width="3" customWidth="1" style="22" min="3868" max="3868"/>
    <col width="10" customWidth="1" style="22" min="3869" max="3869"/>
    <col width="8" customWidth="1" style="22" min="3870" max="3870"/>
    <col width="10.85546875" customWidth="1" style="22" min="3871" max="3871"/>
    <col width="9.5703125" customWidth="1" style="22" min="3872" max="3872"/>
    <col width="9.85546875" customWidth="1" style="22" min="3873" max="3873"/>
    <col width="10.140625" customWidth="1" style="22" min="3874" max="3874"/>
    <col width="10.5703125" customWidth="1" style="22" min="3875" max="3875"/>
    <col width="8" customWidth="1" style="22" min="3876" max="3876"/>
    <col width="0.85546875" customWidth="1" style="22" min="3877" max="4096"/>
    <col width="5.7109375" bestFit="1" customWidth="1" style="22" min="4097" max="4097"/>
    <col width="23.42578125" customWidth="1" style="22" min="4098" max="4098"/>
    <col width="6.140625" customWidth="1" style="22" min="4099" max="4100"/>
    <col width="6.28515625" customWidth="1" style="22" min="4101" max="4101"/>
    <col width="9.28515625" customWidth="1" style="22" min="4102" max="4102"/>
    <col width="7.28515625" customWidth="1" style="22" min="4103" max="4103"/>
    <col width="7.7109375" customWidth="1" style="22" min="4104" max="4104"/>
    <col width="8.28515625" customWidth="1" style="22" min="4105" max="4105"/>
    <col width="8.85546875" customWidth="1" style="22" min="4106" max="4106"/>
    <col width="7.85546875" customWidth="1" style="22" min="4107" max="4108"/>
    <col width="15.140625" customWidth="1" style="22" min="4109" max="4109"/>
    <col width="11.5703125" customWidth="1" style="22" min="4110" max="4110"/>
    <col width="7.5703125" customWidth="1" style="22" min="4111" max="4111"/>
    <col width="6.85546875" customWidth="1" style="22" min="4112" max="4112"/>
    <col width="9.140625" customWidth="1" style="22" min="4113" max="4113"/>
    <col width="9.42578125" customWidth="1" style="22" min="4114" max="4114"/>
    <col width="10" customWidth="1" style="22" min="4115" max="4116"/>
    <col width="7.7109375" customWidth="1" style="22" min="4117" max="4117"/>
    <col width="14.85546875" customWidth="1" style="22" min="4118" max="4118"/>
    <col width="10.42578125" customWidth="1" style="22" min="4119" max="4119"/>
    <col width="7.7109375" customWidth="1" style="22" min="4120" max="4120"/>
    <col width="4.42578125" customWidth="1" style="22" min="4121" max="4121"/>
    <col width="8" customWidth="1" style="22" min="4122" max="4122"/>
    <col width="9" customWidth="1" style="22" min="4123" max="4123"/>
    <col width="3" customWidth="1" style="22" min="4124" max="4124"/>
    <col width="10" customWidth="1" style="22" min="4125" max="4125"/>
    <col width="8" customWidth="1" style="22" min="4126" max="4126"/>
    <col width="10.85546875" customWidth="1" style="22" min="4127" max="4127"/>
    <col width="9.5703125" customWidth="1" style="22" min="4128" max="4128"/>
    <col width="9.85546875" customWidth="1" style="22" min="4129" max="4129"/>
    <col width="10.140625" customWidth="1" style="22" min="4130" max="4130"/>
    <col width="10.5703125" customWidth="1" style="22" min="4131" max="4131"/>
    <col width="8" customWidth="1" style="22" min="4132" max="4132"/>
    <col width="0.85546875" customWidth="1" style="22" min="4133" max="4352"/>
    <col width="5.7109375" bestFit="1" customWidth="1" style="22" min="4353" max="4353"/>
    <col width="23.42578125" customWidth="1" style="22" min="4354" max="4354"/>
    <col width="6.140625" customWidth="1" style="22" min="4355" max="4356"/>
    <col width="6.28515625" customWidth="1" style="22" min="4357" max="4357"/>
    <col width="9.28515625" customWidth="1" style="22" min="4358" max="4358"/>
    <col width="7.28515625" customWidth="1" style="22" min="4359" max="4359"/>
    <col width="7.7109375" customWidth="1" style="22" min="4360" max="4360"/>
    <col width="8.28515625" customWidth="1" style="22" min="4361" max="4361"/>
    <col width="8.85546875" customWidth="1" style="22" min="4362" max="4362"/>
    <col width="7.85546875" customWidth="1" style="22" min="4363" max="4364"/>
    <col width="15.140625" customWidth="1" style="22" min="4365" max="4365"/>
    <col width="11.5703125" customWidth="1" style="22" min="4366" max="4366"/>
    <col width="7.5703125" customWidth="1" style="22" min="4367" max="4367"/>
    <col width="6.85546875" customWidth="1" style="22" min="4368" max="4368"/>
    <col width="9.140625" customWidth="1" style="22" min="4369" max="4369"/>
    <col width="9.42578125" customWidth="1" style="22" min="4370" max="4370"/>
    <col width="10" customWidth="1" style="22" min="4371" max="4372"/>
    <col width="7.7109375" customWidth="1" style="22" min="4373" max="4373"/>
    <col width="14.85546875" customWidth="1" style="22" min="4374" max="4374"/>
    <col width="10.42578125" customWidth="1" style="22" min="4375" max="4375"/>
    <col width="7.7109375" customWidth="1" style="22" min="4376" max="4376"/>
    <col width="4.42578125" customWidth="1" style="22" min="4377" max="4377"/>
    <col width="8" customWidth="1" style="22" min="4378" max="4378"/>
    <col width="9" customWidth="1" style="22" min="4379" max="4379"/>
    <col width="3" customWidth="1" style="22" min="4380" max="4380"/>
    <col width="10" customWidth="1" style="22" min="4381" max="4381"/>
    <col width="8" customWidth="1" style="22" min="4382" max="4382"/>
    <col width="10.85546875" customWidth="1" style="22" min="4383" max="4383"/>
    <col width="9.5703125" customWidth="1" style="22" min="4384" max="4384"/>
    <col width="9.85546875" customWidth="1" style="22" min="4385" max="4385"/>
    <col width="10.140625" customWidth="1" style="22" min="4386" max="4386"/>
    <col width="10.5703125" customWidth="1" style="22" min="4387" max="4387"/>
    <col width="8" customWidth="1" style="22" min="4388" max="4388"/>
    <col width="0.85546875" customWidth="1" style="22" min="4389" max="4608"/>
    <col width="5.7109375" bestFit="1" customWidth="1" style="22" min="4609" max="4609"/>
    <col width="23.42578125" customWidth="1" style="22" min="4610" max="4610"/>
    <col width="6.140625" customWidth="1" style="22" min="4611" max="4612"/>
    <col width="6.28515625" customWidth="1" style="22" min="4613" max="4613"/>
    <col width="9.28515625" customWidth="1" style="22" min="4614" max="4614"/>
    <col width="7.28515625" customWidth="1" style="22" min="4615" max="4615"/>
    <col width="7.7109375" customWidth="1" style="22" min="4616" max="4616"/>
    <col width="8.28515625" customWidth="1" style="22" min="4617" max="4617"/>
    <col width="8.85546875" customWidth="1" style="22" min="4618" max="4618"/>
    <col width="7.85546875" customWidth="1" style="22" min="4619" max="4620"/>
    <col width="15.140625" customWidth="1" style="22" min="4621" max="4621"/>
    <col width="11.5703125" customWidth="1" style="22" min="4622" max="4622"/>
    <col width="7.5703125" customWidth="1" style="22" min="4623" max="4623"/>
    <col width="6.85546875" customWidth="1" style="22" min="4624" max="4624"/>
    <col width="9.140625" customWidth="1" style="22" min="4625" max="4625"/>
    <col width="9.42578125" customWidth="1" style="22" min="4626" max="4626"/>
    <col width="10" customWidth="1" style="22" min="4627" max="4628"/>
    <col width="7.7109375" customWidth="1" style="22" min="4629" max="4629"/>
    <col width="14.85546875" customWidth="1" style="22" min="4630" max="4630"/>
    <col width="10.42578125" customWidth="1" style="22" min="4631" max="4631"/>
    <col width="7.7109375" customWidth="1" style="22" min="4632" max="4632"/>
    <col width="4.42578125" customWidth="1" style="22" min="4633" max="4633"/>
    <col width="8" customWidth="1" style="22" min="4634" max="4634"/>
    <col width="9" customWidth="1" style="22" min="4635" max="4635"/>
    <col width="3" customWidth="1" style="22" min="4636" max="4636"/>
    <col width="10" customWidth="1" style="22" min="4637" max="4637"/>
    <col width="8" customWidth="1" style="22" min="4638" max="4638"/>
    <col width="10.85546875" customWidth="1" style="22" min="4639" max="4639"/>
    <col width="9.5703125" customWidth="1" style="22" min="4640" max="4640"/>
    <col width="9.85546875" customWidth="1" style="22" min="4641" max="4641"/>
    <col width="10.140625" customWidth="1" style="22" min="4642" max="4642"/>
    <col width="10.5703125" customWidth="1" style="22" min="4643" max="4643"/>
    <col width="8" customWidth="1" style="22" min="4644" max="4644"/>
    <col width="0.85546875" customWidth="1" style="22" min="4645" max="4864"/>
    <col width="5.7109375" bestFit="1" customWidth="1" style="22" min="4865" max="4865"/>
    <col width="23.42578125" customWidth="1" style="22" min="4866" max="4866"/>
    <col width="6.140625" customWidth="1" style="22" min="4867" max="4868"/>
    <col width="6.28515625" customWidth="1" style="22" min="4869" max="4869"/>
    <col width="9.28515625" customWidth="1" style="22" min="4870" max="4870"/>
    <col width="7.28515625" customWidth="1" style="22" min="4871" max="4871"/>
    <col width="7.7109375" customWidth="1" style="22" min="4872" max="4872"/>
    <col width="8.28515625" customWidth="1" style="22" min="4873" max="4873"/>
    <col width="8.85546875" customWidth="1" style="22" min="4874" max="4874"/>
    <col width="7.85546875" customWidth="1" style="22" min="4875" max="4876"/>
    <col width="15.140625" customWidth="1" style="22" min="4877" max="4877"/>
    <col width="11.5703125" customWidth="1" style="22" min="4878" max="4878"/>
    <col width="7.5703125" customWidth="1" style="22" min="4879" max="4879"/>
    <col width="6.85546875" customWidth="1" style="22" min="4880" max="4880"/>
    <col width="9.140625" customWidth="1" style="22" min="4881" max="4881"/>
    <col width="9.42578125" customWidth="1" style="22" min="4882" max="4882"/>
    <col width="10" customWidth="1" style="22" min="4883" max="4884"/>
    <col width="7.7109375" customWidth="1" style="22" min="4885" max="4885"/>
    <col width="14.85546875" customWidth="1" style="22" min="4886" max="4886"/>
    <col width="10.42578125" customWidth="1" style="22" min="4887" max="4887"/>
    <col width="7.7109375" customWidth="1" style="22" min="4888" max="4888"/>
    <col width="4.42578125" customWidth="1" style="22" min="4889" max="4889"/>
    <col width="8" customWidth="1" style="22" min="4890" max="4890"/>
    <col width="9" customWidth="1" style="22" min="4891" max="4891"/>
    <col width="3" customWidth="1" style="22" min="4892" max="4892"/>
    <col width="10" customWidth="1" style="22" min="4893" max="4893"/>
    <col width="8" customWidth="1" style="22" min="4894" max="4894"/>
    <col width="10.85546875" customWidth="1" style="22" min="4895" max="4895"/>
    <col width="9.5703125" customWidth="1" style="22" min="4896" max="4896"/>
    <col width="9.85546875" customWidth="1" style="22" min="4897" max="4897"/>
    <col width="10.140625" customWidth="1" style="22" min="4898" max="4898"/>
    <col width="10.5703125" customWidth="1" style="22" min="4899" max="4899"/>
    <col width="8" customWidth="1" style="22" min="4900" max="4900"/>
    <col width="0.85546875" customWidth="1" style="22" min="4901" max="5120"/>
    <col width="5.7109375" bestFit="1" customWidth="1" style="22" min="5121" max="5121"/>
    <col width="23.42578125" customWidth="1" style="22" min="5122" max="5122"/>
    <col width="6.140625" customWidth="1" style="22" min="5123" max="5124"/>
    <col width="6.28515625" customWidth="1" style="22" min="5125" max="5125"/>
    <col width="9.28515625" customWidth="1" style="22" min="5126" max="5126"/>
    <col width="7.28515625" customWidth="1" style="22" min="5127" max="5127"/>
    <col width="7.7109375" customWidth="1" style="22" min="5128" max="5128"/>
    <col width="8.28515625" customWidth="1" style="22" min="5129" max="5129"/>
    <col width="8.85546875" customWidth="1" style="22" min="5130" max="5130"/>
    <col width="7.85546875" customWidth="1" style="22" min="5131" max="5132"/>
    <col width="15.140625" customWidth="1" style="22" min="5133" max="5133"/>
    <col width="11.5703125" customWidth="1" style="22" min="5134" max="5134"/>
    <col width="7.5703125" customWidth="1" style="22" min="5135" max="5135"/>
    <col width="6.85546875" customWidth="1" style="22" min="5136" max="5136"/>
    <col width="9.140625" customWidth="1" style="22" min="5137" max="5137"/>
    <col width="9.42578125" customWidth="1" style="22" min="5138" max="5138"/>
    <col width="10" customWidth="1" style="22" min="5139" max="5140"/>
    <col width="7.7109375" customWidth="1" style="22" min="5141" max="5141"/>
    <col width="14.85546875" customWidth="1" style="22" min="5142" max="5142"/>
    <col width="10.42578125" customWidth="1" style="22" min="5143" max="5143"/>
    <col width="7.7109375" customWidth="1" style="22" min="5144" max="5144"/>
    <col width="4.42578125" customWidth="1" style="22" min="5145" max="5145"/>
    <col width="8" customWidth="1" style="22" min="5146" max="5146"/>
    <col width="9" customWidth="1" style="22" min="5147" max="5147"/>
    <col width="3" customWidth="1" style="22" min="5148" max="5148"/>
    <col width="10" customWidth="1" style="22" min="5149" max="5149"/>
    <col width="8" customWidth="1" style="22" min="5150" max="5150"/>
    <col width="10.85546875" customWidth="1" style="22" min="5151" max="5151"/>
    <col width="9.5703125" customWidth="1" style="22" min="5152" max="5152"/>
    <col width="9.85546875" customWidth="1" style="22" min="5153" max="5153"/>
    <col width="10.140625" customWidth="1" style="22" min="5154" max="5154"/>
    <col width="10.5703125" customWidth="1" style="22" min="5155" max="5155"/>
    <col width="8" customWidth="1" style="22" min="5156" max="5156"/>
    <col width="0.85546875" customWidth="1" style="22" min="5157" max="5376"/>
    <col width="5.7109375" bestFit="1" customWidth="1" style="22" min="5377" max="5377"/>
    <col width="23.42578125" customWidth="1" style="22" min="5378" max="5378"/>
    <col width="6.140625" customWidth="1" style="22" min="5379" max="5380"/>
    <col width="6.28515625" customWidth="1" style="22" min="5381" max="5381"/>
    <col width="9.28515625" customWidth="1" style="22" min="5382" max="5382"/>
    <col width="7.28515625" customWidth="1" style="22" min="5383" max="5383"/>
    <col width="7.7109375" customWidth="1" style="22" min="5384" max="5384"/>
    <col width="8.28515625" customWidth="1" style="22" min="5385" max="5385"/>
    <col width="8.85546875" customWidth="1" style="22" min="5386" max="5386"/>
    <col width="7.85546875" customWidth="1" style="22" min="5387" max="5388"/>
    <col width="15.140625" customWidth="1" style="22" min="5389" max="5389"/>
    <col width="11.5703125" customWidth="1" style="22" min="5390" max="5390"/>
    <col width="7.5703125" customWidth="1" style="22" min="5391" max="5391"/>
    <col width="6.85546875" customWidth="1" style="22" min="5392" max="5392"/>
    <col width="9.140625" customWidth="1" style="22" min="5393" max="5393"/>
    <col width="9.42578125" customWidth="1" style="22" min="5394" max="5394"/>
    <col width="10" customWidth="1" style="22" min="5395" max="5396"/>
    <col width="7.7109375" customWidth="1" style="22" min="5397" max="5397"/>
    <col width="14.85546875" customWidth="1" style="22" min="5398" max="5398"/>
    <col width="10.42578125" customWidth="1" style="22" min="5399" max="5399"/>
    <col width="7.7109375" customWidth="1" style="22" min="5400" max="5400"/>
    <col width="4.42578125" customWidth="1" style="22" min="5401" max="5401"/>
    <col width="8" customWidth="1" style="22" min="5402" max="5402"/>
    <col width="9" customWidth="1" style="22" min="5403" max="5403"/>
    <col width="3" customWidth="1" style="22" min="5404" max="5404"/>
    <col width="10" customWidth="1" style="22" min="5405" max="5405"/>
    <col width="8" customWidth="1" style="22" min="5406" max="5406"/>
    <col width="10.85546875" customWidth="1" style="22" min="5407" max="5407"/>
    <col width="9.5703125" customWidth="1" style="22" min="5408" max="5408"/>
    <col width="9.85546875" customWidth="1" style="22" min="5409" max="5409"/>
    <col width="10.140625" customWidth="1" style="22" min="5410" max="5410"/>
    <col width="10.5703125" customWidth="1" style="22" min="5411" max="5411"/>
    <col width="8" customWidth="1" style="22" min="5412" max="5412"/>
    <col width="0.85546875" customWidth="1" style="22" min="5413" max="5632"/>
    <col width="5.7109375" bestFit="1" customWidth="1" style="22" min="5633" max="5633"/>
    <col width="23.42578125" customWidth="1" style="22" min="5634" max="5634"/>
    <col width="6.140625" customWidth="1" style="22" min="5635" max="5636"/>
    <col width="6.28515625" customWidth="1" style="22" min="5637" max="5637"/>
    <col width="9.28515625" customWidth="1" style="22" min="5638" max="5638"/>
    <col width="7.28515625" customWidth="1" style="22" min="5639" max="5639"/>
    <col width="7.7109375" customWidth="1" style="22" min="5640" max="5640"/>
    <col width="8.28515625" customWidth="1" style="22" min="5641" max="5641"/>
    <col width="8.85546875" customWidth="1" style="22" min="5642" max="5642"/>
    <col width="7.85546875" customWidth="1" style="22" min="5643" max="5644"/>
    <col width="15.140625" customWidth="1" style="22" min="5645" max="5645"/>
    <col width="11.5703125" customWidth="1" style="22" min="5646" max="5646"/>
    <col width="7.5703125" customWidth="1" style="22" min="5647" max="5647"/>
    <col width="6.85546875" customWidth="1" style="22" min="5648" max="5648"/>
    <col width="9.140625" customWidth="1" style="22" min="5649" max="5649"/>
    <col width="9.42578125" customWidth="1" style="22" min="5650" max="5650"/>
    <col width="10" customWidth="1" style="22" min="5651" max="5652"/>
    <col width="7.7109375" customWidth="1" style="22" min="5653" max="5653"/>
    <col width="14.85546875" customWidth="1" style="22" min="5654" max="5654"/>
    <col width="10.42578125" customWidth="1" style="22" min="5655" max="5655"/>
    <col width="7.7109375" customWidth="1" style="22" min="5656" max="5656"/>
    <col width="4.42578125" customWidth="1" style="22" min="5657" max="5657"/>
    <col width="8" customWidth="1" style="22" min="5658" max="5658"/>
    <col width="9" customWidth="1" style="22" min="5659" max="5659"/>
    <col width="3" customWidth="1" style="22" min="5660" max="5660"/>
    <col width="10" customWidth="1" style="22" min="5661" max="5661"/>
    <col width="8" customWidth="1" style="22" min="5662" max="5662"/>
    <col width="10.85546875" customWidth="1" style="22" min="5663" max="5663"/>
    <col width="9.5703125" customWidth="1" style="22" min="5664" max="5664"/>
    <col width="9.85546875" customWidth="1" style="22" min="5665" max="5665"/>
    <col width="10.140625" customWidth="1" style="22" min="5666" max="5666"/>
    <col width="10.5703125" customWidth="1" style="22" min="5667" max="5667"/>
    <col width="8" customWidth="1" style="22" min="5668" max="5668"/>
    <col width="0.85546875" customWidth="1" style="22" min="5669" max="5888"/>
    <col width="5.7109375" bestFit="1" customWidth="1" style="22" min="5889" max="5889"/>
    <col width="23.42578125" customWidth="1" style="22" min="5890" max="5890"/>
    <col width="6.140625" customWidth="1" style="22" min="5891" max="5892"/>
    <col width="6.28515625" customWidth="1" style="22" min="5893" max="5893"/>
    <col width="9.28515625" customWidth="1" style="22" min="5894" max="5894"/>
    <col width="7.28515625" customWidth="1" style="22" min="5895" max="5895"/>
    <col width="7.7109375" customWidth="1" style="22" min="5896" max="5896"/>
    <col width="8.28515625" customWidth="1" style="22" min="5897" max="5897"/>
    <col width="8.85546875" customWidth="1" style="22" min="5898" max="5898"/>
    <col width="7.85546875" customWidth="1" style="22" min="5899" max="5900"/>
    <col width="15.140625" customWidth="1" style="22" min="5901" max="5901"/>
    <col width="11.5703125" customWidth="1" style="22" min="5902" max="5902"/>
    <col width="7.5703125" customWidth="1" style="22" min="5903" max="5903"/>
    <col width="6.85546875" customWidth="1" style="22" min="5904" max="5904"/>
    <col width="9.140625" customWidth="1" style="22" min="5905" max="5905"/>
    <col width="9.42578125" customWidth="1" style="22" min="5906" max="5906"/>
    <col width="10" customWidth="1" style="22" min="5907" max="5908"/>
    <col width="7.7109375" customWidth="1" style="22" min="5909" max="5909"/>
    <col width="14.85546875" customWidth="1" style="22" min="5910" max="5910"/>
    <col width="10.42578125" customWidth="1" style="22" min="5911" max="5911"/>
    <col width="7.7109375" customWidth="1" style="22" min="5912" max="5912"/>
    <col width="4.42578125" customWidth="1" style="22" min="5913" max="5913"/>
    <col width="8" customWidth="1" style="22" min="5914" max="5914"/>
    <col width="9" customWidth="1" style="22" min="5915" max="5915"/>
    <col width="3" customWidth="1" style="22" min="5916" max="5916"/>
    <col width="10" customWidth="1" style="22" min="5917" max="5917"/>
    <col width="8" customWidth="1" style="22" min="5918" max="5918"/>
    <col width="10.85546875" customWidth="1" style="22" min="5919" max="5919"/>
    <col width="9.5703125" customWidth="1" style="22" min="5920" max="5920"/>
    <col width="9.85546875" customWidth="1" style="22" min="5921" max="5921"/>
    <col width="10.140625" customWidth="1" style="22" min="5922" max="5922"/>
    <col width="10.5703125" customWidth="1" style="22" min="5923" max="5923"/>
    <col width="8" customWidth="1" style="22" min="5924" max="5924"/>
    <col width="0.85546875" customWidth="1" style="22" min="5925" max="6144"/>
    <col width="5.7109375" bestFit="1" customWidth="1" style="22" min="6145" max="6145"/>
    <col width="23.42578125" customWidth="1" style="22" min="6146" max="6146"/>
    <col width="6.140625" customWidth="1" style="22" min="6147" max="6148"/>
    <col width="6.28515625" customWidth="1" style="22" min="6149" max="6149"/>
    <col width="9.28515625" customWidth="1" style="22" min="6150" max="6150"/>
    <col width="7.28515625" customWidth="1" style="22" min="6151" max="6151"/>
    <col width="7.7109375" customWidth="1" style="22" min="6152" max="6152"/>
    <col width="8.28515625" customWidth="1" style="22" min="6153" max="6153"/>
    <col width="8.85546875" customWidth="1" style="22" min="6154" max="6154"/>
    <col width="7.85546875" customWidth="1" style="22" min="6155" max="6156"/>
    <col width="15.140625" customWidth="1" style="22" min="6157" max="6157"/>
    <col width="11.5703125" customWidth="1" style="22" min="6158" max="6158"/>
    <col width="7.5703125" customWidth="1" style="22" min="6159" max="6159"/>
    <col width="6.85546875" customWidth="1" style="22" min="6160" max="6160"/>
    <col width="9.140625" customWidth="1" style="22" min="6161" max="6161"/>
    <col width="9.42578125" customWidth="1" style="22" min="6162" max="6162"/>
    <col width="10" customWidth="1" style="22" min="6163" max="6164"/>
    <col width="7.7109375" customWidth="1" style="22" min="6165" max="6165"/>
    <col width="14.85546875" customWidth="1" style="22" min="6166" max="6166"/>
    <col width="10.42578125" customWidth="1" style="22" min="6167" max="6167"/>
    <col width="7.7109375" customWidth="1" style="22" min="6168" max="6168"/>
    <col width="4.42578125" customWidth="1" style="22" min="6169" max="6169"/>
    <col width="8" customWidth="1" style="22" min="6170" max="6170"/>
    <col width="9" customWidth="1" style="22" min="6171" max="6171"/>
    <col width="3" customWidth="1" style="22" min="6172" max="6172"/>
    <col width="10" customWidth="1" style="22" min="6173" max="6173"/>
    <col width="8" customWidth="1" style="22" min="6174" max="6174"/>
    <col width="10.85546875" customWidth="1" style="22" min="6175" max="6175"/>
    <col width="9.5703125" customWidth="1" style="22" min="6176" max="6176"/>
    <col width="9.85546875" customWidth="1" style="22" min="6177" max="6177"/>
    <col width="10.140625" customWidth="1" style="22" min="6178" max="6178"/>
    <col width="10.5703125" customWidth="1" style="22" min="6179" max="6179"/>
    <col width="8" customWidth="1" style="22" min="6180" max="6180"/>
    <col width="0.85546875" customWidth="1" style="22" min="6181" max="6400"/>
    <col width="5.7109375" bestFit="1" customWidth="1" style="22" min="6401" max="6401"/>
    <col width="23.42578125" customWidth="1" style="22" min="6402" max="6402"/>
    <col width="6.140625" customWidth="1" style="22" min="6403" max="6404"/>
    <col width="6.28515625" customWidth="1" style="22" min="6405" max="6405"/>
    <col width="9.28515625" customWidth="1" style="22" min="6406" max="6406"/>
    <col width="7.28515625" customWidth="1" style="22" min="6407" max="6407"/>
    <col width="7.7109375" customWidth="1" style="22" min="6408" max="6408"/>
    <col width="8.28515625" customWidth="1" style="22" min="6409" max="6409"/>
    <col width="8.85546875" customWidth="1" style="22" min="6410" max="6410"/>
    <col width="7.85546875" customWidth="1" style="22" min="6411" max="6412"/>
    <col width="15.140625" customWidth="1" style="22" min="6413" max="6413"/>
    <col width="11.5703125" customWidth="1" style="22" min="6414" max="6414"/>
    <col width="7.5703125" customWidth="1" style="22" min="6415" max="6415"/>
    <col width="6.85546875" customWidth="1" style="22" min="6416" max="6416"/>
    <col width="9.140625" customWidth="1" style="22" min="6417" max="6417"/>
    <col width="9.42578125" customWidth="1" style="22" min="6418" max="6418"/>
    <col width="10" customWidth="1" style="22" min="6419" max="6420"/>
    <col width="7.7109375" customWidth="1" style="22" min="6421" max="6421"/>
    <col width="14.85546875" customWidth="1" style="22" min="6422" max="6422"/>
    <col width="10.42578125" customWidth="1" style="22" min="6423" max="6423"/>
    <col width="7.7109375" customWidth="1" style="22" min="6424" max="6424"/>
    <col width="4.42578125" customWidth="1" style="22" min="6425" max="6425"/>
    <col width="8" customWidth="1" style="22" min="6426" max="6426"/>
    <col width="9" customWidth="1" style="22" min="6427" max="6427"/>
    <col width="3" customWidth="1" style="22" min="6428" max="6428"/>
    <col width="10" customWidth="1" style="22" min="6429" max="6429"/>
    <col width="8" customWidth="1" style="22" min="6430" max="6430"/>
    <col width="10.85546875" customWidth="1" style="22" min="6431" max="6431"/>
    <col width="9.5703125" customWidth="1" style="22" min="6432" max="6432"/>
    <col width="9.85546875" customWidth="1" style="22" min="6433" max="6433"/>
    <col width="10.140625" customWidth="1" style="22" min="6434" max="6434"/>
    <col width="10.5703125" customWidth="1" style="22" min="6435" max="6435"/>
    <col width="8" customWidth="1" style="22" min="6436" max="6436"/>
    <col width="0.85546875" customWidth="1" style="22" min="6437" max="6656"/>
    <col width="5.7109375" bestFit="1" customWidth="1" style="22" min="6657" max="6657"/>
    <col width="23.42578125" customWidth="1" style="22" min="6658" max="6658"/>
    <col width="6.140625" customWidth="1" style="22" min="6659" max="6660"/>
    <col width="6.28515625" customWidth="1" style="22" min="6661" max="6661"/>
    <col width="9.28515625" customWidth="1" style="22" min="6662" max="6662"/>
    <col width="7.28515625" customWidth="1" style="22" min="6663" max="6663"/>
    <col width="7.7109375" customWidth="1" style="22" min="6664" max="6664"/>
    <col width="8.28515625" customWidth="1" style="22" min="6665" max="6665"/>
    <col width="8.85546875" customWidth="1" style="22" min="6666" max="6666"/>
    <col width="7.85546875" customWidth="1" style="22" min="6667" max="6668"/>
    <col width="15.140625" customWidth="1" style="22" min="6669" max="6669"/>
    <col width="11.5703125" customWidth="1" style="22" min="6670" max="6670"/>
    <col width="7.5703125" customWidth="1" style="22" min="6671" max="6671"/>
    <col width="6.85546875" customWidth="1" style="22" min="6672" max="6672"/>
    <col width="9.140625" customWidth="1" style="22" min="6673" max="6673"/>
    <col width="9.42578125" customWidth="1" style="22" min="6674" max="6674"/>
    <col width="10" customWidth="1" style="22" min="6675" max="6676"/>
    <col width="7.7109375" customWidth="1" style="22" min="6677" max="6677"/>
    <col width="14.85546875" customWidth="1" style="22" min="6678" max="6678"/>
    <col width="10.42578125" customWidth="1" style="22" min="6679" max="6679"/>
    <col width="7.7109375" customWidth="1" style="22" min="6680" max="6680"/>
    <col width="4.42578125" customWidth="1" style="22" min="6681" max="6681"/>
    <col width="8" customWidth="1" style="22" min="6682" max="6682"/>
    <col width="9" customWidth="1" style="22" min="6683" max="6683"/>
    <col width="3" customWidth="1" style="22" min="6684" max="6684"/>
    <col width="10" customWidth="1" style="22" min="6685" max="6685"/>
    <col width="8" customWidth="1" style="22" min="6686" max="6686"/>
    <col width="10.85546875" customWidth="1" style="22" min="6687" max="6687"/>
    <col width="9.5703125" customWidth="1" style="22" min="6688" max="6688"/>
    <col width="9.85546875" customWidth="1" style="22" min="6689" max="6689"/>
    <col width="10.140625" customWidth="1" style="22" min="6690" max="6690"/>
    <col width="10.5703125" customWidth="1" style="22" min="6691" max="6691"/>
    <col width="8" customWidth="1" style="22" min="6692" max="6692"/>
    <col width="0.85546875" customWidth="1" style="22" min="6693" max="6912"/>
    <col width="5.7109375" bestFit="1" customWidth="1" style="22" min="6913" max="6913"/>
    <col width="23.42578125" customWidth="1" style="22" min="6914" max="6914"/>
    <col width="6.140625" customWidth="1" style="22" min="6915" max="6916"/>
    <col width="6.28515625" customWidth="1" style="22" min="6917" max="6917"/>
    <col width="9.28515625" customWidth="1" style="22" min="6918" max="6918"/>
    <col width="7.28515625" customWidth="1" style="22" min="6919" max="6919"/>
    <col width="7.7109375" customWidth="1" style="22" min="6920" max="6920"/>
    <col width="8.28515625" customWidth="1" style="22" min="6921" max="6921"/>
    <col width="8.85546875" customWidth="1" style="22" min="6922" max="6922"/>
    <col width="7.85546875" customWidth="1" style="22" min="6923" max="6924"/>
    <col width="15.140625" customWidth="1" style="22" min="6925" max="6925"/>
    <col width="11.5703125" customWidth="1" style="22" min="6926" max="6926"/>
    <col width="7.5703125" customWidth="1" style="22" min="6927" max="6927"/>
    <col width="6.85546875" customWidth="1" style="22" min="6928" max="6928"/>
    <col width="9.140625" customWidth="1" style="22" min="6929" max="6929"/>
    <col width="9.42578125" customWidth="1" style="22" min="6930" max="6930"/>
    <col width="10" customWidth="1" style="22" min="6931" max="6932"/>
    <col width="7.7109375" customWidth="1" style="22" min="6933" max="6933"/>
    <col width="14.85546875" customWidth="1" style="22" min="6934" max="6934"/>
    <col width="10.42578125" customWidth="1" style="22" min="6935" max="6935"/>
    <col width="7.7109375" customWidth="1" style="22" min="6936" max="6936"/>
    <col width="4.42578125" customWidth="1" style="22" min="6937" max="6937"/>
    <col width="8" customWidth="1" style="22" min="6938" max="6938"/>
    <col width="9" customWidth="1" style="22" min="6939" max="6939"/>
    <col width="3" customWidth="1" style="22" min="6940" max="6940"/>
    <col width="10" customWidth="1" style="22" min="6941" max="6941"/>
    <col width="8" customWidth="1" style="22" min="6942" max="6942"/>
    <col width="10.85546875" customWidth="1" style="22" min="6943" max="6943"/>
    <col width="9.5703125" customWidth="1" style="22" min="6944" max="6944"/>
    <col width="9.85546875" customWidth="1" style="22" min="6945" max="6945"/>
    <col width="10.140625" customWidth="1" style="22" min="6946" max="6946"/>
    <col width="10.5703125" customWidth="1" style="22" min="6947" max="6947"/>
    <col width="8" customWidth="1" style="22" min="6948" max="6948"/>
    <col width="0.85546875" customWidth="1" style="22" min="6949" max="7168"/>
    <col width="5.7109375" bestFit="1" customWidth="1" style="22" min="7169" max="7169"/>
    <col width="23.42578125" customWidth="1" style="22" min="7170" max="7170"/>
    <col width="6.140625" customWidth="1" style="22" min="7171" max="7172"/>
    <col width="6.28515625" customWidth="1" style="22" min="7173" max="7173"/>
    <col width="9.28515625" customWidth="1" style="22" min="7174" max="7174"/>
    <col width="7.28515625" customWidth="1" style="22" min="7175" max="7175"/>
    <col width="7.7109375" customWidth="1" style="22" min="7176" max="7176"/>
    <col width="8.28515625" customWidth="1" style="22" min="7177" max="7177"/>
    <col width="8.85546875" customWidth="1" style="22" min="7178" max="7178"/>
    <col width="7.85546875" customWidth="1" style="22" min="7179" max="7180"/>
    <col width="15.140625" customWidth="1" style="22" min="7181" max="7181"/>
    <col width="11.5703125" customWidth="1" style="22" min="7182" max="7182"/>
    <col width="7.5703125" customWidth="1" style="22" min="7183" max="7183"/>
    <col width="6.85546875" customWidth="1" style="22" min="7184" max="7184"/>
    <col width="9.140625" customWidth="1" style="22" min="7185" max="7185"/>
    <col width="9.42578125" customWidth="1" style="22" min="7186" max="7186"/>
    <col width="10" customWidth="1" style="22" min="7187" max="7188"/>
    <col width="7.7109375" customWidth="1" style="22" min="7189" max="7189"/>
    <col width="14.85546875" customWidth="1" style="22" min="7190" max="7190"/>
    <col width="10.42578125" customWidth="1" style="22" min="7191" max="7191"/>
    <col width="7.7109375" customWidth="1" style="22" min="7192" max="7192"/>
    <col width="4.42578125" customWidth="1" style="22" min="7193" max="7193"/>
    <col width="8" customWidth="1" style="22" min="7194" max="7194"/>
    <col width="9" customWidth="1" style="22" min="7195" max="7195"/>
    <col width="3" customWidth="1" style="22" min="7196" max="7196"/>
    <col width="10" customWidth="1" style="22" min="7197" max="7197"/>
    <col width="8" customWidth="1" style="22" min="7198" max="7198"/>
    <col width="10.85546875" customWidth="1" style="22" min="7199" max="7199"/>
    <col width="9.5703125" customWidth="1" style="22" min="7200" max="7200"/>
    <col width="9.85546875" customWidth="1" style="22" min="7201" max="7201"/>
    <col width="10.140625" customWidth="1" style="22" min="7202" max="7202"/>
    <col width="10.5703125" customWidth="1" style="22" min="7203" max="7203"/>
    <col width="8" customWidth="1" style="22" min="7204" max="7204"/>
    <col width="0.85546875" customWidth="1" style="22" min="7205" max="7424"/>
    <col width="5.7109375" bestFit="1" customWidth="1" style="22" min="7425" max="7425"/>
    <col width="23.42578125" customWidth="1" style="22" min="7426" max="7426"/>
    <col width="6.140625" customWidth="1" style="22" min="7427" max="7428"/>
    <col width="6.28515625" customWidth="1" style="22" min="7429" max="7429"/>
    <col width="9.28515625" customWidth="1" style="22" min="7430" max="7430"/>
    <col width="7.28515625" customWidth="1" style="22" min="7431" max="7431"/>
    <col width="7.7109375" customWidth="1" style="22" min="7432" max="7432"/>
    <col width="8.28515625" customWidth="1" style="22" min="7433" max="7433"/>
    <col width="8.85546875" customWidth="1" style="22" min="7434" max="7434"/>
    <col width="7.85546875" customWidth="1" style="22" min="7435" max="7436"/>
    <col width="15.140625" customWidth="1" style="22" min="7437" max="7437"/>
    <col width="11.5703125" customWidth="1" style="22" min="7438" max="7438"/>
    <col width="7.5703125" customWidth="1" style="22" min="7439" max="7439"/>
    <col width="6.85546875" customWidth="1" style="22" min="7440" max="7440"/>
    <col width="9.140625" customWidth="1" style="22" min="7441" max="7441"/>
    <col width="9.42578125" customWidth="1" style="22" min="7442" max="7442"/>
    <col width="10" customWidth="1" style="22" min="7443" max="7444"/>
    <col width="7.7109375" customWidth="1" style="22" min="7445" max="7445"/>
    <col width="14.85546875" customWidth="1" style="22" min="7446" max="7446"/>
    <col width="10.42578125" customWidth="1" style="22" min="7447" max="7447"/>
    <col width="7.7109375" customWidth="1" style="22" min="7448" max="7448"/>
    <col width="4.42578125" customWidth="1" style="22" min="7449" max="7449"/>
    <col width="8" customWidth="1" style="22" min="7450" max="7450"/>
    <col width="9" customWidth="1" style="22" min="7451" max="7451"/>
    <col width="3" customWidth="1" style="22" min="7452" max="7452"/>
    <col width="10" customWidth="1" style="22" min="7453" max="7453"/>
    <col width="8" customWidth="1" style="22" min="7454" max="7454"/>
    <col width="10.85546875" customWidth="1" style="22" min="7455" max="7455"/>
    <col width="9.5703125" customWidth="1" style="22" min="7456" max="7456"/>
    <col width="9.85546875" customWidth="1" style="22" min="7457" max="7457"/>
    <col width="10.140625" customWidth="1" style="22" min="7458" max="7458"/>
    <col width="10.5703125" customWidth="1" style="22" min="7459" max="7459"/>
    <col width="8" customWidth="1" style="22" min="7460" max="7460"/>
    <col width="0.85546875" customWidth="1" style="22" min="7461" max="7680"/>
    <col width="5.7109375" bestFit="1" customWidth="1" style="22" min="7681" max="7681"/>
    <col width="23.42578125" customWidth="1" style="22" min="7682" max="7682"/>
    <col width="6.140625" customWidth="1" style="22" min="7683" max="7684"/>
    <col width="6.28515625" customWidth="1" style="22" min="7685" max="7685"/>
    <col width="9.28515625" customWidth="1" style="22" min="7686" max="7686"/>
    <col width="7.28515625" customWidth="1" style="22" min="7687" max="7687"/>
    <col width="7.7109375" customWidth="1" style="22" min="7688" max="7688"/>
    <col width="8.28515625" customWidth="1" style="22" min="7689" max="7689"/>
    <col width="8.85546875" customWidth="1" style="22" min="7690" max="7690"/>
    <col width="7.85546875" customWidth="1" style="22" min="7691" max="7692"/>
    <col width="15.140625" customWidth="1" style="22" min="7693" max="7693"/>
    <col width="11.5703125" customWidth="1" style="22" min="7694" max="7694"/>
    <col width="7.5703125" customWidth="1" style="22" min="7695" max="7695"/>
    <col width="6.85546875" customWidth="1" style="22" min="7696" max="7696"/>
    <col width="9.140625" customWidth="1" style="22" min="7697" max="7697"/>
    <col width="9.42578125" customWidth="1" style="22" min="7698" max="7698"/>
    <col width="10" customWidth="1" style="22" min="7699" max="7700"/>
    <col width="7.7109375" customWidth="1" style="22" min="7701" max="7701"/>
    <col width="14.85546875" customWidth="1" style="22" min="7702" max="7702"/>
    <col width="10.42578125" customWidth="1" style="22" min="7703" max="7703"/>
    <col width="7.7109375" customWidth="1" style="22" min="7704" max="7704"/>
    <col width="4.42578125" customWidth="1" style="22" min="7705" max="7705"/>
    <col width="8" customWidth="1" style="22" min="7706" max="7706"/>
    <col width="9" customWidth="1" style="22" min="7707" max="7707"/>
    <col width="3" customWidth="1" style="22" min="7708" max="7708"/>
    <col width="10" customWidth="1" style="22" min="7709" max="7709"/>
    <col width="8" customWidth="1" style="22" min="7710" max="7710"/>
    <col width="10.85546875" customWidth="1" style="22" min="7711" max="7711"/>
    <col width="9.5703125" customWidth="1" style="22" min="7712" max="7712"/>
    <col width="9.85546875" customWidth="1" style="22" min="7713" max="7713"/>
    <col width="10.140625" customWidth="1" style="22" min="7714" max="7714"/>
    <col width="10.5703125" customWidth="1" style="22" min="7715" max="7715"/>
    <col width="8" customWidth="1" style="22" min="7716" max="7716"/>
    <col width="0.85546875" customWidth="1" style="22" min="7717" max="7936"/>
    <col width="5.7109375" bestFit="1" customWidth="1" style="22" min="7937" max="7937"/>
    <col width="23.42578125" customWidth="1" style="22" min="7938" max="7938"/>
    <col width="6.140625" customWidth="1" style="22" min="7939" max="7940"/>
    <col width="6.28515625" customWidth="1" style="22" min="7941" max="7941"/>
    <col width="9.28515625" customWidth="1" style="22" min="7942" max="7942"/>
    <col width="7.28515625" customWidth="1" style="22" min="7943" max="7943"/>
    <col width="7.7109375" customWidth="1" style="22" min="7944" max="7944"/>
    <col width="8.28515625" customWidth="1" style="22" min="7945" max="7945"/>
    <col width="8.85546875" customWidth="1" style="22" min="7946" max="7946"/>
    <col width="7.85546875" customWidth="1" style="22" min="7947" max="7948"/>
    <col width="15.140625" customWidth="1" style="22" min="7949" max="7949"/>
    <col width="11.5703125" customWidth="1" style="22" min="7950" max="7950"/>
    <col width="7.5703125" customWidth="1" style="22" min="7951" max="7951"/>
    <col width="6.85546875" customWidth="1" style="22" min="7952" max="7952"/>
    <col width="9.140625" customWidth="1" style="22" min="7953" max="7953"/>
    <col width="9.42578125" customWidth="1" style="22" min="7954" max="7954"/>
    <col width="10" customWidth="1" style="22" min="7955" max="7956"/>
    <col width="7.7109375" customWidth="1" style="22" min="7957" max="7957"/>
    <col width="14.85546875" customWidth="1" style="22" min="7958" max="7958"/>
    <col width="10.42578125" customWidth="1" style="22" min="7959" max="7959"/>
    <col width="7.7109375" customWidth="1" style="22" min="7960" max="7960"/>
    <col width="4.42578125" customWidth="1" style="22" min="7961" max="7961"/>
    <col width="8" customWidth="1" style="22" min="7962" max="7962"/>
    <col width="9" customWidth="1" style="22" min="7963" max="7963"/>
    <col width="3" customWidth="1" style="22" min="7964" max="7964"/>
    <col width="10" customWidth="1" style="22" min="7965" max="7965"/>
    <col width="8" customWidth="1" style="22" min="7966" max="7966"/>
    <col width="10.85546875" customWidth="1" style="22" min="7967" max="7967"/>
    <col width="9.5703125" customWidth="1" style="22" min="7968" max="7968"/>
    <col width="9.85546875" customWidth="1" style="22" min="7969" max="7969"/>
    <col width="10.140625" customWidth="1" style="22" min="7970" max="7970"/>
    <col width="10.5703125" customWidth="1" style="22" min="7971" max="7971"/>
    <col width="8" customWidth="1" style="22" min="7972" max="7972"/>
    <col width="0.85546875" customWidth="1" style="22" min="7973" max="8192"/>
    <col width="5.7109375" bestFit="1" customWidth="1" style="22" min="8193" max="8193"/>
    <col width="23.42578125" customWidth="1" style="22" min="8194" max="8194"/>
    <col width="6.140625" customWidth="1" style="22" min="8195" max="8196"/>
    <col width="6.28515625" customWidth="1" style="22" min="8197" max="8197"/>
    <col width="9.28515625" customWidth="1" style="22" min="8198" max="8198"/>
    <col width="7.28515625" customWidth="1" style="22" min="8199" max="8199"/>
    <col width="7.7109375" customWidth="1" style="22" min="8200" max="8200"/>
    <col width="8.28515625" customWidth="1" style="22" min="8201" max="8201"/>
    <col width="8.85546875" customWidth="1" style="22" min="8202" max="8202"/>
    <col width="7.85546875" customWidth="1" style="22" min="8203" max="8204"/>
    <col width="15.140625" customWidth="1" style="22" min="8205" max="8205"/>
    <col width="11.5703125" customWidth="1" style="22" min="8206" max="8206"/>
    <col width="7.5703125" customWidth="1" style="22" min="8207" max="8207"/>
    <col width="6.85546875" customWidth="1" style="22" min="8208" max="8208"/>
    <col width="9.140625" customWidth="1" style="22" min="8209" max="8209"/>
    <col width="9.42578125" customWidth="1" style="22" min="8210" max="8210"/>
    <col width="10" customWidth="1" style="22" min="8211" max="8212"/>
    <col width="7.7109375" customWidth="1" style="22" min="8213" max="8213"/>
    <col width="14.85546875" customWidth="1" style="22" min="8214" max="8214"/>
    <col width="10.42578125" customWidth="1" style="22" min="8215" max="8215"/>
    <col width="7.7109375" customWidth="1" style="22" min="8216" max="8216"/>
    <col width="4.42578125" customWidth="1" style="22" min="8217" max="8217"/>
    <col width="8" customWidth="1" style="22" min="8218" max="8218"/>
    <col width="9" customWidth="1" style="22" min="8219" max="8219"/>
    <col width="3" customWidth="1" style="22" min="8220" max="8220"/>
    <col width="10" customWidth="1" style="22" min="8221" max="8221"/>
    <col width="8" customWidth="1" style="22" min="8222" max="8222"/>
    <col width="10.85546875" customWidth="1" style="22" min="8223" max="8223"/>
    <col width="9.5703125" customWidth="1" style="22" min="8224" max="8224"/>
    <col width="9.85546875" customWidth="1" style="22" min="8225" max="8225"/>
    <col width="10.140625" customWidth="1" style="22" min="8226" max="8226"/>
    <col width="10.5703125" customWidth="1" style="22" min="8227" max="8227"/>
    <col width="8" customWidth="1" style="22" min="8228" max="8228"/>
    <col width="0.85546875" customWidth="1" style="22" min="8229" max="8448"/>
    <col width="5.7109375" bestFit="1" customWidth="1" style="22" min="8449" max="8449"/>
    <col width="23.42578125" customWidth="1" style="22" min="8450" max="8450"/>
    <col width="6.140625" customWidth="1" style="22" min="8451" max="8452"/>
    <col width="6.28515625" customWidth="1" style="22" min="8453" max="8453"/>
    <col width="9.28515625" customWidth="1" style="22" min="8454" max="8454"/>
    <col width="7.28515625" customWidth="1" style="22" min="8455" max="8455"/>
    <col width="7.7109375" customWidth="1" style="22" min="8456" max="8456"/>
    <col width="8.28515625" customWidth="1" style="22" min="8457" max="8457"/>
    <col width="8.85546875" customWidth="1" style="22" min="8458" max="8458"/>
    <col width="7.85546875" customWidth="1" style="22" min="8459" max="8460"/>
    <col width="15.140625" customWidth="1" style="22" min="8461" max="8461"/>
    <col width="11.5703125" customWidth="1" style="22" min="8462" max="8462"/>
    <col width="7.5703125" customWidth="1" style="22" min="8463" max="8463"/>
    <col width="6.85546875" customWidth="1" style="22" min="8464" max="8464"/>
    <col width="9.140625" customWidth="1" style="22" min="8465" max="8465"/>
    <col width="9.42578125" customWidth="1" style="22" min="8466" max="8466"/>
    <col width="10" customWidth="1" style="22" min="8467" max="8468"/>
    <col width="7.7109375" customWidth="1" style="22" min="8469" max="8469"/>
    <col width="14.85546875" customWidth="1" style="22" min="8470" max="8470"/>
    <col width="10.42578125" customWidth="1" style="22" min="8471" max="8471"/>
    <col width="7.7109375" customWidth="1" style="22" min="8472" max="8472"/>
    <col width="4.42578125" customWidth="1" style="22" min="8473" max="8473"/>
    <col width="8" customWidth="1" style="22" min="8474" max="8474"/>
    <col width="9" customWidth="1" style="22" min="8475" max="8475"/>
    <col width="3" customWidth="1" style="22" min="8476" max="8476"/>
    <col width="10" customWidth="1" style="22" min="8477" max="8477"/>
    <col width="8" customWidth="1" style="22" min="8478" max="8478"/>
    <col width="10.85546875" customWidth="1" style="22" min="8479" max="8479"/>
    <col width="9.5703125" customWidth="1" style="22" min="8480" max="8480"/>
    <col width="9.85546875" customWidth="1" style="22" min="8481" max="8481"/>
    <col width="10.140625" customWidth="1" style="22" min="8482" max="8482"/>
    <col width="10.5703125" customWidth="1" style="22" min="8483" max="8483"/>
    <col width="8" customWidth="1" style="22" min="8484" max="8484"/>
    <col width="0.85546875" customWidth="1" style="22" min="8485" max="8704"/>
    <col width="5.7109375" bestFit="1" customWidth="1" style="22" min="8705" max="8705"/>
    <col width="23.42578125" customWidth="1" style="22" min="8706" max="8706"/>
    <col width="6.140625" customWidth="1" style="22" min="8707" max="8708"/>
    <col width="6.28515625" customWidth="1" style="22" min="8709" max="8709"/>
    <col width="9.28515625" customWidth="1" style="22" min="8710" max="8710"/>
    <col width="7.28515625" customWidth="1" style="22" min="8711" max="8711"/>
    <col width="7.7109375" customWidth="1" style="22" min="8712" max="8712"/>
    <col width="8.28515625" customWidth="1" style="22" min="8713" max="8713"/>
    <col width="8.85546875" customWidth="1" style="22" min="8714" max="8714"/>
    <col width="7.85546875" customWidth="1" style="22" min="8715" max="8716"/>
    <col width="15.140625" customWidth="1" style="22" min="8717" max="8717"/>
    <col width="11.5703125" customWidth="1" style="22" min="8718" max="8718"/>
    <col width="7.5703125" customWidth="1" style="22" min="8719" max="8719"/>
    <col width="6.85546875" customWidth="1" style="22" min="8720" max="8720"/>
    <col width="9.140625" customWidth="1" style="22" min="8721" max="8721"/>
    <col width="9.42578125" customWidth="1" style="22" min="8722" max="8722"/>
    <col width="10" customWidth="1" style="22" min="8723" max="8724"/>
    <col width="7.7109375" customWidth="1" style="22" min="8725" max="8725"/>
    <col width="14.85546875" customWidth="1" style="22" min="8726" max="8726"/>
    <col width="10.42578125" customWidth="1" style="22" min="8727" max="8727"/>
    <col width="7.7109375" customWidth="1" style="22" min="8728" max="8728"/>
    <col width="4.42578125" customWidth="1" style="22" min="8729" max="8729"/>
    <col width="8" customWidth="1" style="22" min="8730" max="8730"/>
    <col width="9" customWidth="1" style="22" min="8731" max="8731"/>
    <col width="3" customWidth="1" style="22" min="8732" max="8732"/>
    <col width="10" customWidth="1" style="22" min="8733" max="8733"/>
    <col width="8" customWidth="1" style="22" min="8734" max="8734"/>
    <col width="10.85546875" customWidth="1" style="22" min="8735" max="8735"/>
    <col width="9.5703125" customWidth="1" style="22" min="8736" max="8736"/>
    <col width="9.85546875" customWidth="1" style="22" min="8737" max="8737"/>
    <col width="10.140625" customWidth="1" style="22" min="8738" max="8738"/>
    <col width="10.5703125" customWidth="1" style="22" min="8739" max="8739"/>
    <col width="8" customWidth="1" style="22" min="8740" max="8740"/>
    <col width="0.85546875" customWidth="1" style="22" min="8741" max="8960"/>
    <col width="5.7109375" bestFit="1" customWidth="1" style="22" min="8961" max="8961"/>
    <col width="23.42578125" customWidth="1" style="22" min="8962" max="8962"/>
    <col width="6.140625" customWidth="1" style="22" min="8963" max="8964"/>
    <col width="6.28515625" customWidth="1" style="22" min="8965" max="8965"/>
    <col width="9.28515625" customWidth="1" style="22" min="8966" max="8966"/>
    <col width="7.28515625" customWidth="1" style="22" min="8967" max="8967"/>
    <col width="7.7109375" customWidth="1" style="22" min="8968" max="8968"/>
    <col width="8.28515625" customWidth="1" style="22" min="8969" max="8969"/>
    <col width="8.85546875" customWidth="1" style="22" min="8970" max="8970"/>
    <col width="7.85546875" customWidth="1" style="22" min="8971" max="8972"/>
    <col width="15.140625" customWidth="1" style="22" min="8973" max="8973"/>
    <col width="11.5703125" customWidth="1" style="22" min="8974" max="8974"/>
    <col width="7.5703125" customWidth="1" style="22" min="8975" max="8975"/>
    <col width="6.85546875" customWidth="1" style="22" min="8976" max="8976"/>
    <col width="9.140625" customWidth="1" style="22" min="8977" max="8977"/>
    <col width="9.42578125" customWidth="1" style="22" min="8978" max="8978"/>
    <col width="10" customWidth="1" style="22" min="8979" max="8980"/>
    <col width="7.7109375" customWidth="1" style="22" min="8981" max="8981"/>
    <col width="14.85546875" customWidth="1" style="22" min="8982" max="8982"/>
    <col width="10.42578125" customWidth="1" style="22" min="8983" max="8983"/>
    <col width="7.7109375" customWidth="1" style="22" min="8984" max="8984"/>
    <col width="4.42578125" customWidth="1" style="22" min="8985" max="8985"/>
    <col width="8" customWidth="1" style="22" min="8986" max="8986"/>
    <col width="9" customWidth="1" style="22" min="8987" max="8987"/>
    <col width="3" customWidth="1" style="22" min="8988" max="8988"/>
    <col width="10" customWidth="1" style="22" min="8989" max="8989"/>
    <col width="8" customWidth="1" style="22" min="8990" max="8990"/>
    <col width="10.85546875" customWidth="1" style="22" min="8991" max="8991"/>
    <col width="9.5703125" customWidth="1" style="22" min="8992" max="8992"/>
    <col width="9.85546875" customWidth="1" style="22" min="8993" max="8993"/>
    <col width="10.140625" customWidth="1" style="22" min="8994" max="8994"/>
    <col width="10.5703125" customWidth="1" style="22" min="8995" max="8995"/>
    <col width="8" customWidth="1" style="22" min="8996" max="8996"/>
    <col width="0.85546875" customWidth="1" style="22" min="8997" max="9216"/>
    <col width="5.7109375" bestFit="1" customWidth="1" style="22" min="9217" max="9217"/>
    <col width="23.42578125" customWidth="1" style="22" min="9218" max="9218"/>
    <col width="6.140625" customWidth="1" style="22" min="9219" max="9220"/>
    <col width="6.28515625" customWidth="1" style="22" min="9221" max="9221"/>
    <col width="9.28515625" customWidth="1" style="22" min="9222" max="9222"/>
    <col width="7.28515625" customWidth="1" style="22" min="9223" max="9223"/>
    <col width="7.7109375" customWidth="1" style="22" min="9224" max="9224"/>
    <col width="8.28515625" customWidth="1" style="22" min="9225" max="9225"/>
    <col width="8.85546875" customWidth="1" style="22" min="9226" max="9226"/>
    <col width="7.85546875" customWidth="1" style="22" min="9227" max="9228"/>
    <col width="15.140625" customWidth="1" style="22" min="9229" max="9229"/>
    <col width="11.5703125" customWidth="1" style="22" min="9230" max="9230"/>
    <col width="7.5703125" customWidth="1" style="22" min="9231" max="9231"/>
    <col width="6.85546875" customWidth="1" style="22" min="9232" max="9232"/>
    <col width="9.140625" customWidth="1" style="22" min="9233" max="9233"/>
    <col width="9.42578125" customWidth="1" style="22" min="9234" max="9234"/>
    <col width="10" customWidth="1" style="22" min="9235" max="9236"/>
    <col width="7.7109375" customWidth="1" style="22" min="9237" max="9237"/>
    <col width="14.85546875" customWidth="1" style="22" min="9238" max="9238"/>
    <col width="10.42578125" customWidth="1" style="22" min="9239" max="9239"/>
    <col width="7.7109375" customWidth="1" style="22" min="9240" max="9240"/>
    <col width="4.42578125" customWidth="1" style="22" min="9241" max="9241"/>
    <col width="8" customWidth="1" style="22" min="9242" max="9242"/>
    <col width="9" customWidth="1" style="22" min="9243" max="9243"/>
    <col width="3" customWidth="1" style="22" min="9244" max="9244"/>
    <col width="10" customWidth="1" style="22" min="9245" max="9245"/>
    <col width="8" customWidth="1" style="22" min="9246" max="9246"/>
    <col width="10.85546875" customWidth="1" style="22" min="9247" max="9247"/>
    <col width="9.5703125" customWidth="1" style="22" min="9248" max="9248"/>
    <col width="9.85546875" customWidth="1" style="22" min="9249" max="9249"/>
    <col width="10.140625" customWidth="1" style="22" min="9250" max="9250"/>
    <col width="10.5703125" customWidth="1" style="22" min="9251" max="9251"/>
    <col width="8" customWidth="1" style="22" min="9252" max="9252"/>
    <col width="0.85546875" customWidth="1" style="22" min="9253" max="9472"/>
    <col width="5.7109375" bestFit="1" customWidth="1" style="22" min="9473" max="9473"/>
    <col width="23.42578125" customWidth="1" style="22" min="9474" max="9474"/>
    <col width="6.140625" customWidth="1" style="22" min="9475" max="9476"/>
    <col width="6.28515625" customWidth="1" style="22" min="9477" max="9477"/>
    <col width="9.28515625" customWidth="1" style="22" min="9478" max="9478"/>
    <col width="7.28515625" customWidth="1" style="22" min="9479" max="9479"/>
    <col width="7.7109375" customWidth="1" style="22" min="9480" max="9480"/>
    <col width="8.28515625" customWidth="1" style="22" min="9481" max="9481"/>
    <col width="8.85546875" customWidth="1" style="22" min="9482" max="9482"/>
    <col width="7.85546875" customWidth="1" style="22" min="9483" max="9484"/>
    <col width="15.140625" customWidth="1" style="22" min="9485" max="9485"/>
    <col width="11.5703125" customWidth="1" style="22" min="9486" max="9486"/>
    <col width="7.5703125" customWidth="1" style="22" min="9487" max="9487"/>
    <col width="6.85546875" customWidth="1" style="22" min="9488" max="9488"/>
    <col width="9.140625" customWidth="1" style="22" min="9489" max="9489"/>
    <col width="9.42578125" customWidth="1" style="22" min="9490" max="9490"/>
    <col width="10" customWidth="1" style="22" min="9491" max="9492"/>
    <col width="7.7109375" customWidth="1" style="22" min="9493" max="9493"/>
    <col width="14.85546875" customWidth="1" style="22" min="9494" max="9494"/>
    <col width="10.42578125" customWidth="1" style="22" min="9495" max="9495"/>
    <col width="7.7109375" customWidth="1" style="22" min="9496" max="9496"/>
    <col width="4.42578125" customWidth="1" style="22" min="9497" max="9497"/>
    <col width="8" customWidth="1" style="22" min="9498" max="9498"/>
    <col width="9" customWidth="1" style="22" min="9499" max="9499"/>
    <col width="3" customWidth="1" style="22" min="9500" max="9500"/>
    <col width="10" customWidth="1" style="22" min="9501" max="9501"/>
    <col width="8" customWidth="1" style="22" min="9502" max="9502"/>
    <col width="10.85546875" customWidth="1" style="22" min="9503" max="9503"/>
    <col width="9.5703125" customWidth="1" style="22" min="9504" max="9504"/>
    <col width="9.85546875" customWidth="1" style="22" min="9505" max="9505"/>
    <col width="10.140625" customWidth="1" style="22" min="9506" max="9506"/>
    <col width="10.5703125" customWidth="1" style="22" min="9507" max="9507"/>
    <col width="8" customWidth="1" style="22" min="9508" max="9508"/>
    <col width="0.85546875" customWidth="1" style="22" min="9509" max="9728"/>
    <col width="5.7109375" bestFit="1" customWidth="1" style="22" min="9729" max="9729"/>
    <col width="23.42578125" customWidth="1" style="22" min="9730" max="9730"/>
    <col width="6.140625" customWidth="1" style="22" min="9731" max="9732"/>
    <col width="6.28515625" customWidth="1" style="22" min="9733" max="9733"/>
    <col width="9.28515625" customWidth="1" style="22" min="9734" max="9734"/>
    <col width="7.28515625" customWidth="1" style="22" min="9735" max="9735"/>
    <col width="7.7109375" customWidth="1" style="22" min="9736" max="9736"/>
    <col width="8.28515625" customWidth="1" style="22" min="9737" max="9737"/>
    <col width="8.85546875" customWidth="1" style="22" min="9738" max="9738"/>
    <col width="7.85546875" customWidth="1" style="22" min="9739" max="9740"/>
    <col width="15.140625" customWidth="1" style="22" min="9741" max="9741"/>
    <col width="11.5703125" customWidth="1" style="22" min="9742" max="9742"/>
    <col width="7.5703125" customWidth="1" style="22" min="9743" max="9743"/>
    <col width="6.85546875" customWidth="1" style="22" min="9744" max="9744"/>
    <col width="9.140625" customWidth="1" style="22" min="9745" max="9745"/>
    <col width="9.42578125" customWidth="1" style="22" min="9746" max="9746"/>
    <col width="10" customWidth="1" style="22" min="9747" max="9748"/>
    <col width="7.7109375" customWidth="1" style="22" min="9749" max="9749"/>
    <col width="14.85546875" customWidth="1" style="22" min="9750" max="9750"/>
    <col width="10.42578125" customWidth="1" style="22" min="9751" max="9751"/>
    <col width="7.7109375" customWidth="1" style="22" min="9752" max="9752"/>
    <col width="4.42578125" customWidth="1" style="22" min="9753" max="9753"/>
    <col width="8" customWidth="1" style="22" min="9754" max="9754"/>
    <col width="9" customWidth="1" style="22" min="9755" max="9755"/>
    <col width="3" customWidth="1" style="22" min="9756" max="9756"/>
    <col width="10" customWidth="1" style="22" min="9757" max="9757"/>
    <col width="8" customWidth="1" style="22" min="9758" max="9758"/>
    <col width="10.85546875" customWidth="1" style="22" min="9759" max="9759"/>
    <col width="9.5703125" customWidth="1" style="22" min="9760" max="9760"/>
    <col width="9.85546875" customWidth="1" style="22" min="9761" max="9761"/>
    <col width="10.140625" customWidth="1" style="22" min="9762" max="9762"/>
    <col width="10.5703125" customWidth="1" style="22" min="9763" max="9763"/>
    <col width="8" customWidth="1" style="22" min="9764" max="9764"/>
    <col width="0.85546875" customWidth="1" style="22" min="9765" max="9984"/>
    <col width="5.7109375" bestFit="1" customWidth="1" style="22" min="9985" max="9985"/>
    <col width="23.42578125" customWidth="1" style="22" min="9986" max="9986"/>
    <col width="6.140625" customWidth="1" style="22" min="9987" max="9988"/>
    <col width="6.28515625" customWidth="1" style="22" min="9989" max="9989"/>
    <col width="9.28515625" customWidth="1" style="22" min="9990" max="9990"/>
    <col width="7.28515625" customWidth="1" style="22" min="9991" max="9991"/>
    <col width="7.7109375" customWidth="1" style="22" min="9992" max="9992"/>
    <col width="8.28515625" customWidth="1" style="22" min="9993" max="9993"/>
    <col width="8.85546875" customWidth="1" style="22" min="9994" max="9994"/>
    <col width="7.85546875" customWidth="1" style="22" min="9995" max="9996"/>
    <col width="15.140625" customWidth="1" style="22" min="9997" max="9997"/>
    <col width="11.5703125" customWidth="1" style="22" min="9998" max="9998"/>
    <col width="7.5703125" customWidth="1" style="22" min="9999" max="9999"/>
    <col width="6.85546875" customWidth="1" style="22" min="10000" max="10000"/>
    <col width="9.140625" customWidth="1" style="22" min="10001" max="10001"/>
    <col width="9.42578125" customWidth="1" style="22" min="10002" max="10002"/>
    <col width="10" customWidth="1" style="22" min="10003" max="10004"/>
    <col width="7.7109375" customWidth="1" style="22" min="10005" max="10005"/>
    <col width="14.85546875" customWidth="1" style="22" min="10006" max="10006"/>
    <col width="10.42578125" customWidth="1" style="22" min="10007" max="10007"/>
    <col width="7.7109375" customWidth="1" style="22" min="10008" max="10008"/>
    <col width="4.42578125" customWidth="1" style="22" min="10009" max="10009"/>
    <col width="8" customWidth="1" style="22" min="10010" max="10010"/>
    <col width="9" customWidth="1" style="22" min="10011" max="10011"/>
    <col width="3" customWidth="1" style="22" min="10012" max="10012"/>
    <col width="10" customWidth="1" style="22" min="10013" max="10013"/>
    <col width="8" customWidth="1" style="22" min="10014" max="10014"/>
    <col width="10.85546875" customWidth="1" style="22" min="10015" max="10015"/>
    <col width="9.5703125" customWidth="1" style="22" min="10016" max="10016"/>
    <col width="9.85546875" customWidth="1" style="22" min="10017" max="10017"/>
    <col width="10.140625" customWidth="1" style="22" min="10018" max="10018"/>
    <col width="10.5703125" customWidth="1" style="22" min="10019" max="10019"/>
    <col width="8" customWidth="1" style="22" min="10020" max="10020"/>
    <col width="0.85546875" customWidth="1" style="22" min="10021" max="10240"/>
    <col width="5.7109375" bestFit="1" customWidth="1" style="22" min="10241" max="10241"/>
    <col width="23.42578125" customWidth="1" style="22" min="10242" max="10242"/>
    <col width="6.140625" customWidth="1" style="22" min="10243" max="10244"/>
    <col width="6.28515625" customWidth="1" style="22" min="10245" max="10245"/>
    <col width="9.28515625" customWidth="1" style="22" min="10246" max="10246"/>
    <col width="7.28515625" customWidth="1" style="22" min="10247" max="10247"/>
    <col width="7.7109375" customWidth="1" style="22" min="10248" max="10248"/>
    <col width="8.28515625" customWidth="1" style="22" min="10249" max="10249"/>
    <col width="8.85546875" customWidth="1" style="22" min="10250" max="10250"/>
    <col width="7.85546875" customWidth="1" style="22" min="10251" max="10252"/>
    <col width="15.140625" customWidth="1" style="22" min="10253" max="10253"/>
    <col width="11.5703125" customWidth="1" style="22" min="10254" max="10254"/>
    <col width="7.5703125" customWidth="1" style="22" min="10255" max="10255"/>
    <col width="6.85546875" customWidth="1" style="22" min="10256" max="10256"/>
    <col width="9.140625" customWidth="1" style="22" min="10257" max="10257"/>
    <col width="9.42578125" customWidth="1" style="22" min="10258" max="10258"/>
    <col width="10" customWidth="1" style="22" min="10259" max="10260"/>
    <col width="7.7109375" customWidth="1" style="22" min="10261" max="10261"/>
    <col width="14.85546875" customWidth="1" style="22" min="10262" max="10262"/>
    <col width="10.42578125" customWidth="1" style="22" min="10263" max="10263"/>
    <col width="7.7109375" customWidth="1" style="22" min="10264" max="10264"/>
    <col width="4.42578125" customWidth="1" style="22" min="10265" max="10265"/>
    <col width="8" customWidth="1" style="22" min="10266" max="10266"/>
    <col width="9" customWidth="1" style="22" min="10267" max="10267"/>
    <col width="3" customWidth="1" style="22" min="10268" max="10268"/>
    <col width="10" customWidth="1" style="22" min="10269" max="10269"/>
    <col width="8" customWidth="1" style="22" min="10270" max="10270"/>
    <col width="10.85546875" customWidth="1" style="22" min="10271" max="10271"/>
    <col width="9.5703125" customWidth="1" style="22" min="10272" max="10272"/>
    <col width="9.85546875" customWidth="1" style="22" min="10273" max="10273"/>
    <col width="10.140625" customWidth="1" style="22" min="10274" max="10274"/>
    <col width="10.5703125" customWidth="1" style="22" min="10275" max="10275"/>
    <col width="8" customWidth="1" style="22" min="10276" max="10276"/>
    <col width="0.85546875" customWidth="1" style="22" min="10277" max="10496"/>
    <col width="5.7109375" bestFit="1" customWidth="1" style="22" min="10497" max="10497"/>
    <col width="23.42578125" customWidth="1" style="22" min="10498" max="10498"/>
    <col width="6.140625" customWidth="1" style="22" min="10499" max="10500"/>
    <col width="6.28515625" customWidth="1" style="22" min="10501" max="10501"/>
    <col width="9.28515625" customWidth="1" style="22" min="10502" max="10502"/>
    <col width="7.28515625" customWidth="1" style="22" min="10503" max="10503"/>
    <col width="7.7109375" customWidth="1" style="22" min="10504" max="10504"/>
    <col width="8.28515625" customWidth="1" style="22" min="10505" max="10505"/>
    <col width="8.85546875" customWidth="1" style="22" min="10506" max="10506"/>
    <col width="7.85546875" customWidth="1" style="22" min="10507" max="10508"/>
    <col width="15.140625" customWidth="1" style="22" min="10509" max="10509"/>
    <col width="11.5703125" customWidth="1" style="22" min="10510" max="10510"/>
    <col width="7.5703125" customWidth="1" style="22" min="10511" max="10511"/>
    <col width="6.85546875" customWidth="1" style="22" min="10512" max="10512"/>
    <col width="9.140625" customWidth="1" style="22" min="10513" max="10513"/>
    <col width="9.42578125" customWidth="1" style="22" min="10514" max="10514"/>
    <col width="10" customWidth="1" style="22" min="10515" max="10516"/>
    <col width="7.7109375" customWidth="1" style="22" min="10517" max="10517"/>
    <col width="14.85546875" customWidth="1" style="22" min="10518" max="10518"/>
    <col width="10.42578125" customWidth="1" style="22" min="10519" max="10519"/>
    <col width="7.7109375" customWidth="1" style="22" min="10520" max="10520"/>
    <col width="4.42578125" customWidth="1" style="22" min="10521" max="10521"/>
    <col width="8" customWidth="1" style="22" min="10522" max="10522"/>
    <col width="9" customWidth="1" style="22" min="10523" max="10523"/>
    <col width="3" customWidth="1" style="22" min="10524" max="10524"/>
    <col width="10" customWidth="1" style="22" min="10525" max="10525"/>
    <col width="8" customWidth="1" style="22" min="10526" max="10526"/>
    <col width="10.85546875" customWidth="1" style="22" min="10527" max="10527"/>
    <col width="9.5703125" customWidth="1" style="22" min="10528" max="10528"/>
    <col width="9.85546875" customWidth="1" style="22" min="10529" max="10529"/>
    <col width="10.140625" customWidth="1" style="22" min="10530" max="10530"/>
    <col width="10.5703125" customWidth="1" style="22" min="10531" max="10531"/>
    <col width="8" customWidth="1" style="22" min="10532" max="10532"/>
    <col width="0.85546875" customWidth="1" style="22" min="10533" max="10752"/>
    <col width="5.7109375" bestFit="1" customWidth="1" style="22" min="10753" max="10753"/>
    <col width="23.42578125" customWidth="1" style="22" min="10754" max="10754"/>
    <col width="6.140625" customWidth="1" style="22" min="10755" max="10756"/>
    <col width="6.28515625" customWidth="1" style="22" min="10757" max="10757"/>
    <col width="9.28515625" customWidth="1" style="22" min="10758" max="10758"/>
    <col width="7.28515625" customWidth="1" style="22" min="10759" max="10759"/>
    <col width="7.7109375" customWidth="1" style="22" min="10760" max="10760"/>
    <col width="8.28515625" customWidth="1" style="22" min="10761" max="10761"/>
    <col width="8.85546875" customWidth="1" style="22" min="10762" max="10762"/>
    <col width="7.85546875" customWidth="1" style="22" min="10763" max="10764"/>
    <col width="15.140625" customWidth="1" style="22" min="10765" max="10765"/>
    <col width="11.5703125" customWidth="1" style="22" min="10766" max="10766"/>
    <col width="7.5703125" customWidth="1" style="22" min="10767" max="10767"/>
    <col width="6.85546875" customWidth="1" style="22" min="10768" max="10768"/>
    <col width="9.140625" customWidth="1" style="22" min="10769" max="10769"/>
    <col width="9.42578125" customWidth="1" style="22" min="10770" max="10770"/>
    <col width="10" customWidth="1" style="22" min="10771" max="10772"/>
    <col width="7.7109375" customWidth="1" style="22" min="10773" max="10773"/>
    <col width="14.85546875" customWidth="1" style="22" min="10774" max="10774"/>
    <col width="10.42578125" customWidth="1" style="22" min="10775" max="10775"/>
    <col width="7.7109375" customWidth="1" style="22" min="10776" max="10776"/>
    <col width="4.42578125" customWidth="1" style="22" min="10777" max="10777"/>
    <col width="8" customWidth="1" style="22" min="10778" max="10778"/>
    <col width="9" customWidth="1" style="22" min="10779" max="10779"/>
    <col width="3" customWidth="1" style="22" min="10780" max="10780"/>
    <col width="10" customWidth="1" style="22" min="10781" max="10781"/>
    <col width="8" customWidth="1" style="22" min="10782" max="10782"/>
    <col width="10.85546875" customWidth="1" style="22" min="10783" max="10783"/>
    <col width="9.5703125" customWidth="1" style="22" min="10784" max="10784"/>
    <col width="9.85546875" customWidth="1" style="22" min="10785" max="10785"/>
    <col width="10.140625" customWidth="1" style="22" min="10786" max="10786"/>
    <col width="10.5703125" customWidth="1" style="22" min="10787" max="10787"/>
    <col width="8" customWidth="1" style="22" min="10788" max="10788"/>
    <col width="0.85546875" customWidth="1" style="22" min="10789" max="11008"/>
    <col width="5.7109375" bestFit="1" customWidth="1" style="22" min="11009" max="11009"/>
    <col width="23.42578125" customWidth="1" style="22" min="11010" max="11010"/>
    <col width="6.140625" customWidth="1" style="22" min="11011" max="11012"/>
    <col width="6.28515625" customWidth="1" style="22" min="11013" max="11013"/>
    <col width="9.28515625" customWidth="1" style="22" min="11014" max="11014"/>
    <col width="7.28515625" customWidth="1" style="22" min="11015" max="11015"/>
    <col width="7.7109375" customWidth="1" style="22" min="11016" max="11016"/>
    <col width="8.28515625" customWidth="1" style="22" min="11017" max="11017"/>
    <col width="8.85546875" customWidth="1" style="22" min="11018" max="11018"/>
    <col width="7.85546875" customWidth="1" style="22" min="11019" max="11020"/>
    <col width="15.140625" customWidth="1" style="22" min="11021" max="11021"/>
    <col width="11.5703125" customWidth="1" style="22" min="11022" max="11022"/>
    <col width="7.5703125" customWidth="1" style="22" min="11023" max="11023"/>
    <col width="6.85546875" customWidth="1" style="22" min="11024" max="11024"/>
    <col width="9.140625" customWidth="1" style="22" min="11025" max="11025"/>
    <col width="9.42578125" customWidth="1" style="22" min="11026" max="11026"/>
    <col width="10" customWidth="1" style="22" min="11027" max="11028"/>
    <col width="7.7109375" customWidth="1" style="22" min="11029" max="11029"/>
    <col width="14.85546875" customWidth="1" style="22" min="11030" max="11030"/>
    <col width="10.42578125" customWidth="1" style="22" min="11031" max="11031"/>
    <col width="7.7109375" customWidth="1" style="22" min="11032" max="11032"/>
    <col width="4.42578125" customWidth="1" style="22" min="11033" max="11033"/>
    <col width="8" customWidth="1" style="22" min="11034" max="11034"/>
    <col width="9" customWidth="1" style="22" min="11035" max="11035"/>
    <col width="3" customWidth="1" style="22" min="11036" max="11036"/>
    <col width="10" customWidth="1" style="22" min="11037" max="11037"/>
    <col width="8" customWidth="1" style="22" min="11038" max="11038"/>
    <col width="10.85546875" customWidth="1" style="22" min="11039" max="11039"/>
    <col width="9.5703125" customWidth="1" style="22" min="11040" max="11040"/>
    <col width="9.85546875" customWidth="1" style="22" min="11041" max="11041"/>
    <col width="10.140625" customWidth="1" style="22" min="11042" max="11042"/>
    <col width="10.5703125" customWidth="1" style="22" min="11043" max="11043"/>
    <col width="8" customWidth="1" style="22" min="11044" max="11044"/>
    <col width="0.85546875" customWidth="1" style="22" min="11045" max="11264"/>
    <col width="5.7109375" bestFit="1" customWidth="1" style="22" min="11265" max="11265"/>
    <col width="23.42578125" customWidth="1" style="22" min="11266" max="11266"/>
    <col width="6.140625" customWidth="1" style="22" min="11267" max="11268"/>
    <col width="6.28515625" customWidth="1" style="22" min="11269" max="11269"/>
    <col width="9.28515625" customWidth="1" style="22" min="11270" max="11270"/>
    <col width="7.28515625" customWidth="1" style="22" min="11271" max="11271"/>
    <col width="7.7109375" customWidth="1" style="22" min="11272" max="11272"/>
    <col width="8.28515625" customWidth="1" style="22" min="11273" max="11273"/>
    <col width="8.85546875" customWidth="1" style="22" min="11274" max="11274"/>
    <col width="7.85546875" customWidth="1" style="22" min="11275" max="11276"/>
    <col width="15.140625" customWidth="1" style="22" min="11277" max="11277"/>
    <col width="11.5703125" customWidth="1" style="22" min="11278" max="11278"/>
    <col width="7.5703125" customWidth="1" style="22" min="11279" max="11279"/>
    <col width="6.85546875" customWidth="1" style="22" min="11280" max="11280"/>
    <col width="9.140625" customWidth="1" style="22" min="11281" max="11281"/>
    <col width="9.42578125" customWidth="1" style="22" min="11282" max="11282"/>
    <col width="10" customWidth="1" style="22" min="11283" max="11284"/>
    <col width="7.7109375" customWidth="1" style="22" min="11285" max="11285"/>
    <col width="14.85546875" customWidth="1" style="22" min="11286" max="11286"/>
    <col width="10.42578125" customWidth="1" style="22" min="11287" max="11287"/>
    <col width="7.7109375" customWidth="1" style="22" min="11288" max="11288"/>
    <col width="4.42578125" customWidth="1" style="22" min="11289" max="11289"/>
    <col width="8" customWidth="1" style="22" min="11290" max="11290"/>
    <col width="9" customWidth="1" style="22" min="11291" max="11291"/>
    <col width="3" customWidth="1" style="22" min="11292" max="11292"/>
    <col width="10" customWidth="1" style="22" min="11293" max="11293"/>
    <col width="8" customWidth="1" style="22" min="11294" max="11294"/>
    <col width="10.85546875" customWidth="1" style="22" min="11295" max="11295"/>
    <col width="9.5703125" customWidth="1" style="22" min="11296" max="11296"/>
    <col width="9.85546875" customWidth="1" style="22" min="11297" max="11297"/>
    <col width="10.140625" customWidth="1" style="22" min="11298" max="11298"/>
    <col width="10.5703125" customWidth="1" style="22" min="11299" max="11299"/>
    <col width="8" customWidth="1" style="22" min="11300" max="11300"/>
    <col width="0.85546875" customWidth="1" style="22" min="11301" max="11520"/>
    <col width="5.7109375" bestFit="1" customWidth="1" style="22" min="11521" max="11521"/>
    <col width="23.42578125" customWidth="1" style="22" min="11522" max="11522"/>
    <col width="6.140625" customWidth="1" style="22" min="11523" max="11524"/>
    <col width="6.28515625" customWidth="1" style="22" min="11525" max="11525"/>
    <col width="9.28515625" customWidth="1" style="22" min="11526" max="11526"/>
    <col width="7.28515625" customWidth="1" style="22" min="11527" max="11527"/>
    <col width="7.7109375" customWidth="1" style="22" min="11528" max="11528"/>
    <col width="8.28515625" customWidth="1" style="22" min="11529" max="11529"/>
    <col width="8.85546875" customWidth="1" style="22" min="11530" max="11530"/>
    <col width="7.85546875" customWidth="1" style="22" min="11531" max="11532"/>
    <col width="15.140625" customWidth="1" style="22" min="11533" max="11533"/>
    <col width="11.5703125" customWidth="1" style="22" min="11534" max="11534"/>
    <col width="7.5703125" customWidth="1" style="22" min="11535" max="11535"/>
    <col width="6.85546875" customWidth="1" style="22" min="11536" max="11536"/>
    <col width="9.140625" customWidth="1" style="22" min="11537" max="11537"/>
    <col width="9.42578125" customWidth="1" style="22" min="11538" max="11538"/>
    <col width="10" customWidth="1" style="22" min="11539" max="11540"/>
    <col width="7.7109375" customWidth="1" style="22" min="11541" max="11541"/>
    <col width="14.85546875" customWidth="1" style="22" min="11542" max="11542"/>
    <col width="10.42578125" customWidth="1" style="22" min="11543" max="11543"/>
    <col width="7.7109375" customWidth="1" style="22" min="11544" max="11544"/>
    <col width="4.42578125" customWidth="1" style="22" min="11545" max="11545"/>
    <col width="8" customWidth="1" style="22" min="11546" max="11546"/>
    <col width="9" customWidth="1" style="22" min="11547" max="11547"/>
    <col width="3" customWidth="1" style="22" min="11548" max="11548"/>
    <col width="10" customWidth="1" style="22" min="11549" max="11549"/>
    <col width="8" customWidth="1" style="22" min="11550" max="11550"/>
    <col width="10.85546875" customWidth="1" style="22" min="11551" max="11551"/>
    <col width="9.5703125" customWidth="1" style="22" min="11552" max="11552"/>
    <col width="9.85546875" customWidth="1" style="22" min="11553" max="11553"/>
    <col width="10.140625" customWidth="1" style="22" min="11554" max="11554"/>
    <col width="10.5703125" customWidth="1" style="22" min="11555" max="11555"/>
    <col width="8" customWidth="1" style="22" min="11556" max="11556"/>
    <col width="0.85546875" customWidth="1" style="22" min="11557" max="11776"/>
    <col width="5.7109375" bestFit="1" customWidth="1" style="22" min="11777" max="11777"/>
    <col width="23.42578125" customWidth="1" style="22" min="11778" max="11778"/>
    <col width="6.140625" customWidth="1" style="22" min="11779" max="11780"/>
    <col width="6.28515625" customWidth="1" style="22" min="11781" max="11781"/>
    <col width="9.28515625" customWidth="1" style="22" min="11782" max="11782"/>
    <col width="7.28515625" customWidth="1" style="22" min="11783" max="11783"/>
    <col width="7.7109375" customWidth="1" style="22" min="11784" max="11784"/>
    <col width="8.28515625" customWidth="1" style="22" min="11785" max="11785"/>
    <col width="8.85546875" customWidth="1" style="22" min="11786" max="11786"/>
    <col width="7.85546875" customWidth="1" style="22" min="11787" max="11788"/>
    <col width="15.140625" customWidth="1" style="22" min="11789" max="11789"/>
    <col width="11.5703125" customWidth="1" style="22" min="11790" max="11790"/>
    <col width="7.5703125" customWidth="1" style="22" min="11791" max="11791"/>
    <col width="6.85546875" customWidth="1" style="22" min="11792" max="11792"/>
    <col width="9.140625" customWidth="1" style="22" min="11793" max="11793"/>
    <col width="9.42578125" customWidth="1" style="22" min="11794" max="11794"/>
    <col width="10" customWidth="1" style="22" min="11795" max="11796"/>
    <col width="7.7109375" customWidth="1" style="22" min="11797" max="11797"/>
    <col width="14.85546875" customWidth="1" style="22" min="11798" max="11798"/>
    <col width="10.42578125" customWidth="1" style="22" min="11799" max="11799"/>
    <col width="7.7109375" customWidth="1" style="22" min="11800" max="11800"/>
    <col width="4.42578125" customWidth="1" style="22" min="11801" max="11801"/>
    <col width="8" customWidth="1" style="22" min="11802" max="11802"/>
    <col width="9" customWidth="1" style="22" min="11803" max="11803"/>
    <col width="3" customWidth="1" style="22" min="11804" max="11804"/>
    <col width="10" customWidth="1" style="22" min="11805" max="11805"/>
    <col width="8" customWidth="1" style="22" min="11806" max="11806"/>
    <col width="10.85546875" customWidth="1" style="22" min="11807" max="11807"/>
    <col width="9.5703125" customWidth="1" style="22" min="11808" max="11808"/>
    <col width="9.85546875" customWidth="1" style="22" min="11809" max="11809"/>
    <col width="10.140625" customWidth="1" style="22" min="11810" max="11810"/>
    <col width="10.5703125" customWidth="1" style="22" min="11811" max="11811"/>
    <col width="8" customWidth="1" style="22" min="11812" max="11812"/>
    <col width="0.85546875" customWidth="1" style="22" min="11813" max="12032"/>
    <col width="5.7109375" bestFit="1" customWidth="1" style="22" min="12033" max="12033"/>
    <col width="23.42578125" customWidth="1" style="22" min="12034" max="12034"/>
    <col width="6.140625" customWidth="1" style="22" min="12035" max="12036"/>
    <col width="6.28515625" customWidth="1" style="22" min="12037" max="12037"/>
    <col width="9.28515625" customWidth="1" style="22" min="12038" max="12038"/>
    <col width="7.28515625" customWidth="1" style="22" min="12039" max="12039"/>
    <col width="7.7109375" customWidth="1" style="22" min="12040" max="12040"/>
    <col width="8.28515625" customWidth="1" style="22" min="12041" max="12041"/>
    <col width="8.85546875" customWidth="1" style="22" min="12042" max="12042"/>
    <col width="7.85546875" customWidth="1" style="22" min="12043" max="12044"/>
    <col width="15.140625" customWidth="1" style="22" min="12045" max="12045"/>
    <col width="11.5703125" customWidth="1" style="22" min="12046" max="12046"/>
    <col width="7.5703125" customWidth="1" style="22" min="12047" max="12047"/>
    <col width="6.85546875" customWidth="1" style="22" min="12048" max="12048"/>
    <col width="9.140625" customWidth="1" style="22" min="12049" max="12049"/>
    <col width="9.42578125" customWidth="1" style="22" min="12050" max="12050"/>
    <col width="10" customWidth="1" style="22" min="12051" max="12052"/>
    <col width="7.7109375" customWidth="1" style="22" min="12053" max="12053"/>
    <col width="14.85546875" customWidth="1" style="22" min="12054" max="12054"/>
    <col width="10.42578125" customWidth="1" style="22" min="12055" max="12055"/>
    <col width="7.7109375" customWidth="1" style="22" min="12056" max="12056"/>
    <col width="4.42578125" customWidth="1" style="22" min="12057" max="12057"/>
    <col width="8" customWidth="1" style="22" min="12058" max="12058"/>
    <col width="9" customWidth="1" style="22" min="12059" max="12059"/>
    <col width="3" customWidth="1" style="22" min="12060" max="12060"/>
    <col width="10" customWidth="1" style="22" min="12061" max="12061"/>
    <col width="8" customWidth="1" style="22" min="12062" max="12062"/>
    <col width="10.85546875" customWidth="1" style="22" min="12063" max="12063"/>
    <col width="9.5703125" customWidth="1" style="22" min="12064" max="12064"/>
    <col width="9.85546875" customWidth="1" style="22" min="12065" max="12065"/>
    <col width="10.140625" customWidth="1" style="22" min="12066" max="12066"/>
    <col width="10.5703125" customWidth="1" style="22" min="12067" max="12067"/>
    <col width="8" customWidth="1" style="22" min="12068" max="12068"/>
    <col width="0.85546875" customWidth="1" style="22" min="12069" max="12288"/>
    <col width="5.7109375" bestFit="1" customWidth="1" style="22" min="12289" max="12289"/>
    <col width="23.42578125" customWidth="1" style="22" min="12290" max="12290"/>
    <col width="6.140625" customWidth="1" style="22" min="12291" max="12292"/>
    <col width="6.28515625" customWidth="1" style="22" min="12293" max="12293"/>
    <col width="9.28515625" customWidth="1" style="22" min="12294" max="12294"/>
    <col width="7.28515625" customWidth="1" style="22" min="12295" max="12295"/>
    <col width="7.7109375" customWidth="1" style="22" min="12296" max="12296"/>
    <col width="8.28515625" customWidth="1" style="22" min="12297" max="12297"/>
    <col width="8.85546875" customWidth="1" style="22" min="12298" max="12298"/>
    <col width="7.85546875" customWidth="1" style="22" min="12299" max="12300"/>
    <col width="15.140625" customWidth="1" style="22" min="12301" max="12301"/>
    <col width="11.5703125" customWidth="1" style="22" min="12302" max="12302"/>
    <col width="7.5703125" customWidth="1" style="22" min="12303" max="12303"/>
    <col width="6.85546875" customWidth="1" style="22" min="12304" max="12304"/>
    <col width="9.140625" customWidth="1" style="22" min="12305" max="12305"/>
    <col width="9.42578125" customWidth="1" style="22" min="12306" max="12306"/>
    <col width="10" customWidth="1" style="22" min="12307" max="12308"/>
    <col width="7.7109375" customWidth="1" style="22" min="12309" max="12309"/>
    <col width="14.85546875" customWidth="1" style="22" min="12310" max="12310"/>
    <col width="10.42578125" customWidth="1" style="22" min="12311" max="12311"/>
    <col width="7.7109375" customWidth="1" style="22" min="12312" max="12312"/>
    <col width="4.42578125" customWidth="1" style="22" min="12313" max="12313"/>
    <col width="8" customWidth="1" style="22" min="12314" max="12314"/>
    <col width="9" customWidth="1" style="22" min="12315" max="12315"/>
    <col width="3" customWidth="1" style="22" min="12316" max="12316"/>
    <col width="10" customWidth="1" style="22" min="12317" max="12317"/>
    <col width="8" customWidth="1" style="22" min="12318" max="12318"/>
    <col width="10.85546875" customWidth="1" style="22" min="12319" max="12319"/>
    <col width="9.5703125" customWidth="1" style="22" min="12320" max="12320"/>
    <col width="9.85546875" customWidth="1" style="22" min="12321" max="12321"/>
    <col width="10.140625" customWidth="1" style="22" min="12322" max="12322"/>
    <col width="10.5703125" customWidth="1" style="22" min="12323" max="12323"/>
    <col width="8" customWidth="1" style="22" min="12324" max="12324"/>
    <col width="0.85546875" customWidth="1" style="22" min="12325" max="12544"/>
    <col width="5.7109375" bestFit="1" customWidth="1" style="22" min="12545" max="12545"/>
    <col width="23.42578125" customWidth="1" style="22" min="12546" max="12546"/>
    <col width="6.140625" customWidth="1" style="22" min="12547" max="12548"/>
    <col width="6.28515625" customWidth="1" style="22" min="12549" max="12549"/>
    <col width="9.28515625" customWidth="1" style="22" min="12550" max="12550"/>
    <col width="7.28515625" customWidth="1" style="22" min="12551" max="12551"/>
    <col width="7.7109375" customWidth="1" style="22" min="12552" max="12552"/>
    <col width="8.28515625" customWidth="1" style="22" min="12553" max="12553"/>
    <col width="8.85546875" customWidth="1" style="22" min="12554" max="12554"/>
    <col width="7.85546875" customWidth="1" style="22" min="12555" max="12556"/>
    <col width="15.140625" customWidth="1" style="22" min="12557" max="12557"/>
    <col width="11.5703125" customWidth="1" style="22" min="12558" max="12558"/>
    <col width="7.5703125" customWidth="1" style="22" min="12559" max="12559"/>
    <col width="6.85546875" customWidth="1" style="22" min="12560" max="12560"/>
    <col width="9.140625" customWidth="1" style="22" min="12561" max="12561"/>
    <col width="9.42578125" customWidth="1" style="22" min="12562" max="12562"/>
    <col width="10" customWidth="1" style="22" min="12563" max="12564"/>
    <col width="7.7109375" customWidth="1" style="22" min="12565" max="12565"/>
    <col width="14.85546875" customWidth="1" style="22" min="12566" max="12566"/>
    <col width="10.42578125" customWidth="1" style="22" min="12567" max="12567"/>
    <col width="7.7109375" customWidth="1" style="22" min="12568" max="12568"/>
    <col width="4.42578125" customWidth="1" style="22" min="12569" max="12569"/>
    <col width="8" customWidth="1" style="22" min="12570" max="12570"/>
    <col width="9" customWidth="1" style="22" min="12571" max="12571"/>
    <col width="3" customWidth="1" style="22" min="12572" max="12572"/>
    <col width="10" customWidth="1" style="22" min="12573" max="12573"/>
    <col width="8" customWidth="1" style="22" min="12574" max="12574"/>
    <col width="10.85546875" customWidth="1" style="22" min="12575" max="12575"/>
    <col width="9.5703125" customWidth="1" style="22" min="12576" max="12576"/>
    <col width="9.85546875" customWidth="1" style="22" min="12577" max="12577"/>
    <col width="10.140625" customWidth="1" style="22" min="12578" max="12578"/>
    <col width="10.5703125" customWidth="1" style="22" min="12579" max="12579"/>
    <col width="8" customWidth="1" style="22" min="12580" max="12580"/>
    <col width="0.85546875" customWidth="1" style="22" min="12581" max="12800"/>
    <col width="5.7109375" bestFit="1" customWidth="1" style="22" min="12801" max="12801"/>
    <col width="23.42578125" customWidth="1" style="22" min="12802" max="12802"/>
    <col width="6.140625" customWidth="1" style="22" min="12803" max="12804"/>
    <col width="6.28515625" customWidth="1" style="22" min="12805" max="12805"/>
    <col width="9.28515625" customWidth="1" style="22" min="12806" max="12806"/>
    <col width="7.28515625" customWidth="1" style="22" min="12807" max="12807"/>
    <col width="7.7109375" customWidth="1" style="22" min="12808" max="12808"/>
    <col width="8.28515625" customWidth="1" style="22" min="12809" max="12809"/>
    <col width="8.85546875" customWidth="1" style="22" min="12810" max="12810"/>
    <col width="7.85546875" customWidth="1" style="22" min="12811" max="12812"/>
    <col width="15.140625" customWidth="1" style="22" min="12813" max="12813"/>
    <col width="11.5703125" customWidth="1" style="22" min="12814" max="12814"/>
    <col width="7.5703125" customWidth="1" style="22" min="12815" max="12815"/>
    <col width="6.85546875" customWidth="1" style="22" min="12816" max="12816"/>
    <col width="9.140625" customWidth="1" style="22" min="12817" max="12817"/>
    <col width="9.42578125" customWidth="1" style="22" min="12818" max="12818"/>
    <col width="10" customWidth="1" style="22" min="12819" max="12820"/>
    <col width="7.7109375" customWidth="1" style="22" min="12821" max="12821"/>
    <col width="14.85546875" customWidth="1" style="22" min="12822" max="12822"/>
    <col width="10.42578125" customWidth="1" style="22" min="12823" max="12823"/>
    <col width="7.7109375" customWidth="1" style="22" min="12824" max="12824"/>
    <col width="4.42578125" customWidth="1" style="22" min="12825" max="12825"/>
    <col width="8" customWidth="1" style="22" min="12826" max="12826"/>
    <col width="9" customWidth="1" style="22" min="12827" max="12827"/>
    <col width="3" customWidth="1" style="22" min="12828" max="12828"/>
    <col width="10" customWidth="1" style="22" min="12829" max="12829"/>
    <col width="8" customWidth="1" style="22" min="12830" max="12830"/>
    <col width="10.85546875" customWidth="1" style="22" min="12831" max="12831"/>
    <col width="9.5703125" customWidth="1" style="22" min="12832" max="12832"/>
    <col width="9.85546875" customWidth="1" style="22" min="12833" max="12833"/>
    <col width="10.140625" customWidth="1" style="22" min="12834" max="12834"/>
    <col width="10.5703125" customWidth="1" style="22" min="12835" max="12835"/>
    <col width="8" customWidth="1" style="22" min="12836" max="12836"/>
    <col width="0.85546875" customWidth="1" style="22" min="12837" max="13056"/>
    <col width="5.7109375" bestFit="1" customWidth="1" style="22" min="13057" max="13057"/>
    <col width="23.42578125" customWidth="1" style="22" min="13058" max="13058"/>
    <col width="6.140625" customWidth="1" style="22" min="13059" max="13060"/>
    <col width="6.28515625" customWidth="1" style="22" min="13061" max="13061"/>
    <col width="9.28515625" customWidth="1" style="22" min="13062" max="13062"/>
    <col width="7.28515625" customWidth="1" style="22" min="13063" max="13063"/>
    <col width="7.7109375" customWidth="1" style="22" min="13064" max="13064"/>
    <col width="8.28515625" customWidth="1" style="22" min="13065" max="13065"/>
    <col width="8.85546875" customWidth="1" style="22" min="13066" max="13066"/>
    <col width="7.85546875" customWidth="1" style="22" min="13067" max="13068"/>
    <col width="15.140625" customWidth="1" style="22" min="13069" max="13069"/>
    <col width="11.5703125" customWidth="1" style="22" min="13070" max="13070"/>
    <col width="7.5703125" customWidth="1" style="22" min="13071" max="13071"/>
    <col width="6.85546875" customWidth="1" style="22" min="13072" max="13072"/>
    <col width="9.140625" customWidth="1" style="22" min="13073" max="13073"/>
    <col width="9.42578125" customWidth="1" style="22" min="13074" max="13074"/>
    <col width="10" customWidth="1" style="22" min="13075" max="13076"/>
    <col width="7.7109375" customWidth="1" style="22" min="13077" max="13077"/>
    <col width="14.85546875" customWidth="1" style="22" min="13078" max="13078"/>
    <col width="10.42578125" customWidth="1" style="22" min="13079" max="13079"/>
    <col width="7.7109375" customWidth="1" style="22" min="13080" max="13080"/>
    <col width="4.42578125" customWidth="1" style="22" min="13081" max="13081"/>
    <col width="8" customWidth="1" style="22" min="13082" max="13082"/>
    <col width="9" customWidth="1" style="22" min="13083" max="13083"/>
    <col width="3" customWidth="1" style="22" min="13084" max="13084"/>
    <col width="10" customWidth="1" style="22" min="13085" max="13085"/>
    <col width="8" customWidth="1" style="22" min="13086" max="13086"/>
    <col width="10.85546875" customWidth="1" style="22" min="13087" max="13087"/>
    <col width="9.5703125" customWidth="1" style="22" min="13088" max="13088"/>
    <col width="9.85546875" customWidth="1" style="22" min="13089" max="13089"/>
    <col width="10.140625" customWidth="1" style="22" min="13090" max="13090"/>
    <col width="10.5703125" customWidth="1" style="22" min="13091" max="13091"/>
    <col width="8" customWidth="1" style="22" min="13092" max="13092"/>
    <col width="0.85546875" customWidth="1" style="22" min="13093" max="13312"/>
    <col width="5.7109375" bestFit="1" customWidth="1" style="22" min="13313" max="13313"/>
    <col width="23.42578125" customWidth="1" style="22" min="13314" max="13314"/>
    <col width="6.140625" customWidth="1" style="22" min="13315" max="13316"/>
    <col width="6.28515625" customWidth="1" style="22" min="13317" max="13317"/>
    <col width="9.28515625" customWidth="1" style="22" min="13318" max="13318"/>
    <col width="7.28515625" customWidth="1" style="22" min="13319" max="13319"/>
    <col width="7.7109375" customWidth="1" style="22" min="13320" max="13320"/>
    <col width="8.28515625" customWidth="1" style="22" min="13321" max="13321"/>
    <col width="8.85546875" customWidth="1" style="22" min="13322" max="13322"/>
    <col width="7.85546875" customWidth="1" style="22" min="13323" max="13324"/>
    <col width="15.140625" customWidth="1" style="22" min="13325" max="13325"/>
    <col width="11.5703125" customWidth="1" style="22" min="13326" max="13326"/>
    <col width="7.5703125" customWidth="1" style="22" min="13327" max="13327"/>
    <col width="6.85546875" customWidth="1" style="22" min="13328" max="13328"/>
    <col width="9.140625" customWidth="1" style="22" min="13329" max="13329"/>
    <col width="9.42578125" customWidth="1" style="22" min="13330" max="13330"/>
    <col width="10" customWidth="1" style="22" min="13331" max="13332"/>
    <col width="7.7109375" customWidth="1" style="22" min="13333" max="13333"/>
    <col width="14.85546875" customWidth="1" style="22" min="13334" max="13334"/>
    <col width="10.42578125" customWidth="1" style="22" min="13335" max="13335"/>
    <col width="7.7109375" customWidth="1" style="22" min="13336" max="13336"/>
    <col width="4.42578125" customWidth="1" style="22" min="13337" max="13337"/>
    <col width="8" customWidth="1" style="22" min="13338" max="13338"/>
    <col width="9" customWidth="1" style="22" min="13339" max="13339"/>
    <col width="3" customWidth="1" style="22" min="13340" max="13340"/>
    <col width="10" customWidth="1" style="22" min="13341" max="13341"/>
    <col width="8" customWidth="1" style="22" min="13342" max="13342"/>
    <col width="10.85546875" customWidth="1" style="22" min="13343" max="13343"/>
    <col width="9.5703125" customWidth="1" style="22" min="13344" max="13344"/>
    <col width="9.85546875" customWidth="1" style="22" min="13345" max="13345"/>
    <col width="10.140625" customWidth="1" style="22" min="13346" max="13346"/>
    <col width="10.5703125" customWidth="1" style="22" min="13347" max="13347"/>
    <col width="8" customWidth="1" style="22" min="13348" max="13348"/>
    <col width="0.85546875" customWidth="1" style="22" min="13349" max="13568"/>
    <col width="5.7109375" bestFit="1" customWidth="1" style="22" min="13569" max="13569"/>
    <col width="23.42578125" customWidth="1" style="22" min="13570" max="13570"/>
    <col width="6.140625" customWidth="1" style="22" min="13571" max="13572"/>
    <col width="6.28515625" customWidth="1" style="22" min="13573" max="13573"/>
    <col width="9.28515625" customWidth="1" style="22" min="13574" max="13574"/>
    <col width="7.28515625" customWidth="1" style="22" min="13575" max="13575"/>
    <col width="7.7109375" customWidth="1" style="22" min="13576" max="13576"/>
    <col width="8.28515625" customWidth="1" style="22" min="13577" max="13577"/>
    <col width="8.85546875" customWidth="1" style="22" min="13578" max="13578"/>
    <col width="7.85546875" customWidth="1" style="22" min="13579" max="13580"/>
    <col width="15.140625" customWidth="1" style="22" min="13581" max="13581"/>
    <col width="11.5703125" customWidth="1" style="22" min="13582" max="13582"/>
    <col width="7.5703125" customWidth="1" style="22" min="13583" max="13583"/>
    <col width="6.85546875" customWidth="1" style="22" min="13584" max="13584"/>
    <col width="9.140625" customWidth="1" style="22" min="13585" max="13585"/>
    <col width="9.42578125" customWidth="1" style="22" min="13586" max="13586"/>
    <col width="10" customWidth="1" style="22" min="13587" max="13588"/>
    <col width="7.7109375" customWidth="1" style="22" min="13589" max="13589"/>
    <col width="14.85546875" customWidth="1" style="22" min="13590" max="13590"/>
    <col width="10.42578125" customWidth="1" style="22" min="13591" max="13591"/>
    <col width="7.7109375" customWidth="1" style="22" min="13592" max="13592"/>
    <col width="4.42578125" customWidth="1" style="22" min="13593" max="13593"/>
    <col width="8" customWidth="1" style="22" min="13594" max="13594"/>
    <col width="9" customWidth="1" style="22" min="13595" max="13595"/>
    <col width="3" customWidth="1" style="22" min="13596" max="13596"/>
    <col width="10" customWidth="1" style="22" min="13597" max="13597"/>
    <col width="8" customWidth="1" style="22" min="13598" max="13598"/>
    <col width="10.85546875" customWidth="1" style="22" min="13599" max="13599"/>
    <col width="9.5703125" customWidth="1" style="22" min="13600" max="13600"/>
    <col width="9.85546875" customWidth="1" style="22" min="13601" max="13601"/>
    <col width="10.140625" customWidth="1" style="22" min="13602" max="13602"/>
    <col width="10.5703125" customWidth="1" style="22" min="13603" max="13603"/>
    <col width="8" customWidth="1" style="22" min="13604" max="13604"/>
    <col width="0.85546875" customWidth="1" style="22" min="13605" max="13824"/>
    <col width="5.7109375" bestFit="1" customWidth="1" style="22" min="13825" max="13825"/>
    <col width="23.42578125" customWidth="1" style="22" min="13826" max="13826"/>
    <col width="6.140625" customWidth="1" style="22" min="13827" max="13828"/>
    <col width="6.28515625" customWidth="1" style="22" min="13829" max="13829"/>
    <col width="9.28515625" customWidth="1" style="22" min="13830" max="13830"/>
    <col width="7.28515625" customWidth="1" style="22" min="13831" max="13831"/>
    <col width="7.7109375" customWidth="1" style="22" min="13832" max="13832"/>
    <col width="8.28515625" customWidth="1" style="22" min="13833" max="13833"/>
    <col width="8.85546875" customWidth="1" style="22" min="13834" max="13834"/>
    <col width="7.85546875" customWidth="1" style="22" min="13835" max="13836"/>
    <col width="15.140625" customWidth="1" style="22" min="13837" max="13837"/>
    <col width="11.5703125" customWidth="1" style="22" min="13838" max="13838"/>
    <col width="7.5703125" customWidth="1" style="22" min="13839" max="13839"/>
    <col width="6.85546875" customWidth="1" style="22" min="13840" max="13840"/>
    <col width="9.140625" customWidth="1" style="22" min="13841" max="13841"/>
    <col width="9.42578125" customWidth="1" style="22" min="13842" max="13842"/>
    <col width="10" customWidth="1" style="22" min="13843" max="13844"/>
    <col width="7.7109375" customWidth="1" style="22" min="13845" max="13845"/>
    <col width="14.85546875" customWidth="1" style="22" min="13846" max="13846"/>
    <col width="10.42578125" customWidth="1" style="22" min="13847" max="13847"/>
    <col width="7.7109375" customWidth="1" style="22" min="13848" max="13848"/>
    <col width="4.42578125" customWidth="1" style="22" min="13849" max="13849"/>
    <col width="8" customWidth="1" style="22" min="13850" max="13850"/>
    <col width="9" customWidth="1" style="22" min="13851" max="13851"/>
    <col width="3" customWidth="1" style="22" min="13852" max="13852"/>
    <col width="10" customWidth="1" style="22" min="13853" max="13853"/>
    <col width="8" customWidth="1" style="22" min="13854" max="13854"/>
    <col width="10.85546875" customWidth="1" style="22" min="13855" max="13855"/>
    <col width="9.5703125" customWidth="1" style="22" min="13856" max="13856"/>
    <col width="9.85546875" customWidth="1" style="22" min="13857" max="13857"/>
    <col width="10.140625" customWidth="1" style="22" min="13858" max="13858"/>
    <col width="10.5703125" customWidth="1" style="22" min="13859" max="13859"/>
    <col width="8" customWidth="1" style="22" min="13860" max="13860"/>
    <col width="0.85546875" customWidth="1" style="22" min="13861" max="14080"/>
    <col width="5.7109375" bestFit="1" customWidth="1" style="22" min="14081" max="14081"/>
    <col width="23.42578125" customWidth="1" style="22" min="14082" max="14082"/>
    <col width="6.140625" customWidth="1" style="22" min="14083" max="14084"/>
    <col width="6.28515625" customWidth="1" style="22" min="14085" max="14085"/>
    <col width="9.28515625" customWidth="1" style="22" min="14086" max="14086"/>
    <col width="7.28515625" customWidth="1" style="22" min="14087" max="14087"/>
    <col width="7.7109375" customWidth="1" style="22" min="14088" max="14088"/>
    <col width="8.28515625" customWidth="1" style="22" min="14089" max="14089"/>
    <col width="8.85546875" customWidth="1" style="22" min="14090" max="14090"/>
    <col width="7.85546875" customWidth="1" style="22" min="14091" max="14092"/>
    <col width="15.140625" customWidth="1" style="22" min="14093" max="14093"/>
    <col width="11.5703125" customWidth="1" style="22" min="14094" max="14094"/>
    <col width="7.5703125" customWidth="1" style="22" min="14095" max="14095"/>
    <col width="6.85546875" customWidth="1" style="22" min="14096" max="14096"/>
    <col width="9.140625" customWidth="1" style="22" min="14097" max="14097"/>
    <col width="9.42578125" customWidth="1" style="22" min="14098" max="14098"/>
    <col width="10" customWidth="1" style="22" min="14099" max="14100"/>
    <col width="7.7109375" customWidth="1" style="22" min="14101" max="14101"/>
    <col width="14.85546875" customWidth="1" style="22" min="14102" max="14102"/>
    <col width="10.42578125" customWidth="1" style="22" min="14103" max="14103"/>
    <col width="7.7109375" customWidth="1" style="22" min="14104" max="14104"/>
    <col width="4.42578125" customWidth="1" style="22" min="14105" max="14105"/>
    <col width="8" customWidth="1" style="22" min="14106" max="14106"/>
    <col width="9" customWidth="1" style="22" min="14107" max="14107"/>
    <col width="3" customWidth="1" style="22" min="14108" max="14108"/>
    <col width="10" customWidth="1" style="22" min="14109" max="14109"/>
    <col width="8" customWidth="1" style="22" min="14110" max="14110"/>
    <col width="10.85546875" customWidth="1" style="22" min="14111" max="14111"/>
    <col width="9.5703125" customWidth="1" style="22" min="14112" max="14112"/>
    <col width="9.85546875" customWidth="1" style="22" min="14113" max="14113"/>
    <col width="10.140625" customWidth="1" style="22" min="14114" max="14114"/>
    <col width="10.5703125" customWidth="1" style="22" min="14115" max="14115"/>
    <col width="8" customWidth="1" style="22" min="14116" max="14116"/>
    <col width="0.85546875" customWidth="1" style="22" min="14117" max="14336"/>
    <col width="5.7109375" bestFit="1" customWidth="1" style="22" min="14337" max="14337"/>
    <col width="23.42578125" customWidth="1" style="22" min="14338" max="14338"/>
    <col width="6.140625" customWidth="1" style="22" min="14339" max="14340"/>
    <col width="6.28515625" customWidth="1" style="22" min="14341" max="14341"/>
    <col width="9.28515625" customWidth="1" style="22" min="14342" max="14342"/>
    <col width="7.28515625" customWidth="1" style="22" min="14343" max="14343"/>
    <col width="7.7109375" customWidth="1" style="22" min="14344" max="14344"/>
    <col width="8.28515625" customWidth="1" style="22" min="14345" max="14345"/>
    <col width="8.85546875" customWidth="1" style="22" min="14346" max="14346"/>
    <col width="7.85546875" customWidth="1" style="22" min="14347" max="14348"/>
    <col width="15.140625" customWidth="1" style="22" min="14349" max="14349"/>
    <col width="11.5703125" customWidth="1" style="22" min="14350" max="14350"/>
    <col width="7.5703125" customWidth="1" style="22" min="14351" max="14351"/>
    <col width="6.85546875" customWidth="1" style="22" min="14352" max="14352"/>
    <col width="9.140625" customWidth="1" style="22" min="14353" max="14353"/>
    <col width="9.42578125" customWidth="1" style="22" min="14354" max="14354"/>
    <col width="10" customWidth="1" style="22" min="14355" max="14356"/>
    <col width="7.7109375" customWidth="1" style="22" min="14357" max="14357"/>
    <col width="14.85546875" customWidth="1" style="22" min="14358" max="14358"/>
    <col width="10.42578125" customWidth="1" style="22" min="14359" max="14359"/>
    <col width="7.7109375" customWidth="1" style="22" min="14360" max="14360"/>
    <col width="4.42578125" customWidth="1" style="22" min="14361" max="14361"/>
    <col width="8" customWidth="1" style="22" min="14362" max="14362"/>
    <col width="9" customWidth="1" style="22" min="14363" max="14363"/>
    <col width="3" customWidth="1" style="22" min="14364" max="14364"/>
    <col width="10" customWidth="1" style="22" min="14365" max="14365"/>
    <col width="8" customWidth="1" style="22" min="14366" max="14366"/>
    <col width="10.85546875" customWidth="1" style="22" min="14367" max="14367"/>
    <col width="9.5703125" customWidth="1" style="22" min="14368" max="14368"/>
    <col width="9.85546875" customWidth="1" style="22" min="14369" max="14369"/>
    <col width="10.140625" customWidth="1" style="22" min="14370" max="14370"/>
    <col width="10.5703125" customWidth="1" style="22" min="14371" max="14371"/>
    <col width="8" customWidth="1" style="22" min="14372" max="14372"/>
    <col width="0.85546875" customWidth="1" style="22" min="14373" max="14592"/>
    <col width="5.7109375" bestFit="1" customWidth="1" style="22" min="14593" max="14593"/>
    <col width="23.42578125" customWidth="1" style="22" min="14594" max="14594"/>
    <col width="6.140625" customWidth="1" style="22" min="14595" max="14596"/>
    <col width="6.28515625" customWidth="1" style="22" min="14597" max="14597"/>
    <col width="9.28515625" customWidth="1" style="22" min="14598" max="14598"/>
    <col width="7.28515625" customWidth="1" style="22" min="14599" max="14599"/>
    <col width="7.7109375" customWidth="1" style="22" min="14600" max="14600"/>
    <col width="8.28515625" customWidth="1" style="22" min="14601" max="14601"/>
    <col width="8.85546875" customWidth="1" style="22" min="14602" max="14602"/>
    <col width="7.85546875" customWidth="1" style="22" min="14603" max="14604"/>
    <col width="15.140625" customWidth="1" style="22" min="14605" max="14605"/>
    <col width="11.5703125" customWidth="1" style="22" min="14606" max="14606"/>
    <col width="7.5703125" customWidth="1" style="22" min="14607" max="14607"/>
    <col width="6.85546875" customWidth="1" style="22" min="14608" max="14608"/>
    <col width="9.140625" customWidth="1" style="22" min="14609" max="14609"/>
    <col width="9.42578125" customWidth="1" style="22" min="14610" max="14610"/>
    <col width="10" customWidth="1" style="22" min="14611" max="14612"/>
    <col width="7.7109375" customWidth="1" style="22" min="14613" max="14613"/>
    <col width="14.85546875" customWidth="1" style="22" min="14614" max="14614"/>
    <col width="10.42578125" customWidth="1" style="22" min="14615" max="14615"/>
    <col width="7.7109375" customWidth="1" style="22" min="14616" max="14616"/>
    <col width="4.42578125" customWidth="1" style="22" min="14617" max="14617"/>
    <col width="8" customWidth="1" style="22" min="14618" max="14618"/>
    <col width="9" customWidth="1" style="22" min="14619" max="14619"/>
    <col width="3" customWidth="1" style="22" min="14620" max="14620"/>
    <col width="10" customWidth="1" style="22" min="14621" max="14621"/>
    <col width="8" customWidth="1" style="22" min="14622" max="14622"/>
    <col width="10.85546875" customWidth="1" style="22" min="14623" max="14623"/>
    <col width="9.5703125" customWidth="1" style="22" min="14624" max="14624"/>
    <col width="9.85546875" customWidth="1" style="22" min="14625" max="14625"/>
    <col width="10.140625" customWidth="1" style="22" min="14626" max="14626"/>
    <col width="10.5703125" customWidth="1" style="22" min="14627" max="14627"/>
    <col width="8" customWidth="1" style="22" min="14628" max="14628"/>
    <col width="0.85546875" customWidth="1" style="22" min="14629" max="14848"/>
    <col width="5.7109375" bestFit="1" customWidth="1" style="22" min="14849" max="14849"/>
    <col width="23.42578125" customWidth="1" style="22" min="14850" max="14850"/>
    <col width="6.140625" customWidth="1" style="22" min="14851" max="14852"/>
    <col width="6.28515625" customWidth="1" style="22" min="14853" max="14853"/>
    <col width="9.28515625" customWidth="1" style="22" min="14854" max="14854"/>
    <col width="7.28515625" customWidth="1" style="22" min="14855" max="14855"/>
    <col width="7.7109375" customWidth="1" style="22" min="14856" max="14856"/>
    <col width="8.28515625" customWidth="1" style="22" min="14857" max="14857"/>
    <col width="8.85546875" customWidth="1" style="22" min="14858" max="14858"/>
    <col width="7.85546875" customWidth="1" style="22" min="14859" max="14860"/>
    <col width="15.140625" customWidth="1" style="22" min="14861" max="14861"/>
    <col width="11.5703125" customWidth="1" style="22" min="14862" max="14862"/>
    <col width="7.5703125" customWidth="1" style="22" min="14863" max="14863"/>
    <col width="6.85546875" customWidth="1" style="22" min="14864" max="14864"/>
    <col width="9.140625" customWidth="1" style="22" min="14865" max="14865"/>
    <col width="9.42578125" customWidth="1" style="22" min="14866" max="14866"/>
    <col width="10" customWidth="1" style="22" min="14867" max="14868"/>
    <col width="7.7109375" customWidth="1" style="22" min="14869" max="14869"/>
    <col width="14.85546875" customWidth="1" style="22" min="14870" max="14870"/>
    <col width="10.42578125" customWidth="1" style="22" min="14871" max="14871"/>
    <col width="7.7109375" customWidth="1" style="22" min="14872" max="14872"/>
    <col width="4.42578125" customWidth="1" style="22" min="14873" max="14873"/>
    <col width="8" customWidth="1" style="22" min="14874" max="14874"/>
    <col width="9" customWidth="1" style="22" min="14875" max="14875"/>
    <col width="3" customWidth="1" style="22" min="14876" max="14876"/>
    <col width="10" customWidth="1" style="22" min="14877" max="14877"/>
    <col width="8" customWidth="1" style="22" min="14878" max="14878"/>
    <col width="10.85546875" customWidth="1" style="22" min="14879" max="14879"/>
    <col width="9.5703125" customWidth="1" style="22" min="14880" max="14880"/>
    <col width="9.85546875" customWidth="1" style="22" min="14881" max="14881"/>
    <col width="10.140625" customWidth="1" style="22" min="14882" max="14882"/>
    <col width="10.5703125" customWidth="1" style="22" min="14883" max="14883"/>
    <col width="8" customWidth="1" style="22" min="14884" max="14884"/>
    <col width="0.85546875" customWidth="1" style="22" min="14885" max="15104"/>
    <col width="5.7109375" bestFit="1" customWidth="1" style="22" min="15105" max="15105"/>
    <col width="23.42578125" customWidth="1" style="22" min="15106" max="15106"/>
    <col width="6.140625" customWidth="1" style="22" min="15107" max="15108"/>
    <col width="6.28515625" customWidth="1" style="22" min="15109" max="15109"/>
    <col width="9.28515625" customWidth="1" style="22" min="15110" max="15110"/>
    <col width="7.28515625" customWidth="1" style="22" min="15111" max="15111"/>
    <col width="7.7109375" customWidth="1" style="22" min="15112" max="15112"/>
    <col width="8.28515625" customWidth="1" style="22" min="15113" max="15113"/>
    <col width="8.85546875" customWidth="1" style="22" min="15114" max="15114"/>
    <col width="7.85546875" customWidth="1" style="22" min="15115" max="15116"/>
    <col width="15.140625" customWidth="1" style="22" min="15117" max="15117"/>
    <col width="11.5703125" customWidth="1" style="22" min="15118" max="15118"/>
    <col width="7.5703125" customWidth="1" style="22" min="15119" max="15119"/>
    <col width="6.85546875" customWidth="1" style="22" min="15120" max="15120"/>
    <col width="9.140625" customWidth="1" style="22" min="15121" max="15121"/>
    <col width="9.42578125" customWidth="1" style="22" min="15122" max="15122"/>
    <col width="10" customWidth="1" style="22" min="15123" max="15124"/>
    <col width="7.7109375" customWidth="1" style="22" min="15125" max="15125"/>
    <col width="14.85546875" customWidth="1" style="22" min="15126" max="15126"/>
    <col width="10.42578125" customWidth="1" style="22" min="15127" max="15127"/>
    <col width="7.7109375" customWidth="1" style="22" min="15128" max="15128"/>
    <col width="4.42578125" customWidth="1" style="22" min="15129" max="15129"/>
    <col width="8" customWidth="1" style="22" min="15130" max="15130"/>
    <col width="9" customWidth="1" style="22" min="15131" max="15131"/>
    <col width="3" customWidth="1" style="22" min="15132" max="15132"/>
    <col width="10" customWidth="1" style="22" min="15133" max="15133"/>
    <col width="8" customWidth="1" style="22" min="15134" max="15134"/>
    <col width="10.85546875" customWidth="1" style="22" min="15135" max="15135"/>
    <col width="9.5703125" customWidth="1" style="22" min="15136" max="15136"/>
    <col width="9.85546875" customWidth="1" style="22" min="15137" max="15137"/>
    <col width="10.140625" customWidth="1" style="22" min="15138" max="15138"/>
    <col width="10.5703125" customWidth="1" style="22" min="15139" max="15139"/>
    <col width="8" customWidth="1" style="22" min="15140" max="15140"/>
    <col width="0.85546875" customWidth="1" style="22" min="15141" max="15360"/>
    <col width="5.7109375" bestFit="1" customWidth="1" style="22" min="15361" max="15361"/>
    <col width="23.42578125" customWidth="1" style="22" min="15362" max="15362"/>
    <col width="6.140625" customWidth="1" style="22" min="15363" max="15364"/>
    <col width="6.28515625" customWidth="1" style="22" min="15365" max="15365"/>
    <col width="9.28515625" customWidth="1" style="22" min="15366" max="15366"/>
    <col width="7.28515625" customWidth="1" style="22" min="15367" max="15367"/>
    <col width="7.7109375" customWidth="1" style="22" min="15368" max="15368"/>
    <col width="8.28515625" customWidth="1" style="22" min="15369" max="15369"/>
    <col width="8.85546875" customWidth="1" style="22" min="15370" max="15370"/>
    <col width="7.85546875" customWidth="1" style="22" min="15371" max="15372"/>
    <col width="15.140625" customWidth="1" style="22" min="15373" max="15373"/>
    <col width="11.5703125" customWidth="1" style="22" min="15374" max="15374"/>
    <col width="7.5703125" customWidth="1" style="22" min="15375" max="15375"/>
    <col width="6.85546875" customWidth="1" style="22" min="15376" max="15376"/>
    <col width="9.140625" customWidth="1" style="22" min="15377" max="15377"/>
    <col width="9.42578125" customWidth="1" style="22" min="15378" max="15378"/>
    <col width="10" customWidth="1" style="22" min="15379" max="15380"/>
    <col width="7.7109375" customWidth="1" style="22" min="15381" max="15381"/>
    <col width="14.85546875" customWidth="1" style="22" min="15382" max="15382"/>
    <col width="10.42578125" customWidth="1" style="22" min="15383" max="15383"/>
    <col width="7.7109375" customWidth="1" style="22" min="15384" max="15384"/>
    <col width="4.42578125" customWidth="1" style="22" min="15385" max="15385"/>
    <col width="8" customWidth="1" style="22" min="15386" max="15386"/>
    <col width="9" customWidth="1" style="22" min="15387" max="15387"/>
    <col width="3" customWidth="1" style="22" min="15388" max="15388"/>
    <col width="10" customWidth="1" style="22" min="15389" max="15389"/>
    <col width="8" customWidth="1" style="22" min="15390" max="15390"/>
    <col width="10.85546875" customWidth="1" style="22" min="15391" max="15391"/>
    <col width="9.5703125" customWidth="1" style="22" min="15392" max="15392"/>
    <col width="9.85546875" customWidth="1" style="22" min="15393" max="15393"/>
    <col width="10.140625" customWidth="1" style="22" min="15394" max="15394"/>
    <col width="10.5703125" customWidth="1" style="22" min="15395" max="15395"/>
    <col width="8" customWidth="1" style="22" min="15396" max="15396"/>
    <col width="0.85546875" customWidth="1" style="22" min="15397" max="15616"/>
    <col width="5.7109375" bestFit="1" customWidth="1" style="22" min="15617" max="15617"/>
    <col width="23.42578125" customWidth="1" style="22" min="15618" max="15618"/>
    <col width="6.140625" customWidth="1" style="22" min="15619" max="15620"/>
    <col width="6.28515625" customWidth="1" style="22" min="15621" max="15621"/>
    <col width="9.28515625" customWidth="1" style="22" min="15622" max="15622"/>
    <col width="7.28515625" customWidth="1" style="22" min="15623" max="15623"/>
    <col width="7.7109375" customWidth="1" style="22" min="15624" max="15624"/>
    <col width="8.28515625" customWidth="1" style="22" min="15625" max="15625"/>
    <col width="8.85546875" customWidth="1" style="22" min="15626" max="15626"/>
    <col width="7.85546875" customWidth="1" style="22" min="15627" max="15628"/>
    <col width="15.140625" customWidth="1" style="22" min="15629" max="15629"/>
    <col width="11.5703125" customWidth="1" style="22" min="15630" max="15630"/>
    <col width="7.5703125" customWidth="1" style="22" min="15631" max="15631"/>
    <col width="6.85546875" customWidth="1" style="22" min="15632" max="15632"/>
    <col width="9.140625" customWidth="1" style="22" min="15633" max="15633"/>
    <col width="9.42578125" customWidth="1" style="22" min="15634" max="15634"/>
    <col width="10" customWidth="1" style="22" min="15635" max="15636"/>
    <col width="7.7109375" customWidth="1" style="22" min="15637" max="15637"/>
    <col width="14.85546875" customWidth="1" style="22" min="15638" max="15638"/>
    <col width="10.42578125" customWidth="1" style="22" min="15639" max="15639"/>
    <col width="7.7109375" customWidth="1" style="22" min="15640" max="15640"/>
    <col width="4.42578125" customWidth="1" style="22" min="15641" max="15641"/>
    <col width="8" customWidth="1" style="22" min="15642" max="15642"/>
    <col width="9" customWidth="1" style="22" min="15643" max="15643"/>
    <col width="3" customWidth="1" style="22" min="15644" max="15644"/>
    <col width="10" customWidth="1" style="22" min="15645" max="15645"/>
    <col width="8" customWidth="1" style="22" min="15646" max="15646"/>
    <col width="10.85546875" customWidth="1" style="22" min="15647" max="15647"/>
    <col width="9.5703125" customWidth="1" style="22" min="15648" max="15648"/>
    <col width="9.85546875" customWidth="1" style="22" min="15649" max="15649"/>
    <col width="10.140625" customWidth="1" style="22" min="15650" max="15650"/>
    <col width="10.5703125" customWidth="1" style="22" min="15651" max="15651"/>
    <col width="8" customWidth="1" style="22" min="15652" max="15652"/>
    <col width="0.85546875" customWidth="1" style="22" min="15653" max="15872"/>
    <col width="5.7109375" bestFit="1" customWidth="1" style="22" min="15873" max="15873"/>
    <col width="23.42578125" customWidth="1" style="22" min="15874" max="15874"/>
    <col width="6.140625" customWidth="1" style="22" min="15875" max="15876"/>
    <col width="6.28515625" customWidth="1" style="22" min="15877" max="15877"/>
    <col width="9.28515625" customWidth="1" style="22" min="15878" max="15878"/>
    <col width="7.28515625" customWidth="1" style="22" min="15879" max="15879"/>
    <col width="7.7109375" customWidth="1" style="22" min="15880" max="15880"/>
    <col width="8.28515625" customWidth="1" style="22" min="15881" max="15881"/>
    <col width="8.85546875" customWidth="1" style="22" min="15882" max="15882"/>
    <col width="7.85546875" customWidth="1" style="22" min="15883" max="15884"/>
    <col width="15.140625" customWidth="1" style="22" min="15885" max="15885"/>
    <col width="11.5703125" customWidth="1" style="22" min="15886" max="15886"/>
    <col width="7.5703125" customWidth="1" style="22" min="15887" max="15887"/>
    <col width="6.85546875" customWidth="1" style="22" min="15888" max="15888"/>
    <col width="9.140625" customWidth="1" style="22" min="15889" max="15889"/>
    <col width="9.42578125" customWidth="1" style="22" min="15890" max="15890"/>
    <col width="10" customWidth="1" style="22" min="15891" max="15892"/>
    <col width="7.7109375" customWidth="1" style="22" min="15893" max="15893"/>
    <col width="14.85546875" customWidth="1" style="22" min="15894" max="15894"/>
    <col width="10.42578125" customWidth="1" style="22" min="15895" max="15895"/>
    <col width="7.7109375" customWidth="1" style="22" min="15896" max="15896"/>
    <col width="4.42578125" customWidth="1" style="22" min="15897" max="15897"/>
    <col width="8" customWidth="1" style="22" min="15898" max="15898"/>
    <col width="9" customWidth="1" style="22" min="15899" max="15899"/>
    <col width="3" customWidth="1" style="22" min="15900" max="15900"/>
    <col width="10" customWidth="1" style="22" min="15901" max="15901"/>
    <col width="8" customWidth="1" style="22" min="15902" max="15902"/>
    <col width="10.85546875" customWidth="1" style="22" min="15903" max="15903"/>
    <col width="9.5703125" customWidth="1" style="22" min="15904" max="15904"/>
    <col width="9.85546875" customWidth="1" style="22" min="15905" max="15905"/>
    <col width="10.140625" customWidth="1" style="22" min="15906" max="15906"/>
    <col width="10.5703125" customWidth="1" style="22" min="15907" max="15907"/>
    <col width="8" customWidth="1" style="22" min="15908" max="15908"/>
    <col width="0.85546875" customWidth="1" style="22" min="15909" max="16128"/>
    <col width="5.7109375" bestFit="1" customWidth="1" style="22" min="16129" max="16129"/>
    <col width="23.42578125" customWidth="1" style="22" min="16130" max="16130"/>
    <col width="6.140625" customWidth="1" style="22" min="16131" max="16132"/>
    <col width="6.28515625" customWidth="1" style="22" min="16133" max="16133"/>
    <col width="9.28515625" customWidth="1" style="22" min="16134" max="16134"/>
    <col width="7.28515625" customWidth="1" style="22" min="16135" max="16135"/>
    <col width="7.7109375" customWidth="1" style="22" min="16136" max="16136"/>
    <col width="8.28515625" customWidth="1" style="22" min="16137" max="16137"/>
    <col width="8.85546875" customWidth="1" style="22" min="16138" max="16138"/>
    <col width="7.85546875" customWidth="1" style="22" min="16139" max="16140"/>
    <col width="15.140625" customWidth="1" style="22" min="16141" max="16141"/>
    <col width="11.5703125" customWidth="1" style="22" min="16142" max="16142"/>
    <col width="7.5703125" customWidth="1" style="22" min="16143" max="16143"/>
    <col width="6.85546875" customWidth="1" style="22" min="16144" max="16144"/>
    <col width="9.140625" customWidth="1" style="22" min="16145" max="16145"/>
    <col width="9.42578125" customWidth="1" style="22" min="16146" max="16146"/>
    <col width="10" customWidth="1" style="22" min="16147" max="16148"/>
    <col width="7.7109375" customWidth="1" style="22" min="16149" max="16149"/>
    <col width="14.85546875" customWidth="1" style="22" min="16150" max="16150"/>
    <col width="10.42578125" customWidth="1" style="22" min="16151" max="16151"/>
    <col width="7.7109375" customWidth="1" style="22" min="16152" max="16152"/>
    <col width="4.42578125" customWidth="1" style="22" min="16153" max="16153"/>
    <col width="8" customWidth="1" style="22" min="16154" max="16154"/>
    <col width="9" customWidth="1" style="22" min="16155" max="16155"/>
    <col width="3" customWidth="1" style="22" min="16156" max="16156"/>
    <col width="10" customWidth="1" style="22" min="16157" max="16157"/>
    <col width="8" customWidth="1" style="22" min="16158" max="16158"/>
    <col width="10.85546875" customWidth="1" style="22" min="16159" max="16159"/>
    <col width="9.5703125" customWidth="1" style="22" min="16160" max="16160"/>
    <col width="9.85546875" customWidth="1" style="22" min="16161" max="16161"/>
    <col width="10.140625" customWidth="1" style="22" min="16162" max="16162"/>
    <col width="10.5703125" customWidth="1" style="22" min="16163" max="16163"/>
    <col width="8" customWidth="1" style="22" min="16164" max="16164"/>
    <col width="0.85546875" customWidth="1" style="22" min="16165" max="16384"/>
  </cols>
  <sheetData>
    <row r="1" ht="18" customHeight="1" s="794">
      <c r="AI1" s="1146" t="inlineStr">
        <is>
          <t>Форма № 5д</t>
        </is>
      </c>
    </row>
    <row r="2" ht="19.5" customHeight="1" s="794">
      <c r="A2" s="854" t="inlineStr">
        <is>
          <t>РАСШИФРОВКА</t>
        </is>
      </c>
    </row>
    <row r="3" ht="17.25" customHeight="1" s="794">
      <c r="A3" s="854" t="inlineStr">
        <is>
          <t xml:space="preserve">затрат на приобретение полуфабрикатов </t>
        </is>
      </c>
    </row>
    <row r="4" ht="15" customHeight="1" s="794">
      <c r="C4" s="809" t="n"/>
      <c r="D4" s="809" t="n"/>
      <c r="E4" s="809" t="n"/>
      <c r="F4" s="1144" t="inlineStr">
        <is>
          <t>ТЕМА</t>
        </is>
      </c>
      <c r="G4" s="1409" t="n"/>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1409" t="n"/>
      <c r="AI4" s="809" t="n"/>
      <c r="AJ4" s="49" t="n"/>
    </row>
    <row r="5" ht="15" customHeight="1" s="794">
      <c r="A5" s="1121" t="inlineStr">
        <is>
          <t>(наименование, шифр товара, работы, услуги)</t>
        </is>
      </c>
    </row>
    <row r="6" ht="12" customHeight="1" s="794"/>
    <row r="7" ht="18"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 xml:space="preserve">Отчетный период / период, предшествующий планируемому </t>
        </is>
      </c>
      <c r="H7" s="1412" t="n"/>
      <c r="I7" s="1412" t="n"/>
      <c r="J7" s="1412" t="n"/>
      <c r="K7" s="1412" t="n"/>
      <c r="L7" s="1412" t="n"/>
      <c r="M7" s="1412" t="n"/>
      <c r="N7" s="1412" t="n"/>
      <c r="O7" s="1412" t="n"/>
      <c r="P7" s="1412" t="n"/>
      <c r="Q7" s="1410" t="n"/>
      <c r="R7" s="1119" t="inlineStr">
        <is>
          <t xml:space="preserve">Стоимостная оценка затрат в условиях первого года производства </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26.25"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495" t="inlineStr">
        <is>
          <t>норма расхода (всего) на единицу продукции</t>
        </is>
      </c>
      <c r="S8" s="1125" t="inlineStr">
        <is>
          <t>применяе-мый индекс цен</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25" t="inlineStr">
        <is>
          <t>первый год производства</t>
        </is>
      </c>
      <c r="AB8" s="1412" t="n"/>
      <c r="AC8" s="1412" t="n"/>
      <c r="AD8" s="1412" t="n"/>
      <c r="AE8" s="1119" t="inlineStr">
        <is>
          <t xml:space="preserve">n-ый год производства </t>
        </is>
      </c>
      <c r="AF8" s="1412" t="n"/>
      <c r="AG8" s="1412" t="n"/>
      <c r="AH8" s="1412" t="n"/>
      <c r="AI8" s="1410" t="n"/>
      <c r="AJ8" s="1119" t="inlineStr">
        <is>
          <t>затраты (руб.)</t>
        </is>
      </c>
    </row>
    <row r="9" ht="83.25"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обосновывающие документы</t>
        </is>
      </c>
      <c r="W9" s="1119" t="inlineStr">
        <is>
          <t>метод определения цены</t>
        </is>
      </c>
      <c r="X9" s="495" t="inlineStr">
        <is>
          <t>наименование</t>
        </is>
      </c>
      <c r="Y9" s="1410" t="n"/>
      <c r="Z9" s="495" t="inlineStr">
        <is>
          <t>ИНН</t>
        </is>
      </c>
      <c r="AA9" s="1119" t="inlineStr">
        <is>
          <t>норма расхода на единицу продукции</t>
        </is>
      </c>
      <c r="AB9" s="1410" t="n"/>
      <c r="AC9" s="1134" t="inlineStr">
        <is>
          <t xml:space="preserve">цена за единицу измерения (руб.) 
</t>
        </is>
      </c>
      <c r="AD9" s="1134" t="inlineStr">
        <is>
          <t>затраты (руб.)</t>
        </is>
      </c>
      <c r="AE9" s="1119" t="inlineStr">
        <is>
          <t>стоимостная оценка затрат n-го года в условиях первого года производства</t>
        </is>
      </c>
      <c r="AF9" s="1119" t="inlineStr">
        <is>
          <t>норма расхода на единицу продукции</t>
        </is>
      </c>
      <c r="AG9" s="1119" t="inlineStr">
        <is>
          <t>применяе-мый индекс цен</t>
        </is>
      </c>
      <c r="AH9" s="1119" t="inlineStr">
        <is>
          <t>цена за единицу измерения (руб.)</t>
        </is>
      </c>
      <c r="AI9" s="1119" t="inlineStr">
        <is>
          <t>затраты n-го года (руб.)</t>
        </is>
      </c>
      <c r="AJ9" s="1413" t="n"/>
    </row>
    <row r="10" ht="14.25" customFormat="1" customHeight="1" s="3">
      <c r="A10" s="25" t="n">
        <v>1</v>
      </c>
      <c r="B10" s="25" t="n">
        <v>2</v>
      </c>
      <c r="C10" s="25" t="n">
        <v>3</v>
      </c>
      <c r="D10" s="25" t="n">
        <v>4</v>
      </c>
      <c r="E10" s="25" t="n">
        <v>5</v>
      </c>
      <c r="F10" s="499" t="n">
        <v>6</v>
      </c>
      <c r="G10" s="499" t="n">
        <v>7</v>
      </c>
      <c r="H10" s="499" t="n">
        <v>8</v>
      </c>
      <c r="I10" s="499" t="n">
        <v>9</v>
      </c>
      <c r="J10" s="499" t="n">
        <v>10</v>
      </c>
      <c r="K10" s="499" t="n">
        <v>11</v>
      </c>
      <c r="L10" s="514" t="n">
        <v>12</v>
      </c>
      <c r="M10" s="500" t="inlineStr">
        <is>
          <t>13.1</t>
        </is>
      </c>
      <c r="N10" s="500" t="inlineStr">
        <is>
          <t>13.2</t>
        </is>
      </c>
      <c r="O10" s="1158" t="n">
        <v>14</v>
      </c>
      <c r="P10" s="1410" t="n"/>
      <c r="Q10" s="499" t="n">
        <v>15</v>
      </c>
      <c r="R10" s="499" t="n">
        <v>16</v>
      </c>
      <c r="S10" s="499" t="n">
        <v>17</v>
      </c>
      <c r="T10" s="25" t="n">
        <v>18</v>
      </c>
      <c r="U10" s="25" t="n">
        <v>19</v>
      </c>
      <c r="V10" s="500" t="inlineStr">
        <is>
          <t>20.1</t>
        </is>
      </c>
      <c r="W10" s="500" t="inlineStr">
        <is>
          <t>20.2</t>
        </is>
      </c>
      <c r="X10" s="499" t="n">
        <v>21</v>
      </c>
      <c r="Y10" s="1410" t="n"/>
      <c r="Z10" s="25" t="n">
        <v>22</v>
      </c>
      <c r="AA10" s="25" t="n">
        <v>23</v>
      </c>
      <c r="AB10" s="1410" t="n"/>
      <c r="AC10" s="25" t="n">
        <v>24</v>
      </c>
      <c r="AD10" s="25" t="n">
        <v>25</v>
      </c>
      <c r="AE10" s="25" t="n">
        <v>26</v>
      </c>
      <c r="AF10" s="25" t="n">
        <v>27</v>
      </c>
      <c r="AG10" s="25" t="n">
        <v>28</v>
      </c>
      <c r="AH10" s="25" t="n">
        <v>29</v>
      </c>
      <c r="AI10" s="25" t="n">
        <v>30</v>
      </c>
      <c r="AJ10" s="25" t="n">
        <v>31</v>
      </c>
    </row>
    <row r="11" ht="18.75" customFormat="1" customHeight="1" s="3">
      <c r="A11" s="849" t="n"/>
      <c r="B11" s="1062" t="inlineStr">
        <is>
          <t>ВСЕГО:</t>
        </is>
      </c>
      <c r="C11" s="515" t="inlineStr">
        <is>
          <t>-</t>
        </is>
      </c>
      <c r="D11" s="515" t="inlineStr">
        <is>
          <t>-</t>
        </is>
      </c>
      <c r="E11" s="515" t="inlineStr">
        <is>
          <t>-</t>
        </is>
      </c>
      <c r="F11" s="515" t="inlineStr">
        <is>
          <t>-</t>
        </is>
      </c>
      <c r="G11" s="515" t="inlineStr">
        <is>
          <t>-</t>
        </is>
      </c>
      <c r="H11" s="515" t="inlineStr">
        <is>
          <t>-</t>
        </is>
      </c>
      <c r="I11" s="515" t="inlineStr">
        <is>
          <t>-</t>
        </is>
      </c>
      <c r="J11" s="515" t="inlineStr">
        <is>
          <t>-</t>
        </is>
      </c>
      <c r="K11" s="515" t="inlineStr">
        <is>
          <t>-</t>
        </is>
      </c>
      <c r="L11" s="515" t="inlineStr">
        <is>
          <t>-</t>
        </is>
      </c>
      <c r="M11" s="515" t="inlineStr">
        <is>
          <t>-</t>
        </is>
      </c>
      <c r="N11" s="515" t="inlineStr">
        <is>
          <t>-</t>
        </is>
      </c>
      <c r="O11" s="515" t="inlineStr">
        <is>
          <t>-</t>
        </is>
      </c>
      <c r="P11" s="1410" t="n"/>
      <c r="Q11" s="515" t="inlineStr">
        <is>
          <t>-</t>
        </is>
      </c>
      <c r="R11" s="515" t="inlineStr">
        <is>
          <t>-</t>
        </is>
      </c>
      <c r="S11" s="515" t="inlineStr">
        <is>
          <t>-</t>
        </is>
      </c>
      <c r="T11" s="515" t="inlineStr">
        <is>
          <t>-</t>
        </is>
      </c>
      <c r="U11" s="515" t="inlineStr">
        <is>
          <t>-</t>
        </is>
      </c>
      <c r="V11" s="515" t="inlineStr">
        <is>
          <t>-</t>
        </is>
      </c>
      <c r="W11" s="515" t="inlineStr">
        <is>
          <t>-</t>
        </is>
      </c>
      <c r="X11" s="515" t="inlineStr">
        <is>
          <t>-</t>
        </is>
      </c>
      <c r="Y11" s="1410" t="n"/>
      <c r="Z11" s="515" t="inlineStr">
        <is>
          <t>-</t>
        </is>
      </c>
      <c r="AA11" s="515" t="inlineStr">
        <is>
          <t>-</t>
        </is>
      </c>
      <c r="AB11" s="1410" t="n"/>
      <c r="AC11" s="515" t="inlineStr">
        <is>
          <t>-</t>
        </is>
      </c>
      <c r="AD11" s="515" t="inlineStr">
        <is>
          <t>-</t>
        </is>
      </c>
      <c r="AE11" s="515" t="inlineStr">
        <is>
          <t>-</t>
        </is>
      </c>
      <c r="AF11" s="515" t="inlineStr">
        <is>
          <t>-</t>
        </is>
      </c>
      <c r="AG11" s="515" t="inlineStr">
        <is>
          <t>-</t>
        </is>
      </c>
      <c r="AH11" s="515" t="inlineStr">
        <is>
          <t>-</t>
        </is>
      </c>
      <c r="AI11" s="515" t="inlineStr">
        <is>
          <t>-</t>
        </is>
      </c>
      <c r="AJ11" s="515" t="inlineStr">
        <is>
          <t>-</t>
        </is>
      </c>
    </row>
    <row r="12" ht="21" customFormat="1" customHeight="1" s="23">
      <c r="A12" s="975" t="inlineStr">
        <is>
          <t>1.</t>
        </is>
      </c>
      <c r="B12" s="516" t="inlineStr">
        <is>
          <t>Покупные полуфабрикаты:</t>
        </is>
      </c>
      <c r="C12" s="1119" t="inlineStr">
        <is>
          <t>-</t>
        </is>
      </c>
      <c r="D12" s="1119" t="inlineStr">
        <is>
          <t>-</t>
        </is>
      </c>
      <c r="E12" s="1119" t="inlineStr">
        <is>
          <t>-</t>
        </is>
      </c>
      <c r="F12" s="1119" t="inlineStr">
        <is>
          <t>-</t>
        </is>
      </c>
      <c r="G12" s="1119" t="inlineStr">
        <is>
          <t>-</t>
        </is>
      </c>
      <c r="H12" s="1119" t="inlineStr">
        <is>
          <t>-</t>
        </is>
      </c>
      <c r="I12" s="1119" t="inlineStr">
        <is>
          <t>-</t>
        </is>
      </c>
      <c r="J12" s="1119" t="inlineStr">
        <is>
          <t>-</t>
        </is>
      </c>
      <c r="K12" s="1119" t="inlineStr">
        <is>
          <t>-</t>
        </is>
      </c>
      <c r="L12" s="1119" t="inlineStr">
        <is>
          <t>-</t>
        </is>
      </c>
      <c r="M12" s="1119" t="inlineStr">
        <is>
          <t>-</t>
        </is>
      </c>
      <c r="N12" s="1119" t="inlineStr">
        <is>
          <t>-</t>
        </is>
      </c>
      <c r="O12" s="515" t="inlineStr">
        <is>
          <t>-</t>
        </is>
      </c>
      <c r="P12" s="1410" t="n"/>
      <c r="Q12" s="1119" t="inlineStr">
        <is>
          <t>-</t>
        </is>
      </c>
      <c r="R12" s="1119" t="inlineStr">
        <is>
          <t>-</t>
        </is>
      </c>
      <c r="S12" s="1119" t="inlineStr">
        <is>
          <t>-</t>
        </is>
      </c>
      <c r="T12" s="1119" t="inlineStr">
        <is>
          <t>-</t>
        </is>
      </c>
      <c r="U12" s="1119" t="inlineStr">
        <is>
          <t>-</t>
        </is>
      </c>
      <c r="V12" s="1119" t="inlineStr">
        <is>
          <t>-</t>
        </is>
      </c>
      <c r="W12" s="1119" t="inlineStr">
        <is>
          <t>-</t>
        </is>
      </c>
      <c r="X12" s="515" t="inlineStr">
        <is>
          <t>-</t>
        </is>
      </c>
      <c r="Y12" s="1410" t="n"/>
      <c r="Z12" s="1119" t="inlineStr">
        <is>
          <t>-</t>
        </is>
      </c>
      <c r="AA12" s="515" t="inlineStr">
        <is>
          <t>-</t>
        </is>
      </c>
      <c r="AB12" s="1410" t="n"/>
      <c r="AC12" s="1119" t="inlineStr">
        <is>
          <t>-</t>
        </is>
      </c>
      <c r="AD12" s="1119" t="inlineStr">
        <is>
          <t>-</t>
        </is>
      </c>
      <c r="AE12" s="1119" t="inlineStr">
        <is>
          <t>-</t>
        </is>
      </c>
      <c r="AF12" s="1119" t="inlineStr">
        <is>
          <t>-</t>
        </is>
      </c>
      <c r="AG12" s="1119" t="inlineStr">
        <is>
          <t>-</t>
        </is>
      </c>
      <c r="AH12" s="1119" t="inlineStr">
        <is>
          <t>-</t>
        </is>
      </c>
      <c r="AI12" s="1119" t="inlineStr">
        <is>
          <t>-</t>
        </is>
      </c>
      <c r="AJ12" s="1119" t="inlineStr">
        <is>
          <t>-</t>
        </is>
      </c>
    </row>
    <row r="13" ht="16.5" customFormat="1" customHeight="1" s="23">
      <c r="A13" s="1069" t="inlineStr">
        <is>
          <t>1.1</t>
        </is>
      </c>
      <c r="B13" s="517" t="inlineStr">
        <is>
          <t>-</t>
        </is>
      </c>
      <c r="C13" s="503" t="inlineStr">
        <is>
          <t>-</t>
        </is>
      </c>
      <c r="D13" s="503" t="inlineStr">
        <is>
          <t>-</t>
        </is>
      </c>
      <c r="E13" s="503" t="inlineStr">
        <is>
          <t>-</t>
        </is>
      </c>
      <c r="F13" s="503" t="inlineStr">
        <is>
          <t>-</t>
        </is>
      </c>
      <c r="G13" s="503" t="inlineStr">
        <is>
          <t>-</t>
        </is>
      </c>
      <c r="H13" s="503" t="inlineStr">
        <is>
          <t>-</t>
        </is>
      </c>
      <c r="I13" s="503" t="inlineStr">
        <is>
          <t>-</t>
        </is>
      </c>
      <c r="J13" s="503" t="inlineStr">
        <is>
          <t>-</t>
        </is>
      </c>
      <c r="K13" s="503" t="inlineStr">
        <is>
          <t>-</t>
        </is>
      </c>
      <c r="L13" s="503" t="inlineStr">
        <is>
          <t>-</t>
        </is>
      </c>
      <c r="M13" s="503" t="inlineStr">
        <is>
          <t>-</t>
        </is>
      </c>
      <c r="N13" s="503" t="inlineStr">
        <is>
          <t>-</t>
        </is>
      </c>
      <c r="O13" s="515" t="inlineStr">
        <is>
          <t>-</t>
        </is>
      </c>
      <c r="P13" s="1410" t="n"/>
      <c r="Q13" s="503" t="inlineStr">
        <is>
          <t>-</t>
        </is>
      </c>
      <c r="R13" s="503" t="inlineStr">
        <is>
          <t>-</t>
        </is>
      </c>
      <c r="S13" s="503" t="inlineStr">
        <is>
          <t>-</t>
        </is>
      </c>
      <c r="T13" s="503" t="inlineStr">
        <is>
          <t>-</t>
        </is>
      </c>
      <c r="U13" s="503" t="inlineStr">
        <is>
          <t>-</t>
        </is>
      </c>
      <c r="V13" s="503" t="inlineStr">
        <is>
          <t>-</t>
        </is>
      </c>
      <c r="W13" s="503" t="inlineStr">
        <is>
          <t>-</t>
        </is>
      </c>
      <c r="X13" s="515" t="inlineStr">
        <is>
          <t>-</t>
        </is>
      </c>
      <c r="Y13" s="1410" t="n"/>
      <c r="Z13" s="503" t="inlineStr">
        <is>
          <t>-</t>
        </is>
      </c>
      <c r="AA13" s="515" t="inlineStr">
        <is>
          <t>-</t>
        </is>
      </c>
      <c r="AB13" s="1410" t="n"/>
      <c r="AC13" s="503" t="inlineStr">
        <is>
          <t>-</t>
        </is>
      </c>
      <c r="AD13" s="503" t="inlineStr">
        <is>
          <t>-</t>
        </is>
      </c>
      <c r="AE13" s="503" t="inlineStr">
        <is>
          <t>-</t>
        </is>
      </c>
      <c r="AF13" s="503" t="inlineStr">
        <is>
          <t>-</t>
        </is>
      </c>
      <c r="AG13" s="503" t="inlineStr">
        <is>
          <t>-</t>
        </is>
      </c>
      <c r="AH13" s="503" t="inlineStr">
        <is>
          <t>-</t>
        </is>
      </c>
      <c r="AI13" s="503" t="inlineStr">
        <is>
          <t>-</t>
        </is>
      </c>
      <c r="AJ13" s="503" t="inlineStr">
        <is>
          <t>-</t>
        </is>
      </c>
    </row>
    <row r="14" ht="20.25" customFormat="1" customHeight="1" s="23">
      <c r="A14" s="849" t="n"/>
      <c r="B14" s="518" t="inlineStr">
        <is>
          <t>ИТОГО по разделу 1</t>
        </is>
      </c>
      <c r="C14" s="1128" t="inlineStr">
        <is>
          <t>-</t>
        </is>
      </c>
      <c r="D14" s="1128" t="inlineStr">
        <is>
          <t>-</t>
        </is>
      </c>
      <c r="E14" s="1128" t="inlineStr">
        <is>
          <t>-</t>
        </is>
      </c>
      <c r="F14" s="1128" t="inlineStr">
        <is>
          <t>-</t>
        </is>
      </c>
      <c r="G14" s="1128" t="inlineStr">
        <is>
          <t>-</t>
        </is>
      </c>
      <c r="H14" s="1128" t="inlineStr">
        <is>
          <t>-</t>
        </is>
      </c>
      <c r="I14" s="1128" t="inlineStr">
        <is>
          <t>-</t>
        </is>
      </c>
      <c r="J14" s="1128" t="inlineStr">
        <is>
          <t>-</t>
        </is>
      </c>
      <c r="K14" s="1128" t="inlineStr">
        <is>
          <t>-</t>
        </is>
      </c>
      <c r="L14" s="1128" t="inlineStr">
        <is>
          <t>-</t>
        </is>
      </c>
      <c r="M14" s="1128" t="inlineStr">
        <is>
          <t>-</t>
        </is>
      </c>
      <c r="N14" s="1128" t="inlineStr">
        <is>
          <t>-</t>
        </is>
      </c>
      <c r="O14" s="515" t="inlineStr">
        <is>
          <t>-</t>
        </is>
      </c>
      <c r="P14" s="1410" t="n"/>
      <c r="Q14" s="1128" t="inlineStr">
        <is>
          <t>-</t>
        </is>
      </c>
      <c r="R14" s="1128" t="inlineStr">
        <is>
          <t>-</t>
        </is>
      </c>
      <c r="S14" s="1128" t="inlineStr">
        <is>
          <t>-</t>
        </is>
      </c>
      <c r="T14" s="1128" t="inlineStr">
        <is>
          <t>-</t>
        </is>
      </c>
      <c r="U14" s="1128" t="inlineStr">
        <is>
          <t>-</t>
        </is>
      </c>
      <c r="V14" s="1128" t="inlineStr">
        <is>
          <t>-</t>
        </is>
      </c>
      <c r="W14" s="1128" t="inlineStr">
        <is>
          <t>-</t>
        </is>
      </c>
      <c r="X14" s="515" t="inlineStr">
        <is>
          <t>-</t>
        </is>
      </c>
      <c r="Y14" s="1410" t="n"/>
      <c r="Z14" s="1128" t="inlineStr">
        <is>
          <t>-</t>
        </is>
      </c>
      <c r="AA14" s="515" t="inlineStr">
        <is>
          <t>-</t>
        </is>
      </c>
      <c r="AB14" s="1410" t="n"/>
      <c r="AC14" s="1128" t="inlineStr">
        <is>
          <t>-</t>
        </is>
      </c>
      <c r="AD14" s="1128" t="inlineStr">
        <is>
          <t>-</t>
        </is>
      </c>
      <c r="AE14" s="1128" t="inlineStr">
        <is>
          <t>-</t>
        </is>
      </c>
      <c r="AF14" s="1128" t="inlineStr">
        <is>
          <t>-</t>
        </is>
      </c>
      <c r="AG14" s="1128" t="inlineStr">
        <is>
          <t>-</t>
        </is>
      </c>
      <c r="AH14" s="1128" t="inlineStr">
        <is>
          <t>-</t>
        </is>
      </c>
      <c r="AI14" s="1128" t="inlineStr">
        <is>
          <t>-</t>
        </is>
      </c>
      <c r="AJ14" s="1128" t="inlineStr">
        <is>
          <t>-</t>
        </is>
      </c>
    </row>
    <row r="15" ht="27" customFormat="1" customHeight="1" s="23">
      <c r="A15" s="849" t="inlineStr">
        <is>
          <t>2.</t>
        </is>
      </c>
      <c r="B15" s="505" t="inlineStr">
        <is>
          <t>Возвратные отходы (вычитаются):</t>
        </is>
      </c>
      <c r="C15" s="1128" t="inlineStr">
        <is>
          <t>-</t>
        </is>
      </c>
      <c r="D15" s="1128" t="inlineStr">
        <is>
          <t>-</t>
        </is>
      </c>
      <c r="E15" s="1128" t="inlineStr">
        <is>
          <t>-</t>
        </is>
      </c>
      <c r="F15" s="1128" t="inlineStr">
        <is>
          <t>-</t>
        </is>
      </c>
      <c r="G15" s="1128" t="inlineStr">
        <is>
          <t>-</t>
        </is>
      </c>
      <c r="H15" s="1128" t="inlineStr">
        <is>
          <t>-</t>
        </is>
      </c>
      <c r="I15" s="1128" t="inlineStr">
        <is>
          <t>-</t>
        </is>
      </c>
      <c r="J15" s="1128" t="inlineStr">
        <is>
          <t>-</t>
        </is>
      </c>
      <c r="K15" s="1128" t="inlineStr">
        <is>
          <t>-</t>
        </is>
      </c>
      <c r="L15" s="1128" t="inlineStr">
        <is>
          <t>-</t>
        </is>
      </c>
      <c r="M15" s="1128" t="inlineStr">
        <is>
          <t>-</t>
        </is>
      </c>
      <c r="N15" s="1128" t="inlineStr">
        <is>
          <t>-</t>
        </is>
      </c>
      <c r="O15" s="515" t="inlineStr">
        <is>
          <t>-</t>
        </is>
      </c>
      <c r="P15" s="1410" t="n"/>
      <c r="Q15" s="1128" t="inlineStr">
        <is>
          <t>-</t>
        </is>
      </c>
      <c r="R15" s="1128" t="inlineStr">
        <is>
          <t>-</t>
        </is>
      </c>
      <c r="S15" s="1128" t="inlineStr">
        <is>
          <t>-</t>
        </is>
      </c>
      <c r="T15" s="1128" t="inlineStr">
        <is>
          <t>-</t>
        </is>
      </c>
      <c r="U15" s="1128" t="inlineStr">
        <is>
          <t>-</t>
        </is>
      </c>
      <c r="V15" s="1128" t="inlineStr">
        <is>
          <t>-</t>
        </is>
      </c>
      <c r="W15" s="1128" t="inlineStr">
        <is>
          <t>-</t>
        </is>
      </c>
      <c r="X15" s="515" t="inlineStr">
        <is>
          <t>-</t>
        </is>
      </c>
      <c r="Y15" s="1410" t="n"/>
      <c r="Z15" s="1128" t="inlineStr">
        <is>
          <t>-</t>
        </is>
      </c>
      <c r="AA15" s="515" t="inlineStr">
        <is>
          <t>-</t>
        </is>
      </c>
      <c r="AB15" s="1410" t="n"/>
      <c r="AC15" s="1128" t="inlineStr">
        <is>
          <t>-</t>
        </is>
      </c>
      <c r="AD15" s="1128" t="inlineStr">
        <is>
          <t>-</t>
        </is>
      </c>
      <c r="AE15" s="1128" t="inlineStr">
        <is>
          <t>-</t>
        </is>
      </c>
      <c r="AF15" s="1128" t="inlineStr">
        <is>
          <t>-</t>
        </is>
      </c>
      <c r="AG15" s="1128" t="inlineStr">
        <is>
          <t>-</t>
        </is>
      </c>
      <c r="AH15" s="1128" t="inlineStr">
        <is>
          <t>-</t>
        </is>
      </c>
      <c r="AI15" s="1128" t="inlineStr">
        <is>
          <t>-</t>
        </is>
      </c>
      <c r="AJ15" s="1128" t="inlineStr">
        <is>
          <t>-</t>
        </is>
      </c>
    </row>
    <row r="16" ht="15.75" customFormat="1" customHeight="1" s="23">
      <c r="A16" s="1069" t="inlineStr">
        <is>
          <t>2.1</t>
        </is>
      </c>
      <c r="B16" s="517" t="inlineStr">
        <is>
          <t>-</t>
        </is>
      </c>
      <c r="C16" s="1128" t="inlineStr">
        <is>
          <t>-</t>
        </is>
      </c>
      <c r="D16" s="1128" t="inlineStr">
        <is>
          <t>-</t>
        </is>
      </c>
      <c r="E16" s="1128" t="inlineStr">
        <is>
          <t>-</t>
        </is>
      </c>
      <c r="F16" s="1128" t="inlineStr">
        <is>
          <t>-</t>
        </is>
      </c>
      <c r="G16" s="1128" t="inlineStr">
        <is>
          <t>-</t>
        </is>
      </c>
      <c r="H16" s="1128" t="inlineStr">
        <is>
          <t>-</t>
        </is>
      </c>
      <c r="I16" s="1128" t="inlineStr">
        <is>
          <t>-</t>
        </is>
      </c>
      <c r="J16" s="1128" t="inlineStr">
        <is>
          <t>-</t>
        </is>
      </c>
      <c r="K16" s="1128" t="inlineStr">
        <is>
          <t>-</t>
        </is>
      </c>
      <c r="L16" s="1128" t="inlineStr">
        <is>
          <t>-</t>
        </is>
      </c>
      <c r="M16" s="1128" t="inlineStr">
        <is>
          <t>-</t>
        </is>
      </c>
      <c r="N16" s="1128" t="inlineStr">
        <is>
          <t>-</t>
        </is>
      </c>
      <c r="O16" s="515" t="inlineStr">
        <is>
          <t>-</t>
        </is>
      </c>
      <c r="P16" s="1410" t="n"/>
      <c r="Q16" s="1128" t="inlineStr">
        <is>
          <t>-</t>
        </is>
      </c>
      <c r="R16" s="1128" t="inlineStr">
        <is>
          <t>-</t>
        </is>
      </c>
      <c r="S16" s="1128" t="inlineStr">
        <is>
          <t>-</t>
        </is>
      </c>
      <c r="T16" s="1128" t="inlineStr">
        <is>
          <t>-</t>
        </is>
      </c>
      <c r="U16" s="1128" t="inlineStr">
        <is>
          <t>-</t>
        </is>
      </c>
      <c r="V16" s="1128" t="inlineStr">
        <is>
          <t>-</t>
        </is>
      </c>
      <c r="W16" s="1128" t="inlineStr">
        <is>
          <t>-</t>
        </is>
      </c>
      <c r="X16" s="515" t="inlineStr">
        <is>
          <t>-</t>
        </is>
      </c>
      <c r="Y16" s="1410" t="n"/>
      <c r="Z16" s="1128" t="inlineStr">
        <is>
          <t>-</t>
        </is>
      </c>
      <c r="AA16" s="515" t="inlineStr">
        <is>
          <t>-</t>
        </is>
      </c>
      <c r="AB16" s="1410" t="n"/>
      <c r="AC16" s="1128" t="inlineStr">
        <is>
          <t>-</t>
        </is>
      </c>
      <c r="AD16" s="1128" t="inlineStr">
        <is>
          <t>-</t>
        </is>
      </c>
      <c r="AE16" s="1128" t="inlineStr">
        <is>
          <t>-</t>
        </is>
      </c>
      <c r="AF16" s="1128" t="inlineStr">
        <is>
          <t>-</t>
        </is>
      </c>
      <c r="AG16" s="1128" t="inlineStr">
        <is>
          <t>-</t>
        </is>
      </c>
      <c r="AH16" s="1128" t="inlineStr">
        <is>
          <t>-</t>
        </is>
      </c>
      <c r="AI16" s="1128" t="inlineStr">
        <is>
          <t>-</t>
        </is>
      </c>
      <c r="AJ16" s="1128" t="inlineStr">
        <is>
          <t>-</t>
        </is>
      </c>
    </row>
    <row r="17" ht="15.75" customFormat="1" customHeight="1" s="23">
      <c r="A17" s="849" t="n"/>
      <c r="B17" s="518" t="inlineStr">
        <is>
          <t>ИТОГО по разделу 2</t>
        </is>
      </c>
      <c r="C17" s="1128" t="inlineStr">
        <is>
          <t>-</t>
        </is>
      </c>
      <c r="D17" s="1128" t="inlineStr">
        <is>
          <t>-</t>
        </is>
      </c>
      <c r="E17" s="1128" t="inlineStr">
        <is>
          <t>-</t>
        </is>
      </c>
      <c r="F17" s="1128" t="inlineStr">
        <is>
          <t>-</t>
        </is>
      </c>
      <c r="G17" s="1128" t="inlineStr">
        <is>
          <t>-</t>
        </is>
      </c>
      <c r="H17" s="1128" t="inlineStr">
        <is>
          <t>-</t>
        </is>
      </c>
      <c r="I17" s="1128" t="inlineStr">
        <is>
          <t>-</t>
        </is>
      </c>
      <c r="J17" s="1128" t="inlineStr">
        <is>
          <t>-</t>
        </is>
      </c>
      <c r="K17" s="1128" t="inlineStr">
        <is>
          <t>-</t>
        </is>
      </c>
      <c r="L17" s="1128" t="inlineStr">
        <is>
          <t>-</t>
        </is>
      </c>
      <c r="M17" s="1128" t="inlineStr">
        <is>
          <t>-</t>
        </is>
      </c>
      <c r="N17" s="1128" t="inlineStr">
        <is>
          <t>-</t>
        </is>
      </c>
      <c r="O17" s="515" t="inlineStr">
        <is>
          <t>-</t>
        </is>
      </c>
      <c r="P17" s="1410" t="n"/>
      <c r="Q17" s="1128" t="inlineStr">
        <is>
          <t>-</t>
        </is>
      </c>
      <c r="R17" s="1128" t="inlineStr">
        <is>
          <t>-</t>
        </is>
      </c>
      <c r="S17" s="1128" t="inlineStr">
        <is>
          <t>-</t>
        </is>
      </c>
      <c r="T17" s="1128" t="inlineStr">
        <is>
          <t>-</t>
        </is>
      </c>
      <c r="U17" s="1128" t="inlineStr">
        <is>
          <t>-</t>
        </is>
      </c>
      <c r="V17" s="1128" t="inlineStr">
        <is>
          <t>-</t>
        </is>
      </c>
      <c r="W17" s="1128" t="inlineStr">
        <is>
          <t>-</t>
        </is>
      </c>
      <c r="X17" s="515" t="inlineStr">
        <is>
          <t>-</t>
        </is>
      </c>
      <c r="Y17" s="1410" t="n"/>
      <c r="Z17" s="1128" t="inlineStr">
        <is>
          <t>-</t>
        </is>
      </c>
      <c r="AA17" s="515" t="inlineStr">
        <is>
          <t>-</t>
        </is>
      </c>
      <c r="AB17" s="1410" t="n"/>
      <c r="AC17" s="1128" t="inlineStr">
        <is>
          <t>-</t>
        </is>
      </c>
      <c r="AD17" s="1128" t="inlineStr">
        <is>
          <t>-</t>
        </is>
      </c>
      <c r="AE17" s="1128" t="inlineStr">
        <is>
          <t>-</t>
        </is>
      </c>
      <c r="AF17" s="1128" t="inlineStr">
        <is>
          <t>-</t>
        </is>
      </c>
      <c r="AG17" s="1128" t="inlineStr">
        <is>
          <t>-</t>
        </is>
      </c>
      <c r="AH17" s="1128" t="inlineStr">
        <is>
          <t>-</t>
        </is>
      </c>
      <c r="AI17" s="1128" t="inlineStr">
        <is>
          <t>-</t>
        </is>
      </c>
      <c r="AJ17" s="1128" t="inlineStr">
        <is>
          <t>-</t>
        </is>
      </c>
    </row>
    <row r="18" ht="15.75" customFormat="1" customHeight="1" s="23">
      <c r="A18" s="1100" t="n"/>
      <c r="B18" s="1100" t="n"/>
      <c r="C18" s="1100" t="n"/>
      <c r="D18" s="1100" t="n"/>
      <c r="E18" s="1100" t="n"/>
      <c r="F18" s="1093" t="n"/>
      <c r="G18" s="1093" t="n"/>
      <c r="H18" s="1093" t="n"/>
      <c r="I18" s="1093" t="n"/>
      <c r="J18" s="1093" t="n"/>
      <c r="K18" s="1093" t="n"/>
      <c r="L18" s="1093" t="n"/>
      <c r="M18" s="1093" t="n"/>
      <c r="N18" s="506" t="n"/>
      <c r="O18" s="507" t="n"/>
      <c r="P18" s="507" t="n"/>
      <c r="Q18" s="507" t="n"/>
      <c r="R18" s="507" t="n"/>
      <c r="S18" s="1093" t="n"/>
      <c r="T18" s="1093" t="n"/>
      <c r="U18" s="1093" t="n"/>
      <c r="V18" s="1093" t="n"/>
      <c r="W18" s="506" t="n"/>
      <c r="X18" s="508" t="n"/>
      <c r="Y18" s="508" t="n"/>
      <c r="Z18" s="508" t="n"/>
      <c r="AA18" s="1093" t="n"/>
      <c r="AB18" s="1093" t="n"/>
      <c r="AC18" s="1093" t="n"/>
      <c r="AD18" s="1093" t="n"/>
      <c r="AE18" s="1093" t="n"/>
      <c r="AF18" s="1093" t="n"/>
      <c r="AG18" s="1093" t="n"/>
      <c r="AH18" s="1093" t="n"/>
      <c r="AI18" s="1093" t="n"/>
      <c r="AJ18" s="1093" t="n"/>
    </row>
    <row r="19" customFormat="1" s="520">
      <c r="A19" s="31" t="n"/>
      <c r="B19" s="31" t="n"/>
      <c r="C19" s="31" t="n"/>
      <c r="D19" s="31" t="n"/>
      <c r="E19" s="31" t="n"/>
      <c r="F19" s="31" t="n"/>
      <c r="G19" s="31" t="n"/>
      <c r="H19" s="31" t="n"/>
      <c r="I19" s="31" t="n"/>
      <c r="J19" s="31" t="n"/>
      <c r="K19" s="31" t="n"/>
      <c r="L19" s="31" t="n"/>
      <c r="M19" s="31" t="n"/>
      <c r="N19" s="31" t="n"/>
      <c r="O19" s="31" t="n"/>
      <c r="P19" s="31" t="n"/>
      <c r="Q19" s="31" t="n"/>
      <c r="R19" s="31" t="n"/>
      <c r="S19" s="31" t="n"/>
      <c r="T19" s="31" t="n"/>
      <c r="U19" s="31" t="n"/>
      <c r="V19" s="31" t="n"/>
      <c r="AH19" s="31" t="n"/>
      <c r="AI19" s="31" t="n"/>
      <c r="AJ19" s="521" t="n"/>
    </row>
    <row r="20" ht="23.25" customFormat="1" customHeight="1" s="95">
      <c r="A20" s="207" t="n"/>
      <c r="B20" s="991" t="inlineStr">
        <is>
          <t>Начальник ОФЭиАУ НИОКР</t>
        </is>
      </c>
      <c r="H20" s="991" t="n"/>
      <c r="I20" s="991" t="n"/>
      <c r="K20" s="207" t="n"/>
      <c r="L20" s="207" t="n"/>
      <c r="M20" s="207" t="n"/>
      <c r="N20" s="207" t="n"/>
      <c r="O20" s="991" t="inlineStr">
        <is>
          <t>Ответственный исполнитель</t>
        </is>
      </c>
      <c r="AC20" s="991" t="inlineStr">
        <is>
          <t>Руководитель договора</t>
        </is>
      </c>
      <c r="AH20" s="207" t="n"/>
      <c r="AI20" s="207" t="n"/>
      <c r="AJ20" s="207" t="n"/>
    </row>
    <row r="21" ht="43.5" customFormat="1" customHeight="1" s="95">
      <c r="A21" s="207" t="n"/>
      <c r="B21" s="95" t="inlineStr">
        <is>
          <t>_____________________ Н.О. Васецкая</t>
        </is>
      </c>
      <c r="C21" s="207" t="n"/>
      <c r="D21" s="207" t="n"/>
      <c r="E21" s="207" t="n"/>
      <c r="F21" s="207" t="n"/>
      <c r="G21" s="207" t="n"/>
      <c r="H21" s="207" t="n"/>
      <c r="I21" s="207" t="n"/>
      <c r="K21" s="207" t="n"/>
      <c r="L21" s="207" t="n"/>
      <c r="M21" s="207" t="n"/>
      <c r="N21" s="207" t="n"/>
      <c r="O21" s="837" t="inlineStr">
        <is>
          <t>_____________________ И.О. Фамилия</t>
        </is>
      </c>
      <c r="Y21" s="207" t="n"/>
      <c r="Z21" s="207" t="n"/>
      <c r="AA21" s="207" t="n"/>
      <c r="AB21" s="207" t="n"/>
      <c r="AC21" s="837" t="inlineStr">
        <is>
          <t>_____________________ А.И. Боровков</t>
        </is>
      </c>
      <c r="AG21" s="207" t="n"/>
      <c r="AH21" s="207" t="n"/>
      <c r="AI21" s="207" t="n"/>
      <c r="AJ21" s="207" t="n"/>
    </row>
    <row r="22" ht="15.75" customHeight="1" s="794">
      <c r="B22" s="63" t="inlineStr">
        <is>
          <t xml:space="preserve">  (подпись)                                                      (Ф.И.О.)</t>
        </is>
      </c>
      <c r="C22" s="31" t="n"/>
      <c r="D22" s="31" t="n"/>
      <c r="E22" s="31" t="n"/>
      <c r="F22" s="31" t="n"/>
      <c r="G22" s="31" t="n"/>
      <c r="H22" s="31" t="n"/>
      <c r="I22" s="31" t="n"/>
      <c r="K22" s="31" t="n"/>
      <c r="L22" s="31" t="n"/>
      <c r="M22" s="31" t="n"/>
      <c r="N22" s="31" t="n"/>
      <c r="O22" s="63" t="inlineStr">
        <is>
          <t xml:space="preserve">  (подпись)                                                         (Ф.И.О.)</t>
        </is>
      </c>
      <c r="P22" s="190" t="n"/>
      <c r="Q22" s="190" t="n"/>
      <c r="R22" s="190" t="n"/>
      <c r="AC22" s="63" t="inlineStr">
        <is>
          <t xml:space="preserve">  (подпись)                                                         (Ф.И.О.)</t>
        </is>
      </c>
      <c r="AD22" s="190" t="n"/>
      <c r="AE22" s="190" t="n"/>
      <c r="AF22" s="190" t="n"/>
    </row>
    <row r="23" ht="23.25" customFormat="1" customHeight="1" s="103">
      <c r="B23" s="107" t="inlineStr">
        <is>
          <t>«____» __________________ 2025 г.</t>
        </is>
      </c>
      <c r="O23" s="107" t="inlineStr">
        <is>
          <t>«____» __________________ 2025 г.</t>
        </is>
      </c>
      <c r="AC23" s="107" t="inlineStr">
        <is>
          <t>«____» __________________ 2025 г.</t>
        </is>
      </c>
    </row>
    <row r="34">
      <c r="C34" s="33" t="n"/>
    </row>
  </sheetData>
  <mergeCells count="58">
    <mergeCell ref="R7:Z7"/>
    <mergeCell ref="X12:Y12"/>
    <mergeCell ref="AJ8:AJ9"/>
    <mergeCell ref="O10:P10"/>
    <mergeCell ref="X11:Y11"/>
    <mergeCell ref="AA10:AB10"/>
    <mergeCell ref="AI1:AJ1"/>
    <mergeCell ref="F4:AH4"/>
    <mergeCell ref="O15:P15"/>
    <mergeCell ref="AA13:AB13"/>
    <mergeCell ref="S8:S9"/>
    <mergeCell ref="V8:W8"/>
    <mergeCell ref="O9:P9"/>
    <mergeCell ref="G8:H8"/>
    <mergeCell ref="X17:Y17"/>
    <mergeCell ref="X13:Y13"/>
    <mergeCell ref="AA9:AB9"/>
    <mergeCell ref="C7:C9"/>
    <mergeCell ref="X16:Y16"/>
    <mergeCell ref="AA15:AB15"/>
    <mergeCell ref="AA8:AD8"/>
    <mergeCell ref="E7:E9"/>
    <mergeCell ref="A3:AJ3"/>
    <mergeCell ref="G7:Q7"/>
    <mergeCell ref="A2:AJ2"/>
    <mergeCell ref="T8:T9"/>
    <mergeCell ref="B7:B9"/>
    <mergeCell ref="O8:Q8"/>
    <mergeCell ref="A5:AJ5"/>
    <mergeCell ref="AE8:AI8"/>
    <mergeCell ref="B20:G20"/>
    <mergeCell ref="O16:P16"/>
    <mergeCell ref="AA14:AB14"/>
    <mergeCell ref="K8:L8"/>
    <mergeCell ref="U8:U9"/>
    <mergeCell ref="X15:Y15"/>
    <mergeCell ref="AA16:AB16"/>
    <mergeCell ref="F7:F9"/>
    <mergeCell ref="X14:Y14"/>
    <mergeCell ref="I8:J8"/>
    <mergeCell ref="O20:U20"/>
    <mergeCell ref="M8:N8"/>
    <mergeCell ref="O12:P12"/>
    <mergeCell ref="O17:P17"/>
    <mergeCell ref="A7:A9"/>
    <mergeCell ref="O11:P11"/>
    <mergeCell ref="AA12:AB12"/>
    <mergeCell ref="X10:Y10"/>
    <mergeCell ref="O13:P13"/>
    <mergeCell ref="AA11:AB11"/>
    <mergeCell ref="R8:R9"/>
    <mergeCell ref="O14:P14"/>
    <mergeCell ref="X8:Z8"/>
    <mergeCell ref="AC20:AF20"/>
    <mergeCell ref="D7:D9"/>
    <mergeCell ref="X9:Y9"/>
    <mergeCell ref="AA7:AJ7"/>
    <mergeCell ref="AA17:AB17"/>
  </mergeCells>
  <printOptions horizontalCentered="1"/>
  <pageMargins left="0.25" right="0.25" top="0.75" bottom="0.75" header="0.3" footer="0.3"/>
  <pageSetup orientation="landscape" paperSize="8" scale="66"/>
</worksheet>
</file>

<file path=xl/worksheets/sheet17.xml><?xml version="1.0" encoding="utf-8"?>
<worksheet xmlns="http://schemas.openxmlformats.org/spreadsheetml/2006/main">
  <sheetPr>
    <tabColor theme="4" tint="0.7999816888943144"/>
    <outlinePr summaryBelow="1" summaryRight="1"/>
    <pageSetUpPr fitToPage="1"/>
  </sheetPr>
  <dimension ref="A1:AJ26"/>
  <sheetViews>
    <sheetView view="pageBreakPreview" zoomScale="70" zoomScaleNormal="100" zoomScaleSheetLayoutView="70" workbookViewId="0">
      <selection activeCell="A5" sqref="A5:AJ5"/>
    </sheetView>
  </sheetViews>
  <sheetFormatPr baseColWidth="8" defaultColWidth="0.85546875" defaultRowHeight="12.75"/>
  <cols>
    <col width="5.7109375" bestFit="1" customWidth="1" style="22" min="1" max="1"/>
    <col width="26.42578125" customWidth="1" style="22" min="2" max="2"/>
    <col width="3.42578125" customWidth="1" style="22" min="3" max="3"/>
    <col width="3.5703125" customWidth="1" style="22" min="4" max="4"/>
    <col width="4.85546875" customWidth="1" style="22" min="5" max="5"/>
    <col width="10" customWidth="1" style="22" min="6" max="6"/>
    <col width="5.5703125" customWidth="1" style="22" min="7" max="7"/>
    <col width="6.140625" customWidth="1" style="22" min="8" max="8"/>
    <col width="7.42578125" customWidth="1" style="22" min="9" max="9"/>
    <col width="7.5703125" customWidth="1" style="22" min="10" max="10"/>
    <col width="6.140625" customWidth="1" style="22" min="11" max="11"/>
    <col width="6.28515625" customWidth="1" style="22" min="12" max="12"/>
    <col width="14" customWidth="1" style="22" min="13" max="13"/>
    <col width="9.85546875" customWidth="1" style="22" min="14" max="14"/>
    <col width="7.7109375" customWidth="1" style="22" min="15" max="15"/>
    <col width="4.85546875" customWidth="1" style="22" min="16" max="16"/>
    <col width="8.140625" customWidth="1" style="22" min="17" max="17"/>
    <col width="10.85546875" customWidth="1" style="22" min="18" max="18"/>
    <col width="9.7109375" customWidth="1" style="22" min="19" max="19"/>
    <col width="9.5703125" customWidth="1" style="22" min="20" max="20"/>
    <col width="8.28515625" customWidth="1" style="22" min="21" max="21"/>
    <col width="14.28515625" customWidth="1" style="22" min="22" max="22"/>
    <col width="11.85546875" customWidth="1" style="22" min="23" max="23"/>
    <col width="7.7109375" customWidth="1" style="22" min="24" max="24"/>
    <col width="5.140625" customWidth="1" style="22" min="25" max="25"/>
    <col width="6.42578125" customWidth="1" style="22" min="26" max="26"/>
    <col width="10.85546875" customWidth="1" style="22" min="27" max="27"/>
    <col width="7.7109375" customWidth="1" style="22" min="28" max="28"/>
    <col width="4.85546875" customWidth="1" style="22" min="29" max="29"/>
    <col width="7.7109375" customWidth="1" style="22" min="30" max="30"/>
    <col width="15.85546875" customWidth="1" style="22" min="31" max="31"/>
    <col width="10.85546875" customWidth="1" style="22" min="32" max="32"/>
    <col width="10.42578125" customWidth="1" style="22" min="33" max="33"/>
    <col width="10.28515625" customWidth="1" style="22" min="34" max="34"/>
    <col width="7.85546875" customWidth="1" style="22" min="35" max="35"/>
    <col width="8.85546875" customWidth="1" style="22" min="36" max="36"/>
    <col width="0.85546875" customWidth="1" style="22" min="37" max="256"/>
    <col width="5.7109375" bestFit="1" customWidth="1" style="22" min="257" max="257"/>
    <col width="29.42578125" customWidth="1" style="22" min="258" max="258"/>
    <col width="6.28515625" customWidth="1" style="22" min="259" max="259"/>
    <col width="7.28515625" customWidth="1" style="22" min="260" max="261"/>
    <col width="10" customWidth="1" style="22" min="262" max="262"/>
    <col width="8.85546875" customWidth="1" style="22" min="263" max="263"/>
    <col width="9" customWidth="1" style="22" min="264" max="264"/>
    <col width="10.28515625" customWidth="1" style="22" min="265" max="265"/>
    <col width="10" customWidth="1" style="22" min="266" max="268"/>
    <col width="14" customWidth="1" style="22" min="269" max="269"/>
    <col width="11.7109375" customWidth="1" style="22" min="270" max="270"/>
    <col width="8.7109375" customWidth="1" style="22" min="271" max="271"/>
    <col width="4.85546875" customWidth="1" style="22" min="272" max="272"/>
    <col width="8.140625" customWidth="1" style="22" min="273" max="273"/>
    <col width="10.85546875" customWidth="1" style="22" min="274" max="274"/>
    <col width="9.7109375" customWidth="1" style="22" min="275" max="275"/>
    <col width="11" customWidth="1" style="22" min="276" max="276"/>
    <col width="9.140625" customWidth="1" style="22" min="277" max="277"/>
    <col width="15.7109375" customWidth="1" style="22" min="278" max="278"/>
    <col width="12" customWidth="1" style="22" min="279" max="279"/>
    <col width="8.7109375" customWidth="1" style="22" min="280" max="280"/>
    <col width="5.140625" customWidth="1" style="22" min="281" max="281"/>
    <col width="8" customWidth="1" style="22" min="282" max="282"/>
    <col width="10.85546875" customWidth="1" style="22" min="283" max="283"/>
    <col width="7.7109375" customWidth="1" style="22" min="284" max="284"/>
    <col width="4.85546875" customWidth="1" style="22" min="285" max="285"/>
    <col width="7.7109375" customWidth="1" style="22" min="286" max="286"/>
    <col width="15.85546875" customWidth="1" style="22" min="287" max="287"/>
    <col width="10.85546875" customWidth="1" style="22" min="288" max="288"/>
    <col width="10.42578125" customWidth="1" style="22" min="289" max="289"/>
    <col width="10.85546875" customWidth="1" style="22" min="290" max="290"/>
    <col width="8.42578125" customWidth="1" style="22" min="291" max="291"/>
    <col width="8.85546875" customWidth="1" style="22" min="292" max="292"/>
    <col width="0.85546875" customWidth="1" style="22" min="293" max="512"/>
    <col width="5.7109375" bestFit="1" customWidth="1" style="22" min="513" max="513"/>
    <col width="29.42578125" customWidth="1" style="22" min="514" max="514"/>
    <col width="6.28515625" customWidth="1" style="22" min="515" max="515"/>
    <col width="7.28515625" customWidth="1" style="22" min="516" max="517"/>
    <col width="10" customWidth="1" style="22" min="518" max="518"/>
    <col width="8.85546875" customWidth="1" style="22" min="519" max="519"/>
    <col width="9" customWidth="1" style="22" min="520" max="520"/>
    <col width="10.28515625" customWidth="1" style="22" min="521" max="521"/>
    <col width="10" customWidth="1" style="22" min="522" max="524"/>
    <col width="14" customWidth="1" style="22" min="525" max="525"/>
    <col width="11.7109375" customWidth="1" style="22" min="526" max="526"/>
    <col width="8.7109375" customWidth="1" style="22" min="527" max="527"/>
    <col width="4.85546875" customWidth="1" style="22" min="528" max="528"/>
    <col width="8.140625" customWidth="1" style="22" min="529" max="529"/>
    <col width="10.85546875" customWidth="1" style="22" min="530" max="530"/>
    <col width="9.7109375" customWidth="1" style="22" min="531" max="531"/>
    <col width="11" customWidth="1" style="22" min="532" max="532"/>
    <col width="9.140625" customWidth="1" style="22" min="533" max="533"/>
    <col width="15.7109375" customWidth="1" style="22" min="534" max="534"/>
    <col width="12" customWidth="1" style="22" min="535" max="535"/>
    <col width="8.7109375" customWidth="1" style="22" min="536" max="536"/>
    <col width="5.140625" customWidth="1" style="22" min="537" max="537"/>
    <col width="8" customWidth="1" style="22" min="538" max="538"/>
    <col width="10.85546875" customWidth="1" style="22" min="539" max="539"/>
    <col width="7.7109375" customWidth="1" style="22" min="540" max="540"/>
    <col width="4.85546875" customWidth="1" style="22" min="541" max="541"/>
    <col width="7.7109375" customWidth="1" style="22" min="542" max="542"/>
    <col width="15.85546875" customWidth="1" style="22" min="543" max="543"/>
    <col width="10.85546875" customWidth="1" style="22" min="544" max="544"/>
    <col width="10.42578125" customWidth="1" style="22" min="545" max="545"/>
    <col width="10.85546875" customWidth="1" style="22" min="546" max="546"/>
    <col width="8.42578125" customWidth="1" style="22" min="547" max="547"/>
    <col width="8.85546875" customWidth="1" style="22" min="548" max="548"/>
    <col width="0.85546875" customWidth="1" style="22" min="549" max="768"/>
    <col width="5.7109375" bestFit="1" customWidth="1" style="22" min="769" max="769"/>
    <col width="29.42578125" customWidth="1" style="22" min="770" max="770"/>
    <col width="6.28515625" customWidth="1" style="22" min="771" max="771"/>
    <col width="7.28515625" customWidth="1" style="22" min="772" max="773"/>
    <col width="10" customWidth="1" style="22" min="774" max="774"/>
    <col width="8.85546875" customWidth="1" style="22" min="775" max="775"/>
    <col width="9" customWidth="1" style="22" min="776" max="776"/>
    <col width="10.28515625" customWidth="1" style="22" min="777" max="777"/>
    <col width="10" customWidth="1" style="22" min="778" max="780"/>
    <col width="14" customWidth="1" style="22" min="781" max="781"/>
    <col width="11.7109375" customWidth="1" style="22" min="782" max="782"/>
    <col width="8.7109375" customWidth="1" style="22" min="783" max="783"/>
    <col width="4.85546875" customWidth="1" style="22" min="784" max="784"/>
    <col width="8.140625" customWidth="1" style="22" min="785" max="785"/>
    <col width="10.85546875" customWidth="1" style="22" min="786" max="786"/>
    <col width="9.7109375" customWidth="1" style="22" min="787" max="787"/>
    <col width="11" customWidth="1" style="22" min="788" max="788"/>
    <col width="9.140625" customWidth="1" style="22" min="789" max="789"/>
    <col width="15.7109375" customWidth="1" style="22" min="790" max="790"/>
    <col width="12" customWidth="1" style="22" min="791" max="791"/>
    <col width="8.7109375" customWidth="1" style="22" min="792" max="792"/>
    <col width="5.140625" customWidth="1" style="22" min="793" max="793"/>
    <col width="8" customWidth="1" style="22" min="794" max="794"/>
    <col width="10.85546875" customWidth="1" style="22" min="795" max="795"/>
    <col width="7.7109375" customWidth="1" style="22" min="796" max="796"/>
    <col width="4.85546875" customWidth="1" style="22" min="797" max="797"/>
    <col width="7.7109375" customWidth="1" style="22" min="798" max="798"/>
    <col width="15.85546875" customWidth="1" style="22" min="799" max="799"/>
    <col width="10.85546875" customWidth="1" style="22" min="800" max="800"/>
    <col width="10.42578125" customWidth="1" style="22" min="801" max="801"/>
    <col width="10.85546875" customWidth="1" style="22" min="802" max="802"/>
    <col width="8.42578125" customWidth="1" style="22" min="803" max="803"/>
    <col width="8.85546875" customWidth="1" style="22" min="804" max="804"/>
    <col width="0.85546875" customWidth="1" style="22" min="805" max="1024"/>
    <col width="5.7109375" bestFit="1" customWidth="1" style="22" min="1025" max="1025"/>
    <col width="29.42578125" customWidth="1" style="22" min="1026" max="1026"/>
    <col width="6.28515625" customWidth="1" style="22" min="1027" max="1027"/>
    <col width="7.28515625" customWidth="1" style="22" min="1028" max="1029"/>
    <col width="10" customWidth="1" style="22" min="1030" max="1030"/>
    <col width="8.85546875" customWidth="1" style="22" min="1031" max="1031"/>
    <col width="9" customWidth="1" style="22" min="1032" max="1032"/>
    <col width="10.28515625" customWidth="1" style="22" min="1033" max="1033"/>
    <col width="10" customWidth="1" style="22" min="1034" max="1036"/>
    <col width="14" customWidth="1" style="22" min="1037" max="1037"/>
    <col width="11.7109375" customWidth="1" style="22" min="1038" max="1038"/>
    <col width="8.7109375" customWidth="1" style="22" min="1039" max="1039"/>
    <col width="4.85546875" customWidth="1" style="22" min="1040" max="1040"/>
    <col width="8.140625" customWidth="1" style="22" min="1041" max="1041"/>
    <col width="10.85546875" customWidth="1" style="22" min="1042" max="1042"/>
    <col width="9.7109375" customWidth="1" style="22" min="1043" max="1043"/>
    <col width="11" customWidth="1" style="22" min="1044" max="1044"/>
    <col width="9.140625" customWidth="1" style="22" min="1045" max="1045"/>
    <col width="15.7109375" customWidth="1" style="22" min="1046" max="1046"/>
    <col width="12" customWidth="1" style="22" min="1047" max="1047"/>
    <col width="8.7109375" customWidth="1" style="22" min="1048" max="1048"/>
    <col width="5.140625" customWidth="1" style="22" min="1049" max="1049"/>
    <col width="8" customWidth="1" style="22" min="1050" max="1050"/>
    <col width="10.85546875" customWidth="1" style="22" min="1051" max="1051"/>
    <col width="7.7109375" customWidth="1" style="22" min="1052" max="1052"/>
    <col width="4.85546875" customWidth="1" style="22" min="1053" max="1053"/>
    <col width="7.7109375" customWidth="1" style="22" min="1054" max="1054"/>
    <col width="15.85546875" customWidth="1" style="22" min="1055" max="1055"/>
    <col width="10.85546875" customWidth="1" style="22" min="1056" max="1056"/>
    <col width="10.42578125" customWidth="1" style="22" min="1057" max="1057"/>
    <col width="10.85546875" customWidth="1" style="22" min="1058" max="1058"/>
    <col width="8.42578125" customWidth="1" style="22" min="1059" max="1059"/>
    <col width="8.85546875" customWidth="1" style="22" min="1060" max="1060"/>
    <col width="0.85546875" customWidth="1" style="22" min="1061" max="1280"/>
    <col width="5.7109375" bestFit="1" customWidth="1" style="22" min="1281" max="1281"/>
    <col width="29.42578125" customWidth="1" style="22" min="1282" max="1282"/>
    <col width="6.28515625" customWidth="1" style="22" min="1283" max="1283"/>
    <col width="7.28515625" customWidth="1" style="22" min="1284" max="1285"/>
    <col width="10" customWidth="1" style="22" min="1286" max="1286"/>
    <col width="8.85546875" customWidth="1" style="22" min="1287" max="1287"/>
    <col width="9" customWidth="1" style="22" min="1288" max="1288"/>
    <col width="10.28515625" customWidth="1" style="22" min="1289" max="1289"/>
    <col width="10" customWidth="1" style="22" min="1290" max="1292"/>
    <col width="14" customWidth="1" style="22" min="1293" max="1293"/>
    <col width="11.7109375" customWidth="1" style="22" min="1294" max="1294"/>
    <col width="8.7109375" customWidth="1" style="22" min="1295" max="1295"/>
    <col width="4.85546875" customWidth="1" style="22" min="1296" max="1296"/>
    <col width="8.140625" customWidth="1" style="22" min="1297" max="1297"/>
    <col width="10.85546875" customWidth="1" style="22" min="1298" max="1298"/>
    <col width="9.7109375" customWidth="1" style="22" min="1299" max="1299"/>
    <col width="11" customWidth="1" style="22" min="1300" max="1300"/>
    <col width="9.140625" customWidth="1" style="22" min="1301" max="1301"/>
    <col width="15.7109375" customWidth="1" style="22" min="1302" max="1302"/>
    <col width="12" customWidth="1" style="22" min="1303" max="1303"/>
    <col width="8.7109375" customWidth="1" style="22" min="1304" max="1304"/>
    <col width="5.140625" customWidth="1" style="22" min="1305" max="1305"/>
    <col width="8" customWidth="1" style="22" min="1306" max="1306"/>
    <col width="10.85546875" customWidth="1" style="22" min="1307" max="1307"/>
    <col width="7.7109375" customWidth="1" style="22" min="1308" max="1308"/>
    <col width="4.85546875" customWidth="1" style="22" min="1309" max="1309"/>
    <col width="7.7109375" customWidth="1" style="22" min="1310" max="1310"/>
    <col width="15.85546875" customWidth="1" style="22" min="1311" max="1311"/>
    <col width="10.85546875" customWidth="1" style="22" min="1312" max="1312"/>
    <col width="10.42578125" customWidth="1" style="22" min="1313" max="1313"/>
    <col width="10.85546875" customWidth="1" style="22" min="1314" max="1314"/>
    <col width="8.42578125" customWidth="1" style="22" min="1315" max="1315"/>
    <col width="8.85546875" customWidth="1" style="22" min="1316" max="1316"/>
    <col width="0.85546875" customWidth="1" style="22" min="1317" max="1536"/>
    <col width="5.7109375" bestFit="1" customWidth="1" style="22" min="1537" max="1537"/>
    <col width="29.42578125" customWidth="1" style="22" min="1538" max="1538"/>
    <col width="6.28515625" customWidth="1" style="22" min="1539" max="1539"/>
    <col width="7.28515625" customWidth="1" style="22" min="1540" max="1541"/>
    <col width="10" customWidth="1" style="22" min="1542" max="1542"/>
    <col width="8.85546875" customWidth="1" style="22" min="1543" max="1543"/>
    <col width="9" customWidth="1" style="22" min="1544" max="1544"/>
    <col width="10.28515625" customWidth="1" style="22" min="1545" max="1545"/>
    <col width="10" customWidth="1" style="22" min="1546" max="1548"/>
    <col width="14" customWidth="1" style="22" min="1549" max="1549"/>
    <col width="11.7109375" customWidth="1" style="22" min="1550" max="1550"/>
    <col width="8.7109375" customWidth="1" style="22" min="1551" max="1551"/>
    <col width="4.85546875" customWidth="1" style="22" min="1552" max="1552"/>
    <col width="8.140625" customWidth="1" style="22" min="1553" max="1553"/>
    <col width="10.85546875" customWidth="1" style="22" min="1554" max="1554"/>
    <col width="9.7109375" customWidth="1" style="22" min="1555" max="1555"/>
    <col width="11" customWidth="1" style="22" min="1556" max="1556"/>
    <col width="9.140625" customWidth="1" style="22" min="1557" max="1557"/>
    <col width="15.7109375" customWidth="1" style="22" min="1558" max="1558"/>
    <col width="12" customWidth="1" style="22" min="1559" max="1559"/>
    <col width="8.7109375" customWidth="1" style="22" min="1560" max="1560"/>
    <col width="5.140625" customWidth="1" style="22" min="1561" max="1561"/>
    <col width="8" customWidth="1" style="22" min="1562" max="1562"/>
    <col width="10.85546875" customWidth="1" style="22" min="1563" max="1563"/>
    <col width="7.7109375" customWidth="1" style="22" min="1564" max="1564"/>
    <col width="4.85546875" customWidth="1" style="22" min="1565" max="1565"/>
    <col width="7.7109375" customWidth="1" style="22" min="1566" max="1566"/>
    <col width="15.85546875" customWidth="1" style="22" min="1567" max="1567"/>
    <col width="10.85546875" customWidth="1" style="22" min="1568" max="1568"/>
    <col width="10.42578125" customWidth="1" style="22" min="1569" max="1569"/>
    <col width="10.85546875" customWidth="1" style="22" min="1570" max="1570"/>
    <col width="8.42578125" customWidth="1" style="22" min="1571" max="1571"/>
    <col width="8.85546875" customWidth="1" style="22" min="1572" max="1572"/>
    <col width="0.85546875" customWidth="1" style="22" min="1573" max="1792"/>
    <col width="5.7109375" bestFit="1" customWidth="1" style="22" min="1793" max="1793"/>
    <col width="29.42578125" customWidth="1" style="22" min="1794" max="1794"/>
    <col width="6.28515625" customWidth="1" style="22" min="1795" max="1795"/>
    <col width="7.28515625" customWidth="1" style="22" min="1796" max="1797"/>
    <col width="10" customWidth="1" style="22" min="1798" max="1798"/>
    <col width="8.85546875" customWidth="1" style="22" min="1799" max="1799"/>
    <col width="9" customWidth="1" style="22" min="1800" max="1800"/>
    <col width="10.28515625" customWidth="1" style="22" min="1801" max="1801"/>
    <col width="10" customWidth="1" style="22" min="1802" max="1804"/>
    <col width="14" customWidth="1" style="22" min="1805" max="1805"/>
    <col width="11.7109375" customWidth="1" style="22" min="1806" max="1806"/>
    <col width="8.7109375" customWidth="1" style="22" min="1807" max="1807"/>
    <col width="4.85546875" customWidth="1" style="22" min="1808" max="1808"/>
    <col width="8.140625" customWidth="1" style="22" min="1809" max="1809"/>
    <col width="10.85546875" customWidth="1" style="22" min="1810" max="1810"/>
    <col width="9.7109375" customWidth="1" style="22" min="1811" max="1811"/>
    <col width="11" customWidth="1" style="22" min="1812" max="1812"/>
    <col width="9.140625" customWidth="1" style="22" min="1813" max="1813"/>
    <col width="15.7109375" customWidth="1" style="22" min="1814" max="1814"/>
    <col width="12" customWidth="1" style="22" min="1815" max="1815"/>
    <col width="8.7109375" customWidth="1" style="22" min="1816" max="1816"/>
    <col width="5.140625" customWidth="1" style="22" min="1817" max="1817"/>
    <col width="8" customWidth="1" style="22" min="1818" max="1818"/>
    <col width="10.85546875" customWidth="1" style="22" min="1819" max="1819"/>
    <col width="7.7109375" customWidth="1" style="22" min="1820" max="1820"/>
    <col width="4.85546875" customWidth="1" style="22" min="1821" max="1821"/>
    <col width="7.7109375" customWidth="1" style="22" min="1822" max="1822"/>
    <col width="15.85546875" customWidth="1" style="22" min="1823" max="1823"/>
    <col width="10.85546875" customWidth="1" style="22" min="1824" max="1824"/>
    <col width="10.42578125" customWidth="1" style="22" min="1825" max="1825"/>
    <col width="10.85546875" customWidth="1" style="22" min="1826" max="1826"/>
    <col width="8.42578125" customWidth="1" style="22" min="1827" max="1827"/>
    <col width="8.85546875" customWidth="1" style="22" min="1828" max="1828"/>
    <col width="0.85546875" customWidth="1" style="22" min="1829" max="2048"/>
    <col width="5.7109375" bestFit="1" customWidth="1" style="22" min="2049" max="2049"/>
    <col width="29.42578125" customWidth="1" style="22" min="2050" max="2050"/>
    <col width="6.28515625" customWidth="1" style="22" min="2051" max="2051"/>
    <col width="7.28515625" customWidth="1" style="22" min="2052" max="2053"/>
    <col width="10" customWidth="1" style="22" min="2054" max="2054"/>
    <col width="8.85546875" customWidth="1" style="22" min="2055" max="2055"/>
    <col width="9" customWidth="1" style="22" min="2056" max="2056"/>
    <col width="10.28515625" customWidth="1" style="22" min="2057" max="2057"/>
    <col width="10" customWidth="1" style="22" min="2058" max="2060"/>
    <col width="14" customWidth="1" style="22" min="2061" max="2061"/>
    <col width="11.7109375" customWidth="1" style="22" min="2062" max="2062"/>
    <col width="8.7109375" customWidth="1" style="22" min="2063" max="2063"/>
    <col width="4.85546875" customWidth="1" style="22" min="2064" max="2064"/>
    <col width="8.140625" customWidth="1" style="22" min="2065" max="2065"/>
    <col width="10.85546875" customWidth="1" style="22" min="2066" max="2066"/>
    <col width="9.7109375" customWidth="1" style="22" min="2067" max="2067"/>
    <col width="11" customWidth="1" style="22" min="2068" max="2068"/>
    <col width="9.140625" customWidth="1" style="22" min="2069" max="2069"/>
    <col width="15.7109375" customWidth="1" style="22" min="2070" max="2070"/>
    <col width="12" customWidth="1" style="22" min="2071" max="2071"/>
    <col width="8.7109375" customWidth="1" style="22" min="2072" max="2072"/>
    <col width="5.140625" customWidth="1" style="22" min="2073" max="2073"/>
    <col width="8" customWidth="1" style="22" min="2074" max="2074"/>
    <col width="10.85546875" customWidth="1" style="22" min="2075" max="2075"/>
    <col width="7.7109375" customWidth="1" style="22" min="2076" max="2076"/>
    <col width="4.85546875" customWidth="1" style="22" min="2077" max="2077"/>
    <col width="7.7109375" customWidth="1" style="22" min="2078" max="2078"/>
    <col width="15.85546875" customWidth="1" style="22" min="2079" max="2079"/>
    <col width="10.85546875" customWidth="1" style="22" min="2080" max="2080"/>
    <col width="10.42578125" customWidth="1" style="22" min="2081" max="2081"/>
    <col width="10.85546875" customWidth="1" style="22" min="2082" max="2082"/>
    <col width="8.42578125" customWidth="1" style="22" min="2083" max="2083"/>
    <col width="8.85546875" customWidth="1" style="22" min="2084" max="2084"/>
    <col width="0.85546875" customWidth="1" style="22" min="2085" max="2304"/>
    <col width="5.7109375" bestFit="1" customWidth="1" style="22" min="2305" max="2305"/>
    <col width="29.42578125" customWidth="1" style="22" min="2306" max="2306"/>
    <col width="6.28515625" customWidth="1" style="22" min="2307" max="2307"/>
    <col width="7.28515625" customWidth="1" style="22" min="2308" max="2309"/>
    <col width="10" customWidth="1" style="22" min="2310" max="2310"/>
    <col width="8.85546875" customWidth="1" style="22" min="2311" max="2311"/>
    <col width="9" customWidth="1" style="22" min="2312" max="2312"/>
    <col width="10.28515625" customWidth="1" style="22" min="2313" max="2313"/>
    <col width="10" customWidth="1" style="22" min="2314" max="2316"/>
    <col width="14" customWidth="1" style="22" min="2317" max="2317"/>
    <col width="11.7109375" customWidth="1" style="22" min="2318" max="2318"/>
    <col width="8.7109375" customWidth="1" style="22" min="2319" max="2319"/>
    <col width="4.85546875" customWidth="1" style="22" min="2320" max="2320"/>
    <col width="8.140625" customWidth="1" style="22" min="2321" max="2321"/>
    <col width="10.85546875" customWidth="1" style="22" min="2322" max="2322"/>
    <col width="9.7109375" customWidth="1" style="22" min="2323" max="2323"/>
    <col width="11" customWidth="1" style="22" min="2324" max="2324"/>
    <col width="9.140625" customWidth="1" style="22" min="2325" max="2325"/>
    <col width="15.7109375" customWidth="1" style="22" min="2326" max="2326"/>
    <col width="12" customWidth="1" style="22" min="2327" max="2327"/>
    <col width="8.7109375" customWidth="1" style="22" min="2328" max="2328"/>
    <col width="5.140625" customWidth="1" style="22" min="2329" max="2329"/>
    <col width="8" customWidth="1" style="22" min="2330" max="2330"/>
    <col width="10.85546875" customWidth="1" style="22" min="2331" max="2331"/>
    <col width="7.7109375" customWidth="1" style="22" min="2332" max="2332"/>
    <col width="4.85546875" customWidth="1" style="22" min="2333" max="2333"/>
    <col width="7.7109375" customWidth="1" style="22" min="2334" max="2334"/>
    <col width="15.85546875" customWidth="1" style="22" min="2335" max="2335"/>
    <col width="10.85546875" customWidth="1" style="22" min="2336" max="2336"/>
    <col width="10.42578125" customWidth="1" style="22" min="2337" max="2337"/>
    <col width="10.85546875" customWidth="1" style="22" min="2338" max="2338"/>
    <col width="8.42578125" customWidth="1" style="22" min="2339" max="2339"/>
    <col width="8.85546875" customWidth="1" style="22" min="2340" max="2340"/>
    <col width="0.85546875" customWidth="1" style="22" min="2341" max="2560"/>
    <col width="5.7109375" bestFit="1" customWidth="1" style="22" min="2561" max="2561"/>
    <col width="29.42578125" customWidth="1" style="22" min="2562" max="2562"/>
    <col width="6.28515625" customWidth="1" style="22" min="2563" max="2563"/>
    <col width="7.28515625" customWidth="1" style="22" min="2564" max="2565"/>
    <col width="10" customWidth="1" style="22" min="2566" max="2566"/>
    <col width="8.85546875" customWidth="1" style="22" min="2567" max="2567"/>
    <col width="9" customWidth="1" style="22" min="2568" max="2568"/>
    <col width="10.28515625" customWidth="1" style="22" min="2569" max="2569"/>
    <col width="10" customWidth="1" style="22" min="2570" max="2572"/>
    <col width="14" customWidth="1" style="22" min="2573" max="2573"/>
    <col width="11.7109375" customWidth="1" style="22" min="2574" max="2574"/>
    <col width="8.7109375" customWidth="1" style="22" min="2575" max="2575"/>
    <col width="4.85546875" customWidth="1" style="22" min="2576" max="2576"/>
    <col width="8.140625" customWidth="1" style="22" min="2577" max="2577"/>
    <col width="10.85546875" customWidth="1" style="22" min="2578" max="2578"/>
    <col width="9.7109375" customWidth="1" style="22" min="2579" max="2579"/>
    <col width="11" customWidth="1" style="22" min="2580" max="2580"/>
    <col width="9.140625" customWidth="1" style="22" min="2581" max="2581"/>
    <col width="15.7109375" customWidth="1" style="22" min="2582" max="2582"/>
    <col width="12" customWidth="1" style="22" min="2583" max="2583"/>
    <col width="8.7109375" customWidth="1" style="22" min="2584" max="2584"/>
    <col width="5.140625" customWidth="1" style="22" min="2585" max="2585"/>
    <col width="8" customWidth="1" style="22" min="2586" max="2586"/>
    <col width="10.85546875" customWidth="1" style="22" min="2587" max="2587"/>
    <col width="7.7109375" customWidth="1" style="22" min="2588" max="2588"/>
    <col width="4.85546875" customWidth="1" style="22" min="2589" max="2589"/>
    <col width="7.7109375" customWidth="1" style="22" min="2590" max="2590"/>
    <col width="15.85546875" customWidth="1" style="22" min="2591" max="2591"/>
    <col width="10.85546875" customWidth="1" style="22" min="2592" max="2592"/>
    <col width="10.42578125" customWidth="1" style="22" min="2593" max="2593"/>
    <col width="10.85546875" customWidth="1" style="22" min="2594" max="2594"/>
    <col width="8.42578125" customWidth="1" style="22" min="2595" max="2595"/>
    <col width="8.85546875" customWidth="1" style="22" min="2596" max="2596"/>
    <col width="0.85546875" customWidth="1" style="22" min="2597" max="2816"/>
    <col width="5.7109375" bestFit="1" customWidth="1" style="22" min="2817" max="2817"/>
    <col width="29.42578125" customWidth="1" style="22" min="2818" max="2818"/>
    <col width="6.28515625" customWidth="1" style="22" min="2819" max="2819"/>
    <col width="7.28515625" customWidth="1" style="22" min="2820" max="2821"/>
    <col width="10" customWidth="1" style="22" min="2822" max="2822"/>
    <col width="8.85546875" customWidth="1" style="22" min="2823" max="2823"/>
    <col width="9" customWidth="1" style="22" min="2824" max="2824"/>
    <col width="10.28515625" customWidth="1" style="22" min="2825" max="2825"/>
    <col width="10" customWidth="1" style="22" min="2826" max="2828"/>
    <col width="14" customWidth="1" style="22" min="2829" max="2829"/>
    <col width="11.7109375" customWidth="1" style="22" min="2830" max="2830"/>
    <col width="8.7109375" customWidth="1" style="22" min="2831" max="2831"/>
    <col width="4.85546875" customWidth="1" style="22" min="2832" max="2832"/>
    <col width="8.140625" customWidth="1" style="22" min="2833" max="2833"/>
    <col width="10.85546875" customWidth="1" style="22" min="2834" max="2834"/>
    <col width="9.7109375" customWidth="1" style="22" min="2835" max="2835"/>
    <col width="11" customWidth="1" style="22" min="2836" max="2836"/>
    <col width="9.140625" customWidth="1" style="22" min="2837" max="2837"/>
    <col width="15.7109375" customWidth="1" style="22" min="2838" max="2838"/>
    <col width="12" customWidth="1" style="22" min="2839" max="2839"/>
    <col width="8.7109375" customWidth="1" style="22" min="2840" max="2840"/>
    <col width="5.140625" customWidth="1" style="22" min="2841" max="2841"/>
    <col width="8" customWidth="1" style="22" min="2842" max="2842"/>
    <col width="10.85546875" customWidth="1" style="22" min="2843" max="2843"/>
    <col width="7.7109375" customWidth="1" style="22" min="2844" max="2844"/>
    <col width="4.85546875" customWidth="1" style="22" min="2845" max="2845"/>
    <col width="7.7109375" customWidth="1" style="22" min="2846" max="2846"/>
    <col width="15.85546875" customWidth="1" style="22" min="2847" max="2847"/>
    <col width="10.85546875" customWidth="1" style="22" min="2848" max="2848"/>
    <col width="10.42578125" customWidth="1" style="22" min="2849" max="2849"/>
    <col width="10.85546875" customWidth="1" style="22" min="2850" max="2850"/>
    <col width="8.42578125" customWidth="1" style="22" min="2851" max="2851"/>
    <col width="8.85546875" customWidth="1" style="22" min="2852" max="2852"/>
    <col width="0.85546875" customWidth="1" style="22" min="2853" max="3072"/>
    <col width="5.7109375" bestFit="1" customWidth="1" style="22" min="3073" max="3073"/>
    <col width="29.42578125" customWidth="1" style="22" min="3074" max="3074"/>
    <col width="6.28515625" customWidth="1" style="22" min="3075" max="3075"/>
    <col width="7.28515625" customWidth="1" style="22" min="3076" max="3077"/>
    <col width="10" customWidth="1" style="22" min="3078" max="3078"/>
    <col width="8.85546875" customWidth="1" style="22" min="3079" max="3079"/>
    <col width="9" customWidth="1" style="22" min="3080" max="3080"/>
    <col width="10.28515625" customWidth="1" style="22" min="3081" max="3081"/>
    <col width="10" customWidth="1" style="22" min="3082" max="3084"/>
    <col width="14" customWidth="1" style="22" min="3085" max="3085"/>
    <col width="11.7109375" customWidth="1" style="22" min="3086" max="3086"/>
    <col width="8.7109375" customWidth="1" style="22" min="3087" max="3087"/>
    <col width="4.85546875" customWidth="1" style="22" min="3088" max="3088"/>
    <col width="8.140625" customWidth="1" style="22" min="3089" max="3089"/>
    <col width="10.85546875" customWidth="1" style="22" min="3090" max="3090"/>
    <col width="9.7109375" customWidth="1" style="22" min="3091" max="3091"/>
    <col width="11" customWidth="1" style="22" min="3092" max="3092"/>
    <col width="9.140625" customWidth="1" style="22" min="3093" max="3093"/>
    <col width="15.7109375" customWidth="1" style="22" min="3094" max="3094"/>
    <col width="12" customWidth="1" style="22" min="3095" max="3095"/>
    <col width="8.7109375" customWidth="1" style="22" min="3096" max="3096"/>
    <col width="5.140625" customWidth="1" style="22" min="3097" max="3097"/>
    <col width="8" customWidth="1" style="22" min="3098" max="3098"/>
    <col width="10.85546875" customWidth="1" style="22" min="3099" max="3099"/>
    <col width="7.7109375" customWidth="1" style="22" min="3100" max="3100"/>
    <col width="4.85546875" customWidth="1" style="22" min="3101" max="3101"/>
    <col width="7.7109375" customWidth="1" style="22" min="3102" max="3102"/>
    <col width="15.85546875" customWidth="1" style="22" min="3103" max="3103"/>
    <col width="10.85546875" customWidth="1" style="22" min="3104" max="3104"/>
    <col width="10.42578125" customWidth="1" style="22" min="3105" max="3105"/>
    <col width="10.85546875" customWidth="1" style="22" min="3106" max="3106"/>
    <col width="8.42578125" customWidth="1" style="22" min="3107" max="3107"/>
    <col width="8.85546875" customWidth="1" style="22" min="3108" max="3108"/>
    <col width="0.85546875" customWidth="1" style="22" min="3109" max="3328"/>
    <col width="5.7109375" bestFit="1" customWidth="1" style="22" min="3329" max="3329"/>
    <col width="29.42578125" customWidth="1" style="22" min="3330" max="3330"/>
    <col width="6.28515625" customWidth="1" style="22" min="3331" max="3331"/>
    <col width="7.28515625" customWidth="1" style="22" min="3332" max="3333"/>
    <col width="10" customWidth="1" style="22" min="3334" max="3334"/>
    <col width="8.85546875" customWidth="1" style="22" min="3335" max="3335"/>
    <col width="9" customWidth="1" style="22" min="3336" max="3336"/>
    <col width="10.28515625" customWidth="1" style="22" min="3337" max="3337"/>
    <col width="10" customWidth="1" style="22" min="3338" max="3340"/>
    <col width="14" customWidth="1" style="22" min="3341" max="3341"/>
    <col width="11.7109375" customWidth="1" style="22" min="3342" max="3342"/>
    <col width="8.7109375" customWidth="1" style="22" min="3343" max="3343"/>
    <col width="4.85546875" customWidth="1" style="22" min="3344" max="3344"/>
    <col width="8.140625" customWidth="1" style="22" min="3345" max="3345"/>
    <col width="10.85546875" customWidth="1" style="22" min="3346" max="3346"/>
    <col width="9.7109375" customWidth="1" style="22" min="3347" max="3347"/>
    <col width="11" customWidth="1" style="22" min="3348" max="3348"/>
    <col width="9.140625" customWidth="1" style="22" min="3349" max="3349"/>
    <col width="15.7109375" customWidth="1" style="22" min="3350" max="3350"/>
    <col width="12" customWidth="1" style="22" min="3351" max="3351"/>
    <col width="8.7109375" customWidth="1" style="22" min="3352" max="3352"/>
    <col width="5.140625" customWidth="1" style="22" min="3353" max="3353"/>
    <col width="8" customWidth="1" style="22" min="3354" max="3354"/>
    <col width="10.85546875" customWidth="1" style="22" min="3355" max="3355"/>
    <col width="7.7109375" customWidth="1" style="22" min="3356" max="3356"/>
    <col width="4.85546875" customWidth="1" style="22" min="3357" max="3357"/>
    <col width="7.7109375" customWidth="1" style="22" min="3358" max="3358"/>
    <col width="15.85546875" customWidth="1" style="22" min="3359" max="3359"/>
    <col width="10.85546875" customWidth="1" style="22" min="3360" max="3360"/>
    <col width="10.42578125" customWidth="1" style="22" min="3361" max="3361"/>
    <col width="10.85546875" customWidth="1" style="22" min="3362" max="3362"/>
    <col width="8.42578125" customWidth="1" style="22" min="3363" max="3363"/>
    <col width="8.85546875" customWidth="1" style="22" min="3364" max="3364"/>
    <col width="0.85546875" customWidth="1" style="22" min="3365" max="3584"/>
    <col width="5.7109375" bestFit="1" customWidth="1" style="22" min="3585" max="3585"/>
    <col width="29.42578125" customWidth="1" style="22" min="3586" max="3586"/>
    <col width="6.28515625" customWidth="1" style="22" min="3587" max="3587"/>
    <col width="7.28515625" customWidth="1" style="22" min="3588" max="3589"/>
    <col width="10" customWidth="1" style="22" min="3590" max="3590"/>
    <col width="8.85546875" customWidth="1" style="22" min="3591" max="3591"/>
    <col width="9" customWidth="1" style="22" min="3592" max="3592"/>
    <col width="10.28515625" customWidth="1" style="22" min="3593" max="3593"/>
    <col width="10" customWidth="1" style="22" min="3594" max="3596"/>
    <col width="14" customWidth="1" style="22" min="3597" max="3597"/>
    <col width="11.7109375" customWidth="1" style="22" min="3598" max="3598"/>
    <col width="8.7109375" customWidth="1" style="22" min="3599" max="3599"/>
    <col width="4.85546875" customWidth="1" style="22" min="3600" max="3600"/>
    <col width="8.140625" customWidth="1" style="22" min="3601" max="3601"/>
    <col width="10.85546875" customWidth="1" style="22" min="3602" max="3602"/>
    <col width="9.7109375" customWidth="1" style="22" min="3603" max="3603"/>
    <col width="11" customWidth="1" style="22" min="3604" max="3604"/>
    <col width="9.140625" customWidth="1" style="22" min="3605" max="3605"/>
    <col width="15.7109375" customWidth="1" style="22" min="3606" max="3606"/>
    <col width="12" customWidth="1" style="22" min="3607" max="3607"/>
    <col width="8.7109375" customWidth="1" style="22" min="3608" max="3608"/>
    <col width="5.140625" customWidth="1" style="22" min="3609" max="3609"/>
    <col width="8" customWidth="1" style="22" min="3610" max="3610"/>
    <col width="10.85546875" customWidth="1" style="22" min="3611" max="3611"/>
    <col width="7.7109375" customWidth="1" style="22" min="3612" max="3612"/>
    <col width="4.85546875" customWidth="1" style="22" min="3613" max="3613"/>
    <col width="7.7109375" customWidth="1" style="22" min="3614" max="3614"/>
    <col width="15.85546875" customWidth="1" style="22" min="3615" max="3615"/>
    <col width="10.85546875" customWidth="1" style="22" min="3616" max="3616"/>
    <col width="10.42578125" customWidth="1" style="22" min="3617" max="3617"/>
    <col width="10.85546875" customWidth="1" style="22" min="3618" max="3618"/>
    <col width="8.42578125" customWidth="1" style="22" min="3619" max="3619"/>
    <col width="8.85546875" customWidth="1" style="22" min="3620" max="3620"/>
    <col width="0.85546875" customWidth="1" style="22" min="3621" max="3840"/>
    <col width="5.7109375" bestFit="1" customWidth="1" style="22" min="3841" max="3841"/>
    <col width="29.42578125" customWidth="1" style="22" min="3842" max="3842"/>
    <col width="6.28515625" customWidth="1" style="22" min="3843" max="3843"/>
    <col width="7.28515625" customWidth="1" style="22" min="3844" max="3845"/>
    <col width="10" customWidth="1" style="22" min="3846" max="3846"/>
    <col width="8.85546875" customWidth="1" style="22" min="3847" max="3847"/>
    <col width="9" customWidth="1" style="22" min="3848" max="3848"/>
    <col width="10.28515625" customWidth="1" style="22" min="3849" max="3849"/>
    <col width="10" customWidth="1" style="22" min="3850" max="3852"/>
    <col width="14" customWidth="1" style="22" min="3853" max="3853"/>
    <col width="11.7109375" customWidth="1" style="22" min="3854" max="3854"/>
    <col width="8.7109375" customWidth="1" style="22" min="3855" max="3855"/>
    <col width="4.85546875" customWidth="1" style="22" min="3856" max="3856"/>
    <col width="8.140625" customWidth="1" style="22" min="3857" max="3857"/>
    <col width="10.85546875" customWidth="1" style="22" min="3858" max="3858"/>
    <col width="9.7109375" customWidth="1" style="22" min="3859" max="3859"/>
    <col width="11" customWidth="1" style="22" min="3860" max="3860"/>
    <col width="9.140625" customWidth="1" style="22" min="3861" max="3861"/>
    <col width="15.7109375" customWidth="1" style="22" min="3862" max="3862"/>
    <col width="12" customWidth="1" style="22" min="3863" max="3863"/>
    <col width="8.7109375" customWidth="1" style="22" min="3864" max="3864"/>
    <col width="5.140625" customWidth="1" style="22" min="3865" max="3865"/>
    <col width="8" customWidth="1" style="22" min="3866" max="3866"/>
    <col width="10.85546875" customWidth="1" style="22" min="3867" max="3867"/>
    <col width="7.7109375" customWidth="1" style="22" min="3868" max="3868"/>
    <col width="4.85546875" customWidth="1" style="22" min="3869" max="3869"/>
    <col width="7.7109375" customWidth="1" style="22" min="3870" max="3870"/>
    <col width="15.85546875" customWidth="1" style="22" min="3871" max="3871"/>
    <col width="10.85546875" customWidth="1" style="22" min="3872" max="3872"/>
    <col width="10.42578125" customWidth="1" style="22" min="3873" max="3873"/>
    <col width="10.85546875" customWidth="1" style="22" min="3874" max="3874"/>
    <col width="8.42578125" customWidth="1" style="22" min="3875" max="3875"/>
    <col width="8.85546875" customWidth="1" style="22" min="3876" max="3876"/>
    <col width="0.85546875" customWidth="1" style="22" min="3877" max="4096"/>
    <col width="5.7109375" bestFit="1" customWidth="1" style="22" min="4097" max="4097"/>
    <col width="29.42578125" customWidth="1" style="22" min="4098" max="4098"/>
    <col width="6.28515625" customWidth="1" style="22" min="4099" max="4099"/>
    <col width="7.28515625" customWidth="1" style="22" min="4100" max="4101"/>
    <col width="10" customWidth="1" style="22" min="4102" max="4102"/>
    <col width="8.85546875" customWidth="1" style="22" min="4103" max="4103"/>
    <col width="9" customWidth="1" style="22" min="4104" max="4104"/>
    <col width="10.28515625" customWidth="1" style="22" min="4105" max="4105"/>
    <col width="10" customWidth="1" style="22" min="4106" max="4108"/>
    <col width="14" customWidth="1" style="22" min="4109" max="4109"/>
    <col width="11.7109375" customWidth="1" style="22" min="4110" max="4110"/>
    <col width="8.7109375" customWidth="1" style="22" min="4111" max="4111"/>
    <col width="4.85546875" customWidth="1" style="22" min="4112" max="4112"/>
    <col width="8.140625" customWidth="1" style="22" min="4113" max="4113"/>
    <col width="10.85546875" customWidth="1" style="22" min="4114" max="4114"/>
    <col width="9.7109375" customWidth="1" style="22" min="4115" max="4115"/>
    <col width="11" customWidth="1" style="22" min="4116" max="4116"/>
    <col width="9.140625" customWidth="1" style="22" min="4117" max="4117"/>
    <col width="15.7109375" customWidth="1" style="22" min="4118" max="4118"/>
    <col width="12" customWidth="1" style="22" min="4119" max="4119"/>
    <col width="8.7109375" customWidth="1" style="22" min="4120" max="4120"/>
    <col width="5.140625" customWidth="1" style="22" min="4121" max="4121"/>
    <col width="8" customWidth="1" style="22" min="4122" max="4122"/>
    <col width="10.85546875" customWidth="1" style="22" min="4123" max="4123"/>
    <col width="7.7109375" customWidth="1" style="22" min="4124" max="4124"/>
    <col width="4.85546875" customWidth="1" style="22" min="4125" max="4125"/>
    <col width="7.7109375" customWidth="1" style="22" min="4126" max="4126"/>
    <col width="15.85546875" customWidth="1" style="22" min="4127" max="4127"/>
    <col width="10.85546875" customWidth="1" style="22" min="4128" max="4128"/>
    <col width="10.42578125" customWidth="1" style="22" min="4129" max="4129"/>
    <col width="10.85546875" customWidth="1" style="22" min="4130" max="4130"/>
    <col width="8.42578125" customWidth="1" style="22" min="4131" max="4131"/>
    <col width="8.85546875" customWidth="1" style="22" min="4132" max="4132"/>
    <col width="0.85546875" customWidth="1" style="22" min="4133" max="4352"/>
    <col width="5.7109375" bestFit="1" customWidth="1" style="22" min="4353" max="4353"/>
    <col width="29.42578125" customWidth="1" style="22" min="4354" max="4354"/>
    <col width="6.28515625" customWidth="1" style="22" min="4355" max="4355"/>
    <col width="7.28515625" customWidth="1" style="22" min="4356" max="4357"/>
    <col width="10" customWidth="1" style="22" min="4358" max="4358"/>
    <col width="8.85546875" customWidth="1" style="22" min="4359" max="4359"/>
    <col width="9" customWidth="1" style="22" min="4360" max="4360"/>
    <col width="10.28515625" customWidth="1" style="22" min="4361" max="4361"/>
    <col width="10" customWidth="1" style="22" min="4362" max="4364"/>
    <col width="14" customWidth="1" style="22" min="4365" max="4365"/>
    <col width="11.7109375" customWidth="1" style="22" min="4366" max="4366"/>
    <col width="8.7109375" customWidth="1" style="22" min="4367" max="4367"/>
    <col width="4.85546875" customWidth="1" style="22" min="4368" max="4368"/>
    <col width="8.140625" customWidth="1" style="22" min="4369" max="4369"/>
    <col width="10.85546875" customWidth="1" style="22" min="4370" max="4370"/>
    <col width="9.7109375" customWidth="1" style="22" min="4371" max="4371"/>
    <col width="11" customWidth="1" style="22" min="4372" max="4372"/>
    <col width="9.140625" customWidth="1" style="22" min="4373" max="4373"/>
    <col width="15.7109375" customWidth="1" style="22" min="4374" max="4374"/>
    <col width="12" customWidth="1" style="22" min="4375" max="4375"/>
    <col width="8.7109375" customWidth="1" style="22" min="4376" max="4376"/>
    <col width="5.140625" customWidth="1" style="22" min="4377" max="4377"/>
    <col width="8" customWidth="1" style="22" min="4378" max="4378"/>
    <col width="10.85546875" customWidth="1" style="22" min="4379" max="4379"/>
    <col width="7.7109375" customWidth="1" style="22" min="4380" max="4380"/>
    <col width="4.85546875" customWidth="1" style="22" min="4381" max="4381"/>
    <col width="7.7109375" customWidth="1" style="22" min="4382" max="4382"/>
    <col width="15.85546875" customWidth="1" style="22" min="4383" max="4383"/>
    <col width="10.85546875" customWidth="1" style="22" min="4384" max="4384"/>
    <col width="10.42578125" customWidth="1" style="22" min="4385" max="4385"/>
    <col width="10.85546875" customWidth="1" style="22" min="4386" max="4386"/>
    <col width="8.42578125" customWidth="1" style="22" min="4387" max="4387"/>
    <col width="8.85546875" customWidth="1" style="22" min="4388" max="4388"/>
    <col width="0.85546875" customWidth="1" style="22" min="4389" max="4608"/>
    <col width="5.7109375" bestFit="1" customWidth="1" style="22" min="4609" max="4609"/>
    <col width="29.42578125" customWidth="1" style="22" min="4610" max="4610"/>
    <col width="6.28515625" customWidth="1" style="22" min="4611" max="4611"/>
    <col width="7.28515625" customWidth="1" style="22" min="4612" max="4613"/>
    <col width="10" customWidth="1" style="22" min="4614" max="4614"/>
    <col width="8.85546875" customWidth="1" style="22" min="4615" max="4615"/>
    <col width="9" customWidth="1" style="22" min="4616" max="4616"/>
    <col width="10.28515625" customWidth="1" style="22" min="4617" max="4617"/>
    <col width="10" customWidth="1" style="22" min="4618" max="4620"/>
    <col width="14" customWidth="1" style="22" min="4621" max="4621"/>
    <col width="11.7109375" customWidth="1" style="22" min="4622" max="4622"/>
    <col width="8.7109375" customWidth="1" style="22" min="4623" max="4623"/>
    <col width="4.85546875" customWidth="1" style="22" min="4624" max="4624"/>
    <col width="8.140625" customWidth="1" style="22" min="4625" max="4625"/>
    <col width="10.85546875" customWidth="1" style="22" min="4626" max="4626"/>
    <col width="9.7109375" customWidth="1" style="22" min="4627" max="4627"/>
    <col width="11" customWidth="1" style="22" min="4628" max="4628"/>
    <col width="9.140625" customWidth="1" style="22" min="4629" max="4629"/>
    <col width="15.7109375" customWidth="1" style="22" min="4630" max="4630"/>
    <col width="12" customWidth="1" style="22" min="4631" max="4631"/>
    <col width="8.7109375" customWidth="1" style="22" min="4632" max="4632"/>
    <col width="5.140625" customWidth="1" style="22" min="4633" max="4633"/>
    <col width="8" customWidth="1" style="22" min="4634" max="4634"/>
    <col width="10.85546875" customWidth="1" style="22" min="4635" max="4635"/>
    <col width="7.7109375" customWidth="1" style="22" min="4636" max="4636"/>
    <col width="4.85546875" customWidth="1" style="22" min="4637" max="4637"/>
    <col width="7.7109375" customWidth="1" style="22" min="4638" max="4638"/>
    <col width="15.85546875" customWidth="1" style="22" min="4639" max="4639"/>
    <col width="10.85546875" customWidth="1" style="22" min="4640" max="4640"/>
    <col width="10.42578125" customWidth="1" style="22" min="4641" max="4641"/>
    <col width="10.85546875" customWidth="1" style="22" min="4642" max="4642"/>
    <col width="8.42578125" customWidth="1" style="22" min="4643" max="4643"/>
    <col width="8.85546875" customWidth="1" style="22" min="4644" max="4644"/>
    <col width="0.85546875" customWidth="1" style="22" min="4645" max="4864"/>
    <col width="5.7109375" bestFit="1" customWidth="1" style="22" min="4865" max="4865"/>
    <col width="29.42578125" customWidth="1" style="22" min="4866" max="4866"/>
    <col width="6.28515625" customWidth="1" style="22" min="4867" max="4867"/>
    <col width="7.28515625" customWidth="1" style="22" min="4868" max="4869"/>
    <col width="10" customWidth="1" style="22" min="4870" max="4870"/>
    <col width="8.85546875" customWidth="1" style="22" min="4871" max="4871"/>
    <col width="9" customWidth="1" style="22" min="4872" max="4872"/>
    <col width="10.28515625" customWidth="1" style="22" min="4873" max="4873"/>
    <col width="10" customWidth="1" style="22" min="4874" max="4876"/>
    <col width="14" customWidth="1" style="22" min="4877" max="4877"/>
    <col width="11.7109375" customWidth="1" style="22" min="4878" max="4878"/>
    <col width="8.7109375" customWidth="1" style="22" min="4879" max="4879"/>
    <col width="4.85546875" customWidth="1" style="22" min="4880" max="4880"/>
    <col width="8.140625" customWidth="1" style="22" min="4881" max="4881"/>
    <col width="10.85546875" customWidth="1" style="22" min="4882" max="4882"/>
    <col width="9.7109375" customWidth="1" style="22" min="4883" max="4883"/>
    <col width="11" customWidth="1" style="22" min="4884" max="4884"/>
    <col width="9.140625" customWidth="1" style="22" min="4885" max="4885"/>
    <col width="15.7109375" customWidth="1" style="22" min="4886" max="4886"/>
    <col width="12" customWidth="1" style="22" min="4887" max="4887"/>
    <col width="8.7109375" customWidth="1" style="22" min="4888" max="4888"/>
    <col width="5.140625" customWidth="1" style="22" min="4889" max="4889"/>
    <col width="8" customWidth="1" style="22" min="4890" max="4890"/>
    <col width="10.85546875" customWidth="1" style="22" min="4891" max="4891"/>
    <col width="7.7109375" customWidth="1" style="22" min="4892" max="4892"/>
    <col width="4.85546875" customWidth="1" style="22" min="4893" max="4893"/>
    <col width="7.7109375" customWidth="1" style="22" min="4894" max="4894"/>
    <col width="15.85546875" customWidth="1" style="22" min="4895" max="4895"/>
    <col width="10.85546875" customWidth="1" style="22" min="4896" max="4896"/>
    <col width="10.42578125" customWidth="1" style="22" min="4897" max="4897"/>
    <col width="10.85546875" customWidth="1" style="22" min="4898" max="4898"/>
    <col width="8.42578125" customWidth="1" style="22" min="4899" max="4899"/>
    <col width="8.85546875" customWidth="1" style="22" min="4900" max="4900"/>
    <col width="0.85546875" customWidth="1" style="22" min="4901" max="5120"/>
    <col width="5.7109375" bestFit="1" customWidth="1" style="22" min="5121" max="5121"/>
    <col width="29.42578125" customWidth="1" style="22" min="5122" max="5122"/>
    <col width="6.28515625" customWidth="1" style="22" min="5123" max="5123"/>
    <col width="7.28515625" customWidth="1" style="22" min="5124" max="5125"/>
    <col width="10" customWidth="1" style="22" min="5126" max="5126"/>
    <col width="8.85546875" customWidth="1" style="22" min="5127" max="5127"/>
    <col width="9" customWidth="1" style="22" min="5128" max="5128"/>
    <col width="10.28515625" customWidth="1" style="22" min="5129" max="5129"/>
    <col width="10" customWidth="1" style="22" min="5130" max="5132"/>
    <col width="14" customWidth="1" style="22" min="5133" max="5133"/>
    <col width="11.7109375" customWidth="1" style="22" min="5134" max="5134"/>
    <col width="8.7109375" customWidth="1" style="22" min="5135" max="5135"/>
    <col width="4.85546875" customWidth="1" style="22" min="5136" max="5136"/>
    <col width="8.140625" customWidth="1" style="22" min="5137" max="5137"/>
    <col width="10.85546875" customWidth="1" style="22" min="5138" max="5138"/>
    <col width="9.7109375" customWidth="1" style="22" min="5139" max="5139"/>
    <col width="11" customWidth="1" style="22" min="5140" max="5140"/>
    <col width="9.140625" customWidth="1" style="22" min="5141" max="5141"/>
    <col width="15.7109375" customWidth="1" style="22" min="5142" max="5142"/>
    <col width="12" customWidth="1" style="22" min="5143" max="5143"/>
    <col width="8.7109375" customWidth="1" style="22" min="5144" max="5144"/>
    <col width="5.140625" customWidth="1" style="22" min="5145" max="5145"/>
    <col width="8" customWidth="1" style="22" min="5146" max="5146"/>
    <col width="10.85546875" customWidth="1" style="22" min="5147" max="5147"/>
    <col width="7.7109375" customWidth="1" style="22" min="5148" max="5148"/>
    <col width="4.85546875" customWidth="1" style="22" min="5149" max="5149"/>
    <col width="7.7109375" customWidth="1" style="22" min="5150" max="5150"/>
    <col width="15.85546875" customWidth="1" style="22" min="5151" max="5151"/>
    <col width="10.85546875" customWidth="1" style="22" min="5152" max="5152"/>
    <col width="10.42578125" customWidth="1" style="22" min="5153" max="5153"/>
    <col width="10.85546875" customWidth="1" style="22" min="5154" max="5154"/>
    <col width="8.42578125" customWidth="1" style="22" min="5155" max="5155"/>
    <col width="8.85546875" customWidth="1" style="22" min="5156" max="5156"/>
    <col width="0.85546875" customWidth="1" style="22" min="5157" max="5376"/>
    <col width="5.7109375" bestFit="1" customWidth="1" style="22" min="5377" max="5377"/>
    <col width="29.42578125" customWidth="1" style="22" min="5378" max="5378"/>
    <col width="6.28515625" customWidth="1" style="22" min="5379" max="5379"/>
    <col width="7.28515625" customWidth="1" style="22" min="5380" max="5381"/>
    <col width="10" customWidth="1" style="22" min="5382" max="5382"/>
    <col width="8.85546875" customWidth="1" style="22" min="5383" max="5383"/>
    <col width="9" customWidth="1" style="22" min="5384" max="5384"/>
    <col width="10.28515625" customWidth="1" style="22" min="5385" max="5385"/>
    <col width="10" customWidth="1" style="22" min="5386" max="5388"/>
    <col width="14" customWidth="1" style="22" min="5389" max="5389"/>
    <col width="11.7109375" customWidth="1" style="22" min="5390" max="5390"/>
    <col width="8.7109375" customWidth="1" style="22" min="5391" max="5391"/>
    <col width="4.85546875" customWidth="1" style="22" min="5392" max="5392"/>
    <col width="8.140625" customWidth="1" style="22" min="5393" max="5393"/>
    <col width="10.85546875" customWidth="1" style="22" min="5394" max="5394"/>
    <col width="9.7109375" customWidth="1" style="22" min="5395" max="5395"/>
    <col width="11" customWidth="1" style="22" min="5396" max="5396"/>
    <col width="9.140625" customWidth="1" style="22" min="5397" max="5397"/>
    <col width="15.7109375" customWidth="1" style="22" min="5398" max="5398"/>
    <col width="12" customWidth="1" style="22" min="5399" max="5399"/>
    <col width="8.7109375" customWidth="1" style="22" min="5400" max="5400"/>
    <col width="5.140625" customWidth="1" style="22" min="5401" max="5401"/>
    <col width="8" customWidth="1" style="22" min="5402" max="5402"/>
    <col width="10.85546875" customWidth="1" style="22" min="5403" max="5403"/>
    <col width="7.7109375" customWidth="1" style="22" min="5404" max="5404"/>
    <col width="4.85546875" customWidth="1" style="22" min="5405" max="5405"/>
    <col width="7.7109375" customWidth="1" style="22" min="5406" max="5406"/>
    <col width="15.85546875" customWidth="1" style="22" min="5407" max="5407"/>
    <col width="10.85546875" customWidth="1" style="22" min="5408" max="5408"/>
    <col width="10.42578125" customWidth="1" style="22" min="5409" max="5409"/>
    <col width="10.85546875" customWidth="1" style="22" min="5410" max="5410"/>
    <col width="8.42578125" customWidth="1" style="22" min="5411" max="5411"/>
    <col width="8.85546875" customWidth="1" style="22" min="5412" max="5412"/>
    <col width="0.85546875" customWidth="1" style="22" min="5413" max="5632"/>
    <col width="5.7109375" bestFit="1" customWidth="1" style="22" min="5633" max="5633"/>
    <col width="29.42578125" customWidth="1" style="22" min="5634" max="5634"/>
    <col width="6.28515625" customWidth="1" style="22" min="5635" max="5635"/>
    <col width="7.28515625" customWidth="1" style="22" min="5636" max="5637"/>
    <col width="10" customWidth="1" style="22" min="5638" max="5638"/>
    <col width="8.85546875" customWidth="1" style="22" min="5639" max="5639"/>
    <col width="9" customWidth="1" style="22" min="5640" max="5640"/>
    <col width="10.28515625" customWidth="1" style="22" min="5641" max="5641"/>
    <col width="10" customWidth="1" style="22" min="5642" max="5644"/>
    <col width="14" customWidth="1" style="22" min="5645" max="5645"/>
    <col width="11.7109375" customWidth="1" style="22" min="5646" max="5646"/>
    <col width="8.7109375" customWidth="1" style="22" min="5647" max="5647"/>
    <col width="4.85546875" customWidth="1" style="22" min="5648" max="5648"/>
    <col width="8.140625" customWidth="1" style="22" min="5649" max="5649"/>
    <col width="10.85546875" customWidth="1" style="22" min="5650" max="5650"/>
    <col width="9.7109375" customWidth="1" style="22" min="5651" max="5651"/>
    <col width="11" customWidth="1" style="22" min="5652" max="5652"/>
    <col width="9.140625" customWidth="1" style="22" min="5653" max="5653"/>
    <col width="15.7109375" customWidth="1" style="22" min="5654" max="5654"/>
    <col width="12" customWidth="1" style="22" min="5655" max="5655"/>
    <col width="8.7109375" customWidth="1" style="22" min="5656" max="5656"/>
    <col width="5.140625" customWidth="1" style="22" min="5657" max="5657"/>
    <col width="8" customWidth="1" style="22" min="5658" max="5658"/>
    <col width="10.85546875" customWidth="1" style="22" min="5659" max="5659"/>
    <col width="7.7109375" customWidth="1" style="22" min="5660" max="5660"/>
    <col width="4.85546875" customWidth="1" style="22" min="5661" max="5661"/>
    <col width="7.7109375" customWidth="1" style="22" min="5662" max="5662"/>
    <col width="15.85546875" customWidth="1" style="22" min="5663" max="5663"/>
    <col width="10.85546875" customWidth="1" style="22" min="5664" max="5664"/>
    <col width="10.42578125" customWidth="1" style="22" min="5665" max="5665"/>
    <col width="10.85546875" customWidth="1" style="22" min="5666" max="5666"/>
    <col width="8.42578125" customWidth="1" style="22" min="5667" max="5667"/>
    <col width="8.85546875" customWidth="1" style="22" min="5668" max="5668"/>
    <col width="0.85546875" customWidth="1" style="22" min="5669" max="5888"/>
    <col width="5.7109375" bestFit="1" customWidth="1" style="22" min="5889" max="5889"/>
    <col width="29.42578125" customWidth="1" style="22" min="5890" max="5890"/>
    <col width="6.28515625" customWidth="1" style="22" min="5891" max="5891"/>
    <col width="7.28515625" customWidth="1" style="22" min="5892" max="5893"/>
    <col width="10" customWidth="1" style="22" min="5894" max="5894"/>
    <col width="8.85546875" customWidth="1" style="22" min="5895" max="5895"/>
    <col width="9" customWidth="1" style="22" min="5896" max="5896"/>
    <col width="10.28515625" customWidth="1" style="22" min="5897" max="5897"/>
    <col width="10" customWidth="1" style="22" min="5898" max="5900"/>
    <col width="14" customWidth="1" style="22" min="5901" max="5901"/>
    <col width="11.7109375" customWidth="1" style="22" min="5902" max="5902"/>
    <col width="8.7109375" customWidth="1" style="22" min="5903" max="5903"/>
    <col width="4.85546875" customWidth="1" style="22" min="5904" max="5904"/>
    <col width="8.140625" customWidth="1" style="22" min="5905" max="5905"/>
    <col width="10.85546875" customWidth="1" style="22" min="5906" max="5906"/>
    <col width="9.7109375" customWidth="1" style="22" min="5907" max="5907"/>
    <col width="11" customWidth="1" style="22" min="5908" max="5908"/>
    <col width="9.140625" customWidth="1" style="22" min="5909" max="5909"/>
    <col width="15.7109375" customWidth="1" style="22" min="5910" max="5910"/>
    <col width="12" customWidth="1" style="22" min="5911" max="5911"/>
    <col width="8.7109375" customWidth="1" style="22" min="5912" max="5912"/>
    <col width="5.140625" customWidth="1" style="22" min="5913" max="5913"/>
    <col width="8" customWidth="1" style="22" min="5914" max="5914"/>
    <col width="10.85546875" customWidth="1" style="22" min="5915" max="5915"/>
    <col width="7.7109375" customWidth="1" style="22" min="5916" max="5916"/>
    <col width="4.85546875" customWidth="1" style="22" min="5917" max="5917"/>
    <col width="7.7109375" customWidth="1" style="22" min="5918" max="5918"/>
    <col width="15.85546875" customWidth="1" style="22" min="5919" max="5919"/>
    <col width="10.85546875" customWidth="1" style="22" min="5920" max="5920"/>
    <col width="10.42578125" customWidth="1" style="22" min="5921" max="5921"/>
    <col width="10.85546875" customWidth="1" style="22" min="5922" max="5922"/>
    <col width="8.42578125" customWidth="1" style="22" min="5923" max="5923"/>
    <col width="8.85546875" customWidth="1" style="22" min="5924" max="5924"/>
    <col width="0.85546875" customWidth="1" style="22" min="5925" max="6144"/>
    <col width="5.7109375" bestFit="1" customWidth="1" style="22" min="6145" max="6145"/>
    <col width="29.42578125" customWidth="1" style="22" min="6146" max="6146"/>
    <col width="6.28515625" customWidth="1" style="22" min="6147" max="6147"/>
    <col width="7.28515625" customWidth="1" style="22" min="6148" max="6149"/>
    <col width="10" customWidth="1" style="22" min="6150" max="6150"/>
    <col width="8.85546875" customWidth="1" style="22" min="6151" max="6151"/>
    <col width="9" customWidth="1" style="22" min="6152" max="6152"/>
    <col width="10.28515625" customWidth="1" style="22" min="6153" max="6153"/>
    <col width="10" customWidth="1" style="22" min="6154" max="6156"/>
    <col width="14" customWidth="1" style="22" min="6157" max="6157"/>
    <col width="11.7109375" customWidth="1" style="22" min="6158" max="6158"/>
    <col width="8.7109375" customWidth="1" style="22" min="6159" max="6159"/>
    <col width="4.85546875" customWidth="1" style="22" min="6160" max="6160"/>
    <col width="8.140625" customWidth="1" style="22" min="6161" max="6161"/>
    <col width="10.85546875" customWidth="1" style="22" min="6162" max="6162"/>
    <col width="9.7109375" customWidth="1" style="22" min="6163" max="6163"/>
    <col width="11" customWidth="1" style="22" min="6164" max="6164"/>
    <col width="9.140625" customWidth="1" style="22" min="6165" max="6165"/>
    <col width="15.7109375" customWidth="1" style="22" min="6166" max="6166"/>
    <col width="12" customWidth="1" style="22" min="6167" max="6167"/>
    <col width="8.7109375" customWidth="1" style="22" min="6168" max="6168"/>
    <col width="5.140625" customWidth="1" style="22" min="6169" max="6169"/>
    <col width="8" customWidth="1" style="22" min="6170" max="6170"/>
    <col width="10.85546875" customWidth="1" style="22" min="6171" max="6171"/>
    <col width="7.7109375" customWidth="1" style="22" min="6172" max="6172"/>
    <col width="4.85546875" customWidth="1" style="22" min="6173" max="6173"/>
    <col width="7.7109375" customWidth="1" style="22" min="6174" max="6174"/>
    <col width="15.85546875" customWidth="1" style="22" min="6175" max="6175"/>
    <col width="10.85546875" customWidth="1" style="22" min="6176" max="6176"/>
    <col width="10.42578125" customWidth="1" style="22" min="6177" max="6177"/>
    <col width="10.85546875" customWidth="1" style="22" min="6178" max="6178"/>
    <col width="8.42578125" customWidth="1" style="22" min="6179" max="6179"/>
    <col width="8.85546875" customWidth="1" style="22" min="6180" max="6180"/>
    <col width="0.85546875" customWidth="1" style="22" min="6181" max="6400"/>
    <col width="5.7109375" bestFit="1" customWidth="1" style="22" min="6401" max="6401"/>
    <col width="29.42578125" customWidth="1" style="22" min="6402" max="6402"/>
    <col width="6.28515625" customWidth="1" style="22" min="6403" max="6403"/>
    <col width="7.28515625" customWidth="1" style="22" min="6404" max="6405"/>
    <col width="10" customWidth="1" style="22" min="6406" max="6406"/>
    <col width="8.85546875" customWidth="1" style="22" min="6407" max="6407"/>
    <col width="9" customWidth="1" style="22" min="6408" max="6408"/>
    <col width="10.28515625" customWidth="1" style="22" min="6409" max="6409"/>
    <col width="10" customWidth="1" style="22" min="6410" max="6412"/>
    <col width="14" customWidth="1" style="22" min="6413" max="6413"/>
    <col width="11.7109375" customWidth="1" style="22" min="6414" max="6414"/>
    <col width="8.7109375" customWidth="1" style="22" min="6415" max="6415"/>
    <col width="4.85546875" customWidth="1" style="22" min="6416" max="6416"/>
    <col width="8.140625" customWidth="1" style="22" min="6417" max="6417"/>
    <col width="10.85546875" customWidth="1" style="22" min="6418" max="6418"/>
    <col width="9.7109375" customWidth="1" style="22" min="6419" max="6419"/>
    <col width="11" customWidth="1" style="22" min="6420" max="6420"/>
    <col width="9.140625" customWidth="1" style="22" min="6421" max="6421"/>
    <col width="15.7109375" customWidth="1" style="22" min="6422" max="6422"/>
    <col width="12" customWidth="1" style="22" min="6423" max="6423"/>
    <col width="8.7109375" customWidth="1" style="22" min="6424" max="6424"/>
    <col width="5.140625" customWidth="1" style="22" min="6425" max="6425"/>
    <col width="8" customWidth="1" style="22" min="6426" max="6426"/>
    <col width="10.85546875" customWidth="1" style="22" min="6427" max="6427"/>
    <col width="7.7109375" customWidth="1" style="22" min="6428" max="6428"/>
    <col width="4.85546875" customWidth="1" style="22" min="6429" max="6429"/>
    <col width="7.7109375" customWidth="1" style="22" min="6430" max="6430"/>
    <col width="15.85546875" customWidth="1" style="22" min="6431" max="6431"/>
    <col width="10.85546875" customWidth="1" style="22" min="6432" max="6432"/>
    <col width="10.42578125" customWidth="1" style="22" min="6433" max="6433"/>
    <col width="10.85546875" customWidth="1" style="22" min="6434" max="6434"/>
    <col width="8.42578125" customWidth="1" style="22" min="6435" max="6435"/>
    <col width="8.85546875" customWidth="1" style="22" min="6436" max="6436"/>
    <col width="0.85546875" customWidth="1" style="22" min="6437" max="6656"/>
    <col width="5.7109375" bestFit="1" customWidth="1" style="22" min="6657" max="6657"/>
    <col width="29.42578125" customWidth="1" style="22" min="6658" max="6658"/>
    <col width="6.28515625" customWidth="1" style="22" min="6659" max="6659"/>
    <col width="7.28515625" customWidth="1" style="22" min="6660" max="6661"/>
    <col width="10" customWidth="1" style="22" min="6662" max="6662"/>
    <col width="8.85546875" customWidth="1" style="22" min="6663" max="6663"/>
    <col width="9" customWidth="1" style="22" min="6664" max="6664"/>
    <col width="10.28515625" customWidth="1" style="22" min="6665" max="6665"/>
    <col width="10" customWidth="1" style="22" min="6666" max="6668"/>
    <col width="14" customWidth="1" style="22" min="6669" max="6669"/>
    <col width="11.7109375" customWidth="1" style="22" min="6670" max="6670"/>
    <col width="8.7109375" customWidth="1" style="22" min="6671" max="6671"/>
    <col width="4.85546875" customWidth="1" style="22" min="6672" max="6672"/>
    <col width="8.140625" customWidth="1" style="22" min="6673" max="6673"/>
    <col width="10.85546875" customWidth="1" style="22" min="6674" max="6674"/>
    <col width="9.7109375" customWidth="1" style="22" min="6675" max="6675"/>
    <col width="11" customWidth="1" style="22" min="6676" max="6676"/>
    <col width="9.140625" customWidth="1" style="22" min="6677" max="6677"/>
    <col width="15.7109375" customWidth="1" style="22" min="6678" max="6678"/>
    <col width="12" customWidth="1" style="22" min="6679" max="6679"/>
    <col width="8.7109375" customWidth="1" style="22" min="6680" max="6680"/>
    <col width="5.140625" customWidth="1" style="22" min="6681" max="6681"/>
    <col width="8" customWidth="1" style="22" min="6682" max="6682"/>
    <col width="10.85546875" customWidth="1" style="22" min="6683" max="6683"/>
    <col width="7.7109375" customWidth="1" style="22" min="6684" max="6684"/>
    <col width="4.85546875" customWidth="1" style="22" min="6685" max="6685"/>
    <col width="7.7109375" customWidth="1" style="22" min="6686" max="6686"/>
    <col width="15.85546875" customWidth="1" style="22" min="6687" max="6687"/>
    <col width="10.85546875" customWidth="1" style="22" min="6688" max="6688"/>
    <col width="10.42578125" customWidth="1" style="22" min="6689" max="6689"/>
    <col width="10.85546875" customWidth="1" style="22" min="6690" max="6690"/>
    <col width="8.42578125" customWidth="1" style="22" min="6691" max="6691"/>
    <col width="8.85546875" customWidth="1" style="22" min="6692" max="6692"/>
    <col width="0.85546875" customWidth="1" style="22" min="6693" max="6912"/>
    <col width="5.7109375" bestFit="1" customWidth="1" style="22" min="6913" max="6913"/>
    <col width="29.42578125" customWidth="1" style="22" min="6914" max="6914"/>
    <col width="6.28515625" customWidth="1" style="22" min="6915" max="6915"/>
    <col width="7.28515625" customWidth="1" style="22" min="6916" max="6917"/>
    <col width="10" customWidth="1" style="22" min="6918" max="6918"/>
    <col width="8.85546875" customWidth="1" style="22" min="6919" max="6919"/>
    <col width="9" customWidth="1" style="22" min="6920" max="6920"/>
    <col width="10.28515625" customWidth="1" style="22" min="6921" max="6921"/>
    <col width="10" customWidth="1" style="22" min="6922" max="6924"/>
    <col width="14" customWidth="1" style="22" min="6925" max="6925"/>
    <col width="11.7109375" customWidth="1" style="22" min="6926" max="6926"/>
    <col width="8.7109375" customWidth="1" style="22" min="6927" max="6927"/>
    <col width="4.85546875" customWidth="1" style="22" min="6928" max="6928"/>
    <col width="8.140625" customWidth="1" style="22" min="6929" max="6929"/>
    <col width="10.85546875" customWidth="1" style="22" min="6930" max="6930"/>
    <col width="9.7109375" customWidth="1" style="22" min="6931" max="6931"/>
    <col width="11" customWidth="1" style="22" min="6932" max="6932"/>
    <col width="9.140625" customWidth="1" style="22" min="6933" max="6933"/>
    <col width="15.7109375" customWidth="1" style="22" min="6934" max="6934"/>
    <col width="12" customWidth="1" style="22" min="6935" max="6935"/>
    <col width="8.7109375" customWidth="1" style="22" min="6936" max="6936"/>
    <col width="5.140625" customWidth="1" style="22" min="6937" max="6937"/>
    <col width="8" customWidth="1" style="22" min="6938" max="6938"/>
    <col width="10.85546875" customWidth="1" style="22" min="6939" max="6939"/>
    <col width="7.7109375" customWidth="1" style="22" min="6940" max="6940"/>
    <col width="4.85546875" customWidth="1" style="22" min="6941" max="6941"/>
    <col width="7.7109375" customWidth="1" style="22" min="6942" max="6942"/>
    <col width="15.85546875" customWidth="1" style="22" min="6943" max="6943"/>
    <col width="10.85546875" customWidth="1" style="22" min="6944" max="6944"/>
    <col width="10.42578125" customWidth="1" style="22" min="6945" max="6945"/>
    <col width="10.85546875" customWidth="1" style="22" min="6946" max="6946"/>
    <col width="8.42578125" customWidth="1" style="22" min="6947" max="6947"/>
    <col width="8.85546875" customWidth="1" style="22" min="6948" max="6948"/>
    <col width="0.85546875" customWidth="1" style="22" min="6949" max="7168"/>
    <col width="5.7109375" bestFit="1" customWidth="1" style="22" min="7169" max="7169"/>
    <col width="29.42578125" customWidth="1" style="22" min="7170" max="7170"/>
    <col width="6.28515625" customWidth="1" style="22" min="7171" max="7171"/>
    <col width="7.28515625" customWidth="1" style="22" min="7172" max="7173"/>
    <col width="10" customWidth="1" style="22" min="7174" max="7174"/>
    <col width="8.85546875" customWidth="1" style="22" min="7175" max="7175"/>
    <col width="9" customWidth="1" style="22" min="7176" max="7176"/>
    <col width="10.28515625" customWidth="1" style="22" min="7177" max="7177"/>
    <col width="10" customWidth="1" style="22" min="7178" max="7180"/>
    <col width="14" customWidth="1" style="22" min="7181" max="7181"/>
    <col width="11.7109375" customWidth="1" style="22" min="7182" max="7182"/>
    <col width="8.7109375" customWidth="1" style="22" min="7183" max="7183"/>
    <col width="4.85546875" customWidth="1" style="22" min="7184" max="7184"/>
    <col width="8.140625" customWidth="1" style="22" min="7185" max="7185"/>
    <col width="10.85546875" customWidth="1" style="22" min="7186" max="7186"/>
    <col width="9.7109375" customWidth="1" style="22" min="7187" max="7187"/>
    <col width="11" customWidth="1" style="22" min="7188" max="7188"/>
    <col width="9.140625" customWidth="1" style="22" min="7189" max="7189"/>
    <col width="15.7109375" customWidth="1" style="22" min="7190" max="7190"/>
    <col width="12" customWidth="1" style="22" min="7191" max="7191"/>
    <col width="8.7109375" customWidth="1" style="22" min="7192" max="7192"/>
    <col width="5.140625" customWidth="1" style="22" min="7193" max="7193"/>
    <col width="8" customWidth="1" style="22" min="7194" max="7194"/>
    <col width="10.85546875" customWidth="1" style="22" min="7195" max="7195"/>
    <col width="7.7109375" customWidth="1" style="22" min="7196" max="7196"/>
    <col width="4.85546875" customWidth="1" style="22" min="7197" max="7197"/>
    <col width="7.7109375" customWidth="1" style="22" min="7198" max="7198"/>
    <col width="15.85546875" customWidth="1" style="22" min="7199" max="7199"/>
    <col width="10.85546875" customWidth="1" style="22" min="7200" max="7200"/>
    <col width="10.42578125" customWidth="1" style="22" min="7201" max="7201"/>
    <col width="10.85546875" customWidth="1" style="22" min="7202" max="7202"/>
    <col width="8.42578125" customWidth="1" style="22" min="7203" max="7203"/>
    <col width="8.85546875" customWidth="1" style="22" min="7204" max="7204"/>
    <col width="0.85546875" customWidth="1" style="22" min="7205" max="7424"/>
    <col width="5.7109375" bestFit="1" customWidth="1" style="22" min="7425" max="7425"/>
    <col width="29.42578125" customWidth="1" style="22" min="7426" max="7426"/>
    <col width="6.28515625" customWidth="1" style="22" min="7427" max="7427"/>
    <col width="7.28515625" customWidth="1" style="22" min="7428" max="7429"/>
    <col width="10" customWidth="1" style="22" min="7430" max="7430"/>
    <col width="8.85546875" customWidth="1" style="22" min="7431" max="7431"/>
    <col width="9" customWidth="1" style="22" min="7432" max="7432"/>
    <col width="10.28515625" customWidth="1" style="22" min="7433" max="7433"/>
    <col width="10" customWidth="1" style="22" min="7434" max="7436"/>
    <col width="14" customWidth="1" style="22" min="7437" max="7437"/>
    <col width="11.7109375" customWidth="1" style="22" min="7438" max="7438"/>
    <col width="8.7109375" customWidth="1" style="22" min="7439" max="7439"/>
    <col width="4.85546875" customWidth="1" style="22" min="7440" max="7440"/>
    <col width="8.140625" customWidth="1" style="22" min="7441" max="7441"/>
    <col width="10.85546875" customWidth="1" style="22" min="7442" max="7442"/>
    <col width="9.7109375" customWidth="1" style="22" min="7443" max="7443"/>
    <col width="11" customWidth="1" style="22" min="7444" max="7444"/>
    <col width="9.140625" customWidth="1" style="22" min="7445" max="7445"/>
    <col width="15.7109375" customWidth="1" style="22" min="7446" max="7446"/>
    <col width="12" customWidth="1" style="22" min="7447" max="7447"/>
    <col width="8.7109375" customWidth="1" style="22" min="7448" max="7448"/>
    <col width="5.140625" customWidth="1" style="22" min="7449" max="7449"/>
    <col width="8" customWidth="1" style="22" min="7450" max="7450"/>
    <col width="10.85546875" customWidth="1" style="22" min="7451" max="7451"/>
    <col width="7.7109375" customWidth="1" style="22" min="7452" max="7452"/>
    <col width="4.85546875" customWidth="1" style="22" min="7453" max="7453"/>
    <col width="7.7109375" customWidth="1" style="22" min="7454" max="7454"/>
    <col width="15.85546875" customWidth="1" style="22" min="7455" max="7455"/>
    <col width="10.85546875" customWidth="1" style="22" min="7456" max="7456"/>
    <col width="10.42578125" customWidth="1" style="22" min="7457" max="7457"/>
    <col width="10.85546875" customWidth="1" style="22" min="7458" max="7458"/>
    <col width="8.42578125" customWidth="1" style="22" min="7459" max="7459"/>
    <col width="8.85546875" customWidth="1" style="22" min="7460" max="7460"/>
    <col width="0.85546875" customWidth="1" style="22" min="7461" max="7680"/>
    <col width="5.7109375" bestFit="1" customWidth="1" style="22" min="7681" max="7681"/>
    <col width="29.42578125" customWidth="1" style="22" min="7682" max="7682"/>
    <col width="6.28515625" customWidth="1" style="22" min="7683" max="7683"/>
    <col width="7.28515625" customWidth="1" style="22" min="7684" max="7685"/>
    <col width="10" customWidth="1" style="22" min="7686" max="7686"/>
    <col width="8.85546875" customWidth="1" style="22" min="7687" max="7687"/>
    <col width="9" customWidth="1" style="22" min="7688" max="7688"/>
    <col width="10.28515625" customWidth="1" style="22" min="7689" max="7689"/>
    <col width="10" customWidth="1" style="22" min="7690" max="7692"/>
    <col width="14" customWidth="1" style="22" min="7693" max="7693"/>
    <col width="11.7109375" customWidth="1" style="22" min="7694" max="7694"/>
    <col width="8.7109375" customWidth="1" style="22" min="7695" max="7695"/>
    <col width="4.85546875" customWidth="1" style="22" min="7696" max="7696"/>
    <col width="8.140625" customWidth="1" style="22" min="7697" max="7697"/>
    <col width="10.85546875" customWidth="1" style="22" min="7698" max="7698"/>
    <col width="9.7109375" customWidth="1" style="22" min="7699" max="7699"/>
    <col width="11" customWidth="1" style="22" min="7700" max="7700"/>
    <col width="9.140625" customWidth="1" style="22" min="7701" max="7701"/>
    <col width="15.7109375" customWidth="1" style="22" min="7702" max="7702"/>
    <col width="12" customWidth="1" style="22" min="7703" max="7703"/>
    <col width="8.7109375" customWidth="1" style="22" min="7704" max="7704"/>
    <col width="5.140625" customWidth="1" style="22" min="7705" max="7705"/>
    <col width="8" customWidth="1" style="22" min="7706" max="7706"/>
    <col width="10.85546875" customWidth="1" style="22" min="7707" max="7707"/>
    <col width="7.7109375" customWidth="1" style="22" min="7708" max="7708"/>
    <col width="4.85546875" customWidth="1" style="22" min="7709" max="7709"/>
    <col width="7.7109375" customWidth="1" style="22" min="7710" max="7710"/>
    <col width="15.85546875" customWidth="1" style="22" min="7711" max="7711"/>
    <col width="10.85546875" customWidth="1" style="22" min="7712" max="7712"/>
    <col width="10.42578125" customWidth="1" style="22" min="7713" max="7713"/>
    <col width="10.85546875" customWidth="1" style="22" min="7714" max="7714"/>
    <col width="8.42578125" customWidth="1" style="22" min="7715" max="7715"/>
    <col width="8.85546875" customWidth="1" style="22" min="7716" max="7716"/>
    <col width="0.85546875" customWidth="1" style="22" min="7717" max="7936"/>
    <col width="5.7109375" bestFit="1" customWidth="1" style="22" min="7937" max="7937"/>
    <col width="29.42578125" customWidth="1" style="22" min="7938" max="7938"/>
    <col width="6.28515625" customWidth="1" style="22" min="7939" max="7939"/>
    <col width="7.28515625" customWidth="1" style="22" min="7940" max="7941"/>
    <col width="10" customWidth="1" style="22" min="7942" max="7942"/>
    <col width="8.85546875" customWidth="1" style="22" min="7943" max="7943"/>
    <col width="9" customWidth="1" style="22" min="7944" max="7944"/>
    <col width="10.28515625" customWidth="1" style="22" min="7945" max="7945"/>
    <col width="10" customWidth="1" style="22" min="7946" max="7948"/>
    <col width="14" customWidth="1" style="22" min="7949" max="7949"/>
    <col width="11.7109375" customWidth="1" style="22" min="7950" max="7950"/>
    <col width="8.7109375" customWidth="1" style="22" min="7951" max="7951"/>
    <col width="4.85546875" customWidth="1" style="22" min="7952" max="7952"/>
    <col width="8.140625" customWidth="1" style="22" min="7953" max="7953"/>
    <col width="10.85546875" customWidth="1" style="22" min="7954" max="7954"/>
    <col width="9.7109375" customWidth="1" style="22" min="7955" max="7955"/>
    <col width="11" customWidth="1" style="22" min="7956" max="7956"/>
    <col width="9.140625" customWidth="1" style="22" min="7957" max="7957"/>
    <col width="15.7109375" customWidth="1" style="22" min="7958" max="7958"/>
    <col width="12" customWidth="1" style="22" min="7959" max="7959"/>
    <col width="8.7109375" customWidth="1" style="22" min="7960" max="7960"/>
    <col width="5.140625" customWidth="1" style="22" min="7961" max="7961"/>
    <col width="8" customWidth="1" style="22" min="7962" max="7962"/>
    <col width="10.85546875" customWidth="1" style="22" min="7963" max="7963"/>
    <col width="7.7109375" customWidth="1" style="22" min="7964" max="7964"/>
    <col width="4.85546875" customWidth="1" style="22" min="7965" max="7965"/>
    <col width="7.7109375" customWidth="1" style="22" min="7966" max="7966"/>
    <col width="15.85546875" customWidth="1" style="22" min="7967" max="7967"/>
    <col width="10.85546875" customWidth="1" style="22" min="7968" max="7968"/>
    <col width="10.42578125" customWidth="1" style="22" min="7969" max="7969"/>
    <col width="10.85546875" customWidth="1" style="22" min="7970" max="7970"/>
    <col width="8.42578125" customWidth="1" style="22" min="7971" max="7971"/>
    <col width="8.85546875" customWidth="1" style="22" min="7972" max="7972"/>
    <col width="0.85546875" customWidth="1" style="22" min="7973" max="8192"/>
    <col width="5.7109375" bestFit="1" customWidth="1" style="22" min="8193" max="8193"/>
    <col width="29.42578125" customWidth="1" style="22" min="8194" max="8194"/>
    <col width="6.28515625" customWidth="1" style="22" min="8195" max="8195"/>
    <col width="7.28515625" customWidth="1" style="22" min="8196" max="8197"/>
    <col width="10" customWidth="1" style="22" min="8198" max="8198"/>
    <col width="8.85546875" customWidth="1" style="22" min="8199" max="8199"/>
    <col width="9" customWidth="1" style="22" min="8200" max="8200"/>
    <col width="10.28515625" customWidth="1" style="22" min="8201" max="8201"/>
    <col width="10" customWidth="1" style="22" min="8202" max="8204"/>
    <col width="14" customWidth="1" style="22" min="8205" max="8205"/>
    <col width="11.7109375" customWidth="1" style="22" min="8206" max="8206"/>
    <col width="8.7109375" customWidth="1" style="22" min="8207" max="8207"/>
    <col width="4.85546875" customWidth="1" style="22" min="8208" max="8208"/>
    <col width="8.140625" customWidth="1" style="22" min="8209" max="8209"/>
    <col width="10.85546875" customWidth="1" style="22" min="8210" max="8210"/>
    <col width="9.7109375" customWidth="1" style="22" min="8211" max="8211"/>
    <col width="11" customWidth="1" style="22" min="8212" max="8212"/>
    <col width="9.140625" customWidth="1" style="22" min="8213" max="8213"/>
    <col width="15.7109375" customWidth="1" style="22" min="8214" max="8214"/>
    <col width="12" customWidth="1" style="22" min="8215" max="8215"/>
    <col width="8.7109375" customWidth="1" style="22" min="8216" max="8216"/>
    <col width="5.140625" customWidth="1" style="22" min="8217" max="8217"/>
    <col width="8" customWidth="1" style="22" min="8218" max="8218"/>
    <col width="10.85546875" customWidth="1" style="22" min="8219" max="8219"/>
    <col width="7.7109375" customWidth="1" style="22" min="8220" max="8220"/>
    <col width="4.85546875" customWidth="1" style="22" min="8221" max="8221"/>
    <col width="7.7109375" customWidth="1" style="22" min="8222" max="8222"/>
    <col width="15.85546875" customWidth="1" style="22" min="8223" max="8223"/>
    <col width="10.85546875" customWidth="1" style="22" min="8224" max="8224"/>
    <col width="10.42578125" customWidth="1" style="22" min="8225" max="8225"/>
    <col width="10.85546875" customWidth="1" style="22" min="8226" max="8226"/>
    <col width="8.42578125" customWidth="1" style="22" min="8227" max="8227"/>
    <col width="8.85546875" customWidth="1" style="22" min="8228" max="8228"/>
    <col width="0.85546875" customWidth="1" style="22" min="8229" max="8448"/>
    <col width="5.7109375" bestFit="1" customWidth="1" style="22" min="8449" max="8449"/>
    <col width="29.42578125" customWidth="1" style="22" min="8450" max="8450"/>
    <col width="6.28515625" customWidth="1" style="22" min="8451" max="8451"/>
    <col width="7.28515625" customWidth="1" style="22" min="8452" max="8453"/>
    <col width="10" customWidth="1" style="22" min="8454" max="8454"/>
    <col width="8.85546875" customWidth="1" style="22" min="8455" max="8455"/>
    <col width="9" customWidth="1" style="22" min="8456" max="8456"/>
    <col width="10.28515625" customWidth="1" style="22" min="8457" max="8457"/>
    <col width="10" customWidth="1" style="22" min="8458" max="8460"/>
    <col width="14" customWidth="1" style="22" min="8461" max="8461"/>
    <col width="11.7109375" customWidth="1" style="22" min="8462" max="8462"/>
    <col width="8.7109375" customWidth="1" style="22" min="8463" max="8463"/>
    <col width="4.85546875" customWidth="1" style="22" min="8464" max="8464"/>
    <col width="8.140625" customWidth="1" style="22" min="8465" max="8465"/>
    <col width="10.85546875" customWidth="1" style="22" min="8466" max="8466"/>
    <col width="9.7109375" customWidth="1" style="22" min="8467" max="8467"/>
    <col width="11" customWidth="1" style="22" min="8468" max="8468"/>
    <col width="9.140625" customWidth="1" style="22" min="8469" max="8469"/>
    <col width="15.7109375" customWidth="1" style="22" min="8470" max="8470"/>
    <col width="12" customWidth="1" style="22" min="8471" max="8471"/>
    <col width="8.7109375" customWidth="1" style="22" min="8472" max="8472"/>
    <col width="5.140625" customWidth="1" style="22" min="8473" max="8473"/>
    <col width="8" customWidth="1" style="22" min="8474" max="8474"/>
    <col width="10.85546875" customWidth="1" style="22" min="8475" max="8475"/>
    <col width="7.7109375" customWidth="1" style="22" min="8476" max="8476"/>
    <col width="4.85546875" customWidth="1" style="22" min="8477" max="8477"/>
    <col width="7.7109375" customWidth="1" style="22" min="8478" max="8478"/>
    <col width="15.85546875" customWidth="1" style="22" min="8479" max="8479"/>
    <col width="10.85546875" customWidth="1" style="22" min="8480" max="8480"/>
    <col width="10.42578125" customWidth="1" style="22" min="8481" max="8481"/>
    <col width="10.85546875" customWidth="1" style="22" min="8482" max="8482"/>
    <col width="8.42578125" customWidth="1" style="22" min="8483" max="8483"/>
    <col width="8.85546875" customWidth="1" style="22" min="8484" max="8484"/>
    <col width="0.85546875" customWidth="1" style="22" min="8485" max="8704"/>
    <col width="5.7109375" bestFit="1" customWidth="1" style="22" min="8705" max="8705"/>
    <col width="29.42578125" customWidth="1" style="22" min="8706" max="8706"/>
    <col width="6.28515625" customWidth="1" style="22" min="8707" max="8707"/>
    <col width="7.28515625" customWidth="1" style="22" min="8708" max="8709"/>
    <col width="10" customWidth="1" style="22" min="8710" max="8710"/>
    <col width="8.85546875" customWidth="1" style="22" min="8711" max="8711"/>
    <col width="9" customWidth="1" style="22" min="8712" max="8712"/>
    <col width="10.28515625" customWidth="1" style="22" min="8713" max="8713"/>
    <col width="10" customWidth="1" style="22" min="8714" max="8716"/>
    <col width="14" customWidth="1" style="22" min="8717" max="8717"/>
    <col width="11.7109375" customWidth="1" style="22" min="8718" max="8718"/>
    <col width="8.7109375" customWidth="1" style="22" min="8719" max="8719"/>
    <col width="4.85546875" customWidth="1" style="22" min="8720" max="8720"/>
    <col width="8.140625" customWidth="1" style="22" min="8721" max="8721"/>
    <col width="10.85546875" customWidth="1" style="22" min="8722" max="8722"/>
    <col width="9.7109375" customWidth="1" style="22" min="8723" max="8723"/>
    <col width="11" customWidth="1" style="22" min="8724" max="8724"/>
    <col width="9.140625" customWidth="1" style="22" min="8725" max="8725"/>
    <col width="15.7109375" customWidth="1" style="22" min="8726" max="8726"/>
    <col width="12" customWidth="1" style="22" min="8727" max="8727"/>
    <col width="8.7109375" customWidth="1" style="22" min="8728" max="8728"/>
    <col width="5.140625" customWidth="1" style="22" min="8729" max="8729"/>
    <col width="8" customWidth="1" style="22" min="8730" max="8730"/>
    <col width="10.85546875" customWidth="1" style="22" min="8731" max="8731"/>
    <col width="7.7109375" customWidth="1" style="22" min="8732" max="8732"/>
    <col width="4.85546875" customWidth="1" style="22" min="8733" max="8733"/>
    <col width="7.7109375" customWidth="1" style="22" min="8734" max="8734"/>
    <col width="15.85546875" customWidth="1" style="22" min="8735" max="8735"/>
    <col width="10.85546875" customWidth="1" style="22" min="8736" max="8736"/>
    <col width="10.42578125" customWidth="1" style="22" min="8737" max="8737"/>
    <col width="10.85546875" customWidth="1" style="22" min="8738" max="8738"/>
    <col width="8.42578125" customWidth="1" style="22" min="8739" max="8739"/>
    <col width="8.85546875" customWidth="1" style="22" min="8740" max="8740"/>
    <col width="0.85546875" customWidth="1" style="22" min="8741" max="8960"/>
    <col width="5.7109375" bestFit="1" customWidth="1" style="22" min="8961" max="8961"/>
    <col width="29.42578125" customWidth="1" style="22" min="8962" max="8962"/>
    <col width="6.28515625" customWidth="1" style="22" min="8963" max="8963"/>
    <col width="7.28515625" customWidth="1" style="22" min="8964" max="8965"/>
    <col width="10" customWidth="1" style="22" min="8966" max="8966"/>
    <col width="8.85546875" customWidth="1" style="22" min="8967" max="8967"/>
    <col width="9" customWidth="1" style="22" min="8968" max="8968"/>
    <col width="10.28515625" customWidth="1" style="22" min="8969" max="8969"/>
    <col width="10" customWidth="1" style="22" min="8970" max="8972"/>
    <col width="14" customWidth="1" style="22" min="8973" max="8973"/>
    <col width="11.7109375" customWidth="1" style="22" min="8974" max="8974"/>
    <col width="8.7109375" customWidth="1" style="22" min="8975" max="8975"/>
    <col width="4.85546875" customWidth="1" style="22" min="8976" max="8976"/>
    <col width="8.140625" customWidth="1" style="22" min="8977" max="8977"/>
    <col width="10.85546875" customWidth="1" style="22" min="8978" max="8978"/>
    <col width="9.7109375" customWidth="1" style="22" min="8979" max="8979"/>
    <col width="11" customWidth="1" style="22" min="8980" max="8980"/>
    <col width="9.140625" customWidth="1" style="22" min="8981" max="8981"/>
    <col width="15.7109375" customWidth="1" style="22" min="8982" max="8982"/>
    <col width="12" customWidth="1" style="22" min="8983" max="8983"/>
    <col width="8.7109375" customWidth="1" style="22" min="8984" max="8984"/>
    <col width="5.140625" customWidth="1" style="22" min="8985" max="8985"/>
    <col width="8" customWidth="1" style="22" min="8986" max="8986"/>
    <col width="10.85546875" customWidth="1" style="22" min="8987" max="8987"/>
    <col width="7.7109375" customWidth="1" style="22" min="8988" max="8988"/>
    <col width="4.85546875" customWidth="1" style="22" min="8989" max="8989"/>
    <col width="7.7109375" customWidth="1" style="22" min="8990" max="8990"/>
    <col width="15.85546875" customWidth="1" style="22" min="8991" max="8991"/>
    <col width="10.85546875" customWidth="1" style="22" min="8992" max="8992"/>
    <col width="10.42578125" customWidth="1" style="22" min="8993" max="8993"/>
    <col width="10.85546875" customWidth="1" style="22" min="8994" max="8994"/>
    <col width="8.42578125" customWidth="1" style="22" min="8995" max="8995"/>
    <col width="8.85546875" customWidth="1" style="22" min="8996" max="8996"/>
    <col width="0.85546875" customWidth="1" style="22" min="8997" max="9216"/>
    <col width="5.7109375" bestFit="1" customWidth="1" style="22" min="9217" max="9217"/>
    <col width="29.42578125" customWidth="1" style="22" min="9218" max="9218"/>
    <col width="6.28515625" customWidth="1" style="22" min="9219" max="9219"/>
    <col width="7.28515625" customWidth="1" style="22" min="9220" max="9221"/>
    <col width="10" customWidth="1" style="22" min="9222" max="9222"/>
    <col width="8.85546875" customWidth="1" style="22" min="9223" max="9223"/>
    <col width="9" customWidth="1" style="22" min="9224" max="9224"/>
    <col width="10.28515625" customWidth="1" style="22" min="9225" max="9225"/>
    <col width="10" customWidth="1" style="22" min="9226" max="9228"/>
    <col width="14" customWidth="1" style="22" min="9229" max="9229"/>
    <col width="11.7109375" customWidth="1" style="22" min="9230" max="9230"/>
    <col width="8.7109375" customWidth="1" style="22" min="9231" max="9231"/>
    <col width="4.85546875" customWidth="1" style="22" min="9232" max="9232"/>
    <col width="8.140625" customWidth="1" style="22" min="9233" max="9233"/>
    <col width="10.85546875" customWidth="1" style="22" min="9234" max="9234"/>
    <col width="9.7109375" customWidth="1" style="22" min="9235" max="9235"/>
    <col width="11" customWidth="1" style="22" min="9236" max="9236"/>
    <col width="9.140625" customWidth="1" style="22" min="9237" max="9237"/>
    <col width="15.7109375" customWidth="1" style="22" min="9238" max="9238"/>
    <col width="12" customWidth="1" style="22" min="9239" max="9239"/>
    <col width="8.7109375" customWidth="1" style="22" min="9240" max="9240"/>
    <col width="5.140625" customWidth="1" style="22" min="9241" max="9241"/>
    <col width="8" customWidth="1" style="22" min="9242" max="9242"/>
    <col width="10.85546875" customWidth="1" style="22" min="9243" max="9243"/>
    <col width="7.7109375" customWidth="1" style="22" min="9244" max="9244"/>
    <col width="4.85546875" customWidth="1" style="22" min="9245" max="9245"/>
    <col width="7.7109375" customWidth="1" style="22" min="9246" max="9246"/>
    <col width="15.85546875" customWidth="1" style="22" min="9247" max="9247"/>
    <col width="10.85546875" customWidth="1" style="22" min="9248" max="9248"/>
    <col width="10.42578125" customWidth="1" style="22" min="9249" max="9249"/>
    <col width="10.85546875" customWidth="1" style="22" min="9250" max="9250"/>
    <col width="8.42578125" customWidth="1" style="22" min="9251" max="9251"/>
    <col width="8.85546875" customWidth="1" style="22" min="9252" max="9252"/>
    <col width="0.85546875" customWidth="1" style="22" min="9253" max="9472"/>
    <col width="5.7109375" bestFit="1" customWidth="1" style="22" min="9473" max="9473"/>
    <col width="29.42578125" customWidth="1" style="22" min="9474" max="9474"/>
    <col width="6.28515625" customWidth="1" style="22" min="9475" max="9475"/>
    <col width="7.28515625" customWidth="1" style="22" min="9476" max="9477"/>
    <col width="10" customWidth="1" style="22" min="9478" max="9478"/>
    <col width="8.85546875" customWidth="1" style="22" min="9479" max="9479"/>
    <col width="9" customWidth="1" style="22" min="9480" max="9480"/>
    <col width="10.28515625" customWidth="1" style="22" min="9481" max="9481"/>
    <col width="10" customWidth="1" style="22" min="9482" max="9484"/>
    <col width="14" customWidth="1" style="22" min="9485" max="9485"/>
    <col width="11.7109375" customWidth="1" style="22" min="9486" max="9486"/>
    <col width="8.7109375" customWidth="1" style="22" min="9487" max="9487"/>
    <col width="4.85546875" customWidth="1" style="22" min="9488" max="9488"/>
    <col width="8.140625" customWidth="1" style="22" min="9489" max="9489"/>
    <col width="10.85546875" customWidth="1" style="22" min="9490" max="9490"/>
    <col width="9.7109375" customWidth="1" style="22" min="9491" max="9491"/>
    <col width="11" customWidth="1" style="22" min="9492" max="9492"/>
    <col width="9.140625" customWidth="1" style="22" min="9493" max="9493"/>
    <col width="15.7109375" customWidth="1" style="22" min="9494" max="9494"/>
    <col width="12" customWidth="1" style="22" min="9495" max="9495"/>
    <col width="8.7109375" customWidth="1" style="22" min="9496" max="9496"/>
    <col width="5.140625" customWidth="1" style="22" min="9497" max="9497"/>
    <col width="8" customWidth="1" style="22" min="9498" max="9498"/>
    <col width="10.85546875" customWidth="1" style="22" min="9499" max="9499"/>
    <col width="7.7109375" customWidth="1" style="22" min="9500" max="9500"/>
    <col width="4.85546875" customWidth="1" style="22" min="9501" max="9501"/>
    <col width="7.7109375" customWidth="1" style="22" min="9502" max="9502"/>
    <col width="15.85546875" customWidth="1" style="22" min="9503" max="9503"/>
    <col width="10.85546875" customWidth="1" style="22" min="9504" max="9504"/>
    <col width="10.42578125" customWidth="1" style="22" min="9505" max="9505"/>
    <col width="10.85546875" customWidth="1" style="22" min="9506" max="9506"/>
    <col width="8.42578125" customWidth="1" style="22" min="9507" max="9507"/>
    <col width="8.85546875" customWidth="1" style="22" min="9508" max="9508"/>
    <col width="0.85546875" customWidth="1" style="22" min="9509" max="9728"/>
    <col width="5.7109375" bestFit="1" customWidth="1" style="22" min="9729" max="9729"/>
    <col width="29.42578125" customWidth="1" style="22" min="9730" max="9730"/>
    <col width="6.28515625" customWidth="1" style="22" min="9731" max="9731"/>
    <col width="7.28515625" customWidth="1" style="22" min="9732" max="9733"/>
    <col width="10" customWidth="1" style="22" min="9734" max="9734"/>
    <col width="8.85546875" customWidth="1" style="22" min="9735" max="9735"/>
    <col width="9" customWidth="1" style="22" min="9736" max="9736"/>
    <col width="10.28515625" customWidth="1" style="22" min="9737" max="9737"/>
    <col width="10" customWidth="1" style="22" min="9738" max="9740"/>
    <col width="14" customWidth="1" style="22" min="9741" max="9741"/>
    <col width="11.7109375" customWidth="1" style="22" min="9742" max="9742"/>
    <col width="8.7109375" customWidth="1" style="22" min="9743" max="9743"/>
    <col width="4.85546875" customWidth="1" style="22" min="9744" max="9744"/>
    <col width="8.140625" customWidth="1" style="22" min="9745" max="9745"/>
    <col width="10.85546875" customWidth="1" style="22" min="9746" max="9746"/>
    <col width="9.7109375" customWidth="1" style="22" min="9747" max="9747"/>
    <col width="11" customWidth="1" style="22" min="9748" max="9748"/>
    <col width="9.140625" customWidth="1" style="22" min="9749" max="9749"/>
    <col width="15.7109375" customWidth="1" style="22" min="9750" max="9750"/>
    <col width="12" customWidth="1" style="22" min="9751" max="9751"/>
    <col width="8.7109375" customWidth="1" style="22" min="9752" max="9752"/>
    <col width="5.140625" customWidth="1" style="22" min="9753" max="9753"/>
    <col width="8" customWidth="1" style="22" min="9754" max="9754"/>
    <col width="10.85546875" customWidth="1" style="22" min="9755" max="9755"/>
    <col width="7.7109375" customWidth="1" style="22" min="9756" max="9756"/>
    <col width="4.85546875" customWidth="1" style="22" min="9757" max="9757"/>
    <col width="7.7109375" customWidth="1" style="22" min="9758" max="9758"/>
    <col width="15.85546875" customWidth="1" style="22" min="9759" max="9759"/>
    <col width="10.85546875" customWidth="1" style="22" min="9760" max="9760"/>
    <col width="10.42578125" customWidth="1" style="22" min="9761" max="9761"/>
    <col width="10.85546875" customWidth="1" style="22" min="9762" max="9762"/>
    <col width="8.42578125" customWidth="1" style="22" min="9763" max="9763"/>
    <col width="8.85546875" customWidth="1" style="22" min="9764" max="9764"/>
    <col width="0.85546875" customWidth="1" style="22" min="9765" max="9984"/>
    <col width="5.7109375" bestFit="1" customWidth="1" style="22" min="9985" max="9985"/>
    <col width="29.42578125" customWidth="1" style="22" min="9986" max="9986"/>
    <col width="6.28515625" customWidth="1" style="22" min="9987" max="9987"/>
    <col width="7.28515625" customWidth="1" style="22" min="9988" max="9989"/>
    <col width="10" customWidth="1" style="22" min="9990" max="9990"/>
    <col width="8.85546875" customWidth="1" style="22" min="9991" max="9991"/>
    <col width="9" customWidth="1" style="22" min="9992" max="9992"/>
    <col width="10.28515625" customWidth="1" style="22" min="9993" max="9993"/>
    <col width="10" customWidth="1" style="22" min="9994" max="9996"/>
    <col width="14" customWidth="1" style="22" min="9997" max="9997"/>
    <col width="11.7109375" customWidth="1" style="22" min="9998" max="9998"/>
    <col width="8.7109375" customWidth="1" style="22" min="9999" max="9999"/>
    <col width="4.85546875" customWidth="1" style="22" min="10000" max="10000"/>
    <col width="8.140625" customWidth="1" style="22" min="10001" max="10001"/>
    <col width="10.85546875" customWidth="1" style="22" min="10002" max="10002"/>
    <col width="9.7109375" customWidth="1" style="22" min="10003" max="10003"/>
    <col width="11" customWidth="1" style="22" min="10004" max="10004"/>
    <col width="9.140625" customWidth="1" style="22" min="10005" max="10005"/>
    <col width="15.7109375" customWidth="1" style="22" min="10006" max="10006"/>
    <col width="12" customWidth="1" style="22" min="10007" max="10007"/>
    <col width="8.7109375" customWidth="1" style="22" min="10008" max="10008"/>
    <col width="5.140625" customWidth="1" style="22" min="10009" max="10009"/>
    <col width="8" customWidth="1" style="22" min="10010" max="10010"/>
    <col width="10.85546875" customWidth="1" style="22" min="10011" max="10011"/>
    <col width="7.7109375" customWidth="1" style="22" min="10012" max="10012"/>
    <col width="4.85546875" customWidth="1" style="22" min="10013" max="10013"/>
    <col width="7.7109375" customWidth="1" style="22" min="10014" max="10014"/>
    <col width="15.85546875" customWidth="1" style="22" min="10015" max="10015"/>
    <col width="10.85546875" customWidth="1" style="22" min="10016" max="10016"/>
    <col width="10.42578125" customWidth="1" style="22" min="10017" max="10017"/>
    <col width="10.85546875" customWidth="1" style="22" min="10018" max="10018"/>
    <col width="8.42578125" customWidth="1" style="22" min="10019" max="10019"/>
    <col width="8.85546875" customWidth="1" style="22" min="10020" max="10020"/>
    <col width="0.85546875" customWidth="1" style="22" min="10021" max="10240"/>
    <col width="5.7109375" bestFit="1" customWidth="1" style="22" min="10241" max="10241"/>
    <col width="29.42578125" customWidth="1" style="22" min="10242" max="10242"/>
    <col width="6.28515625" customWidth="1" style="22" min="10243" max="10243"/>
    <col width="7.28515625" customWidth="1" style="22" min="10244" max="10245"/>
    <col width="10" customWidth="1" style="22" min="10246" max="10246"/>
    <col width="8.85546875" customWidth="1" style="22" min="10247" max="10247"/>
    <col width="9" customWidth="1" style="22" min="10248" max="10248"/>
    <col width="10.28515625" customWidth="1" style="22" min="10249" max="10249"/>
    <col width="10" customWidth="1" style="22" min="10250" max="10252"/>
    <col width="14" customWidth="1" style="22" min="10253" max="10253"/>
    <col width="11.7109375" customWidth="1" style="22" min="10254" max="10254"/>
    <col width="8.7109375" customWidth="1" style="22" min="10255" max="10255"/>
    <col width="4.85546875" customWidth="1" style="22" min="10256" max="10256"/>
    <col width="8.140625" customWidth="1" style="22" min="10257" max="10257"/>
    <col width="10.85546875" customWidth="1" style="22" min="10258" max="10258"/>
    <col width="9.7109375" customWidth="1" style="22" min="10259" max="10259"/>
    <col width="11" customWidth="1" style="22" min="10260" max="10260"/>
    <col width="9.140625" customWidth="1" style="22" min="10261" max="10261"/>
    <col width="15.7109375" customWidth="1" style="22" min="10262" max="10262"/>
    <col width="12" customWidth="1" style="22" min="10263" max="10263"/>
    <col width="8.7109375" customWidth="1" style="22" min="10264" max="10264"/>
    <col width="5.140625" customWidth="1" style="22" min="10265" max="10265"/>
    <col width="8" customWidth="1" style="22" min="10266" max="10266"/>
    <col width="10.85546875" customWidth="1" style="22" min="10267" max="10267"/>
    <col width="7.7109375" customWidth="1" style="22" min="10268" max="10268"/>
    <col width="4.85546875" customWidth="1" style="22" min="10269" max="10269"/>
    <col width="7.7109375" customWidth="1" style="22" min="10270" max="10270"/>
    <col width="15.85546875" customWidth="1" style="22" min="10271" max="10271"/>
    <col width="10.85546875" customWidth="1" style="22" min="10272" max="10272"/>
    <col width="10.42578125" customWidth="1" style="22" min="10273" max="10273"/>
    <col width="10.85546875" customWidth="1" style="22" min="10274" max="10274"/>
    <col width="8.42578125" customWidth="1" style="22" min="10275" max="10275"/>
    <col width="8.85546875" customWidth="1" style="22" min="10276" max="10276"/>
    <col width="0.85546875" customWidth="1" style="22" min="10277" max="10496"/>
    <col width="5.7109375" bestFit="1" customWidth="1" style="22" min="10497" max="10497"/>
    <col width="29.42578125" customWidth="1" style="22" min="10498" max="10498"/>
    <col width="6.28515625" customWidth="1" style="22" min="10499" max="10499"/>
    <col width="7.28515625" customWidth="1" style="22" min="10500" max="10501"/>
    <col width="10" customWidth="1" style="22" min="10502" max="10502"/>
    <col width="8.85546875" customWidth="1" style="22" min="10503" max="10503"/>
    <col width="9" customWidth="1" style="22" min="10504" max="10504"/>
    <col width="10.28515625" customWidth="1" style="22" min="10505" max="10505"/>
    <col width="10" customWidth="1" style="22" min="10506" max="10508"/>
    <col width="14" customWidth="1" style="22" min="10509" max="10509"/>
    <col width="11.7109375" customWidth="1" style="22" min="10510" max="10510"/>
    <col width="8.7109375" customWidth="1" style="22" min="10511" max="10511"/>
    <col width="4.85546875" customWidth="1" style="22" min="10512" max="10512"/>
    <col width="8.140625" customWidth="1" style="22" min="10513" max="10513"/>
    <col width="10.85546875" customWidth="1" style="22" min="10514" max="10514"/>
    <col width="9.7109375" customWidth="1" style="22" min="10515" max="10515"/>
    <col width="11" customWidth="1" style="22" min="10516" max="10516"/>
    <col width="9.140625" customWidth="1" style="22" min="10517" max="10517"/>
    <col width="15.7109375" customWidth="1" style="22" min="10518" max="10518"/>
    <col width="12" customWidth="1" style="22" min="10519" max="10519"/>
    <col width="8.7109375" customWidth="1" style="22" min="10520" max="10520"/>
    <col width="5.140625" customWidth="1" style="22" min="10521" max="10521"/>
    <col width="8" customWidth="1" style="22" min="10522" max="10522"/>
    <col width="10.85546875" customWidth="1" style="22" min="10523" max="10523"/>
    <col width="7.7109375" customWidth="1" style="22" min="10524" max="10524"/>
    <col width="4.85546875" customWidth="1" style="22" min="10525" max="10525"/>
    <col width="7.7109375" customWidth="1" style="22" min="10526" max="10526"/>
    <col width="15.85546875" customWidth="1" style="22" min="10527" max="10527"/>
    <col width="10.85546875" customWidth="1" style="22" min="10528" max="10528"/>
    <col width="10.42578125" customWidth="1" style="22" min="10529" max="10529"/>
    <col width="10.85546875" customWidth="1" style="22" min="10530" max="10530"/>
    <col width="8.42578125" customWidth="1" style="22" min="10531" max="10531"/>
    <col width="8.85546875" customWidth="1" style="22" min="10532" max="10532"/>
    <col width="0.85546875" customWidth="1" style="22" min="10533" max="10752"/>
    <col width="5.7109375" bestFit="1" customWidth="1" style="22" min="10753" max="10753"/>
    <col width="29.42578125" customWidth="1" style="22" min="10754" max="10754"/>
    <col width="6.28515625" customWidth="1" style="22" min="10755" max="10755"/>
    <col width="7.28515625" customWidth="1" style="22" min="10756" max="10757"/>
    <col width="10" customWidth="1" style="22" min="10758" max="10758"/>
    <col width="8.85546875" customWidth="1" style="22" min="10759" max="10759"/>
    <col width="9" customWidth="1" style="22" min="10760" max="10760"/>
    <col width="10.28515625" customWidth="1" style="22" min="10761" max="10761"/>
    <col width="10" customWidth="1" style="22" min="10762" max="10764"/>
    <col width="14" customWidth="1" style="22" min="10765" max="10765"/>
    <col width="11.7109375" customWidth="1" style="22" min="10766" max="10766"/>
    <col width="8.7109375" customWidth="1" style="22" min="10767" max="10767"/>
    <col width="4.85546875" customWidth="1" style="22" min="10768" max="10768"/>
    <col width="8.140625" customWidth="1" style="22" min="10769" max="10769"/>
    <col width="10.85546875" customWidth="1" style="22" min="10770" max="10770"/>
    <col width="9.7109375" customWidth="1" style="22" min="10771" max="10771"/>
    <col width="11" customWidth="1" style="22" min="10772" max="10772"/>
    <col width="9.140625" customWidth="1" style="22" min="10773" max="10773"/>
    <col width="15.7109375" customWidth="1" style="22" min="10774" max="10774"/>
    <col width="12" customWidth="1" style="22" min="10775" max="10775"/>
    <col width="8.7109375" customWidth="1" style="22" min="10776" max="10776"/>
    <col width="5.140625" customWidth="1" style="22" min="10777" max="10777"/>
    <col width="8" customWidth="1" style="22" min="10778" max="10778"/>
    <col width="10.85546875" customWidth="1" style="22" min="10779" max="10779"/>
    <col width="7.7109375" customWidth="1" style="22" min="10780" max="10780"/>
    <col width="4.85546875" customWidth="1" style="22" min="10781" max="10781"/>
    <col width="7.7109375" customWidth="1" style="22" min="10782" max="10782"/>
    <col width="15.85546875" customWidth="1" style="22" min="10783" max="10783"/>
    <col width="10.85546875" customWidth="1" style="22" min="10784" max="10784"/>
    <col width="10.42578125" customWidth="1" style="22" min="10785" max="10785"/>
    <col width="10.85546875" customWidth="1" style="22" min="10786" max="10786"/>
    <col width="8.42578125" customWidth="1" style="22" min="10787" max="10787"/>
    <col width="8.85546875" customWidth="1" style="22" min="10788" max="10788"/>
    <col width="0.85546875" customWidth="1" style="22" min="10789" max="11008"/>
    <col width="5.7109375" bestFit="1" customWidth="1" style="22" min="11009" max="11009"/>
    <col width="29.42578125" customWidth="1" style="22" min="11010" max="11010"/>
    <col width="6.28515625" customWidth="1" style="22" min="11011" max="11011"/>
    <col width="7.28515625" customWidth="1" style="22" min="11012" max="11013"/>
    <col width="10" customWidth="1" style="22" min="11014" max="11014"/>
    <col width="8.85546875" customWidth="1" style="22" min="11015" max="11015"/>
    <col width="9" customWidth="1" style="22" min="11016" max="11016"/>
    <col width="10.28515625" customWidth="1" style="22" min="11017" max="11017"/>
    <col width="10" customWidth="1" style="22" min="11018" max="11020"/>
    <col width="14" customWidth="1" style="22" min="11021" max="11021"/>
    <col width="11.7109375" customWidth="1" style="22" min="11022" max="11022"/>
    <col width="8.7109375" customWidth="1" style="22" min="11023" max="11023"/>
    <col width="4.85546875" customWidth="1" style="22" min="11024" max="11024"/>
    <col width="8.140625" customWidth="1" style="22" min="11025" max="11025"/>
    <col width="10.85546875" customWidth="1" style="22" min="11026" max="11026"/>
    <col width="9.7109375" customWidth="1" style="22" min="11027" max="11027"/>
    <col width="11" customWidth="1" style="22" min="11028" max="11028"/>
    <col width="9.140625" customWidth="1" style="22" min="11029" max="11029"/>
    <col width="15.7109375" customWidth="1" style="22" min="11030" max="11030"/>
    <col width="12" customWidth="1" style="22" min="11031" max="11031"/>
    <col width="8.7109375" customWidth="1" style="22" min="11032" max="11032"/>
    <col width="5.140625" customWidth="1" style="22" min="11033" max="11033"/>
    <col width="8" customWidth="1" style="22" min="11034" max="11034"/>
    <col width="10.85546875" customWidth="1" style="22" min="11035" max="11035"/>
    <col width="7.7109375" customWidth="1" style="22" min="11036" max="11036"/>
    <col width="4.85546875" customWidth="1" style="22" min="11037" max="11037"/>
    <col width="7.7109375" customWidth="1" style="22" min="11038" max="11038"/>
    <col width="15.85546875" customWidth="1" style="22" min="11039" max="11039"/>
    <col width="10.85546875" customWidth="1" style="22" min="11040" max="11040"/>
    <col width="10.42578125" customWidth="1" style="22" min="11041" max="11041"/>
    <col width="10.85546875" customWidth="1" style="22" min="11042" max="11042"/>
    <col width="8.42578125" customWidth="1" style="22" min="11043" max="11043"/>
    <col width="8.85546875" customWidth="1" style="22" min="11044" max="11044"/>
    <col width="0.85546875" customWidth="1" style="22" min="11045" max="11264"/>
    <col width="5.7109375" bestFit="1" customWidth="1" style="22" min="11265" max="11265"/>
    <col width="29.42578125" customWidth="1" style="22" min="11266" max="11266"/>
    <col width="6.28515625" customWidth="1" style="22" min="11267" max="11267"/>
    <col width="7.28515625" customWidth="1" style="22" min="11268" max="11269"/>
    <col width="10" customWidth="1" style="22" min="11270" max="11270"/>
    <col width="8.85546875" customWidth="1" style="22" min="11271" max="11271"/>
    <col width="9" customWidth="1" style="22" min="11272" max="11272"/>
    <col width="10.28515625" customWidth="1" style="22" min="11273" max="11273"/>
    <col width="10" customWidth="1" style="22" min="11274" max="11276"/>
    <col width="14" customWidth="1" style="22" min="11277" max="11277"/>
    <col width="11.7109375" customWidth="1" style="22" min="11278" max="11278"/>
    <col width="8.7109375" customWidth="1" style="22" min="11279" max="11279"/>
    <col width="4.85546875" customWidth="1" style="22" min="11280" max="11280"/>
    <col width="8.140625" customWidth="1" style="22" min="11281" max="11281"/>
    <col width="10.85546875" customWidth="1" style="22" min="11282" max="11282"/>
    <col width="9.7109375" customWidth="1" style="22" min="11283" max="11283"/>
    <col width="11" customWidth="1" style="22" min="11284" max="11284"/>
    <col width="9.140625" customWidth="1" style="22" min="11285" max="11285"/>
    <col width="15.7109375" customWidth="1" style="22" min="11286" max="11286"/>
    <col width="12" customWidth="1" style="22" min="11287" max="11287"/>
    <col width="8.7109375" customWidth="1" style="22" min="11288" max="11288"/>
    <col width="5.140625" customWidth="1" style="22" min="11289" max="11289"/>
    <col width="8" customWidth="1" style="22" min="11290" max="11290"/>
    <col width="10.85546875" customWidth="1" style="22" min="11291" max="11291"/>
    <col width="7.7109375" customWidth="1" style="22" min="11292" max="11292"/>
    <col width="4.85546875" customWidth="1" style="22" min="11293" max="11293"/>
    <col width="7.7109375" customWidth="1" style="22" min="11294" max="11294"/>
    <col width="15.85546875" customWidth="1" style="22" min="11295" max="11295"/>
    <col width="10.85546875" customWidth="1" style="22" min="11296" max="11296"/>
    <col width="10.42578125" customWidth="1" style="22" min="11297" max="11297"/>
    <col width="10.85546875" customWidth="1" style="22" min="11298" max="11298"/>
    <col width="8.42578125" customWidth="1" style="22" min="11299" max="11299"/>
    <col width="8.85546875" customWidth="1" style="22" min="11300" max="11300"/>
    <col width="0.85546875" customWidth="1" style="22" min="11301" max="11520"/>
    <col width="5.7109375" bestFit="1" customWidth="1" style="22" min="11521" max="11521"/>
    <col width="29.42578125" customWidth="1" style="22" min="11522" max="11522"/>
    <col width="6.28515625" customWidth="1" style="22" min="11523" max="11523"/>
    <col width="7.28515625" customWidth="1" style="22" min="11524" max="11525"/>
    <col width="10" customWidth="1" style="22" min="11526" max="11526"/>
    <col width="8.85546875" customWidth="1" style="22" min="11527" max="11527"/>
    <col width="9" customWidth="1" style="22" min="11528" max="11528"/>
    <col width="10.28515625" customWidth="1" style="22" min="11529" max="11529"/>
    <col width="10" customWidth="1" style="22" min="11530" max="11532"/>
    <col width="14" customWidth="1" style="22" min="11533" max="11533"/>
    <col width="11.7109375" customWidth="1" style="22" min="11534" max="11534"/>
    <col width="8.7109375" customWidth="1" style="22" min="11535" max="11535"/>
    <col width="4.85546875" customWidth="1" style="22" min="11536" max="11536"/>
    <col width="8.140625" customWidth="1" style="22" min="11537" max="11537"/>
    <col width="10.85546875" customWidth="1" style="22" min="11538" max="11538"/>
    <col width="9.7109375" customWidth="1" style="22" min="11539" max="11539"/>
    <col width="11" customWidth="1" style="22" min="11540" max="11540"/>
    <col width="9.140625" customWidth="1" style="22" min="11541" max="11541"/>
    <col width="15.7109375" customWidth="1" style="22" min="11542" max="11542"/>
    <col width="12" customWidth="1" style="22" min="11543" max="11543"/>
    <col width="8.7109375" customWidth="1" style="22" min="11544" max="11544"/>
    <col width="5.140625" customWidth="1" style="22" min="11545" max="11545"/>
    <col width="8" customWidth="1" style="22" min="11546" max="11546"/>
    <col width="10.85546875" customWidth="1" style="22" min="11547" max="11547"/>
    <col width="7.7109375" customWidth="1" style="22" min="11548" max="11548"/>
    <col width="4.85546875" customWidth="1" style="22" min="11549" max="11549"/>
    <col width="7.7109375" customWidth="1" style="22" min="11550" max="11550"/>
    <col width="15.85546875" customWidth="1" style="22" min="11551" max="11551"/>
    <col width="10.85546875" customWidth="1" style="22" min="11552" max="11552"/>
    <col width="10.42578125" customWidth="1" style="22" min="11553" max="11553"/>
    <col width="10.85546875" customWidth="1" style="22" min="11554" max="11554"/>
    <col width="8.42578125" customWidth="1" style="22" min="11555" max="11555"/>
    <col width="8.85546875" customWidth="1" style="22" min="11556" max="11556"/>
    <col width="0.85546875" customWidth="1" style="22" min="11557" max="11776"/>
    <col width="5.7109375" bestFit="1" customWidth="1" style="22" min="11777" max="11777"/>
    <col width="29.42578125" customWidth="1" style="22" min="11778" max="11778"/>
    <col width="6.28515625" customWidth="1" style="22" min="11779" max="11779"/>
    <col width="7.28515625" customWidth="1" style="22" min="11780" max="11781"/>
    <col width="10" customWidth="1" style="22" min="11782" max="11782"/>
    <col width="8.85546875" customWidth="1" style="22" min="11783" max="11783"/>
    <col width="9" customWidth="1" style="22" min="11784" max="11784"/>
    <col width="10.28515625" customWidth="1" style="22" min="11785" max="11785"/>
    <col width="10" customWidth="1" style="22" min="11786" max="11788"/>
    <col width="14" customWidth="1" style="22" min="11789" max="11789"/>
    <col width="11.7109375" customWidth="1" style="22" min="11790" max="11790"/>
    <col width="8.7109375" customWidth="1" style="22" min="11791" max="11791"/>
    <col width="4.85546875" customWidth="1" style="22" min="11792" max="11792"/>
    <col width="8.140625" customWidth="1" style="22" min="11793" max="11793"/>
    <col width="10.85546875" customWidth="1" style="22" min="11794" max="11794"/>
    <col width="9.7109375" customWidth="1" style="22" min="11795" max="11795"/>
    <col width="11" customWidth="1" style="22" min="11796" max="11796"/>
    <col width="9.140625" customWidth="1" style="22" min="11797" max="11797"/>
    <col width="15.7109375" customWidth="1" style="22" min="11798" max="11798"/>
    <col width="12" customWidth="1" style="22" min="11799" max="11799"/>
    <col width="8.7109375" customWidth="1" style="22" min="11800" max="11800"/>
    <col width="5.140625" customWidth="1" style="22" min="11801" max="11801"/>
    <col width="8" customWidth="1" style="22" min="11802" max="11802"/>
    <col width="10.85546875" customWidth="1" style="22" min="11803" max="11803"/>
    <col width="7.7109375" customWidth="1" style="22" min="11804" max="11804"/>
    <col width="4.85546875" customWidth="1" style="22" min="11805" max="11805"/>
    <col width="7.7109375" customWidth="1" style="22" min="11806" max="11806"/>
    <col width="15.85546875" customWidth="1" style="22" min="11807" max="11807"/>
    <col width="10.85546875" customWidth="1" style="22" min="11808" max="11808"/>
    <col width="10.42578125" customWidth="1" style="22" min="11809" max="11809"/>
    <col width="10.85546875" customWidth="1" style="22" min="11810" max="11810"/>
    <col width="8.42578125" customWidth="1" style="22" min="11811" max="11811"/>
    <col width="8.85546875" customWidth="1" style="22" min="11812" max="11812"/>
    <col width="0.85546875" customWidth="1" style="22" min="11813" max="12032"/>
    <col width="5.7109375" bestFit="1" customWidth="1" style="22" min="12033" max="12033"/>
    <col width="29.42578125" customWidth="1" style="22" min="12034" max="12034"/>
    <col width="6.28515625" customWidth="1" style="22" min="12035" max="12035"/>
    <col width="7.28515625" customWidth="1" style="22" min="12036" max="12037"/>
    <col width="10" customWidth="1" style="22" min="12038" max="12038"/>
    <col width="8.85546875" customWidth="1" style="22" min="12039" max="12039"/>
    <col width="9" customWidth="1" style="22" min="12040" max="12040"/>
    <col width="10.28515625" customWidth="1" style="22" min="12041" max="12041"/>
    <col width="10" customWidth="1" style="22" min="12042" max="12044"/>
    <col width="14" customWidth="1" style="22" min="12045" max="12045"/>
    <col width="11.7109375" customWidth="1" style="22" min="12046" max="12046"/>
    <col width="8.7109375" customWidth="1" style="22" min="12047" max="12047"/>
    <col width="4.85546875" customWidth="1" style="22" min="12048" max="12048"/>
    <col width="8.140625" customWidth="1" style="22" min="12049" max="12049"/>
    <col width="10.85546875" customWidth="1" style="22" min="12050" max="12050"/>
    <col width="9.7109375" customWidth="1" style="22" min="12051" max="12051"/>
    <col width="11" customWidth="1" style="22" min="12052" max="12052"/>
    <col width="9.140625" customWidth="1" style="22" min="12053" max="12053"/>
    <col width="15.7109375" customWidth="1" style="22" min="12054" max="12054"/>
    <col width="12" customWidth="1" style="22" min="12055" max="12055"/>
    <col width="8.7109375" customWidth="1" style="22" min="12056" max="12056"/>
    <col width="5.140625" customWidth="1" style="22" min="12057" max="12057"/>
    <col width="8" customWidth="1" style="22" min="12058" max="12058"/>
    <col width="10.85546875" customWidth="1" style="22" min="12059" max="12059"/>
    <col width="7.7109375" customWidth="1" style="22" min="12060" max="12060"/>
    <col width="4.85546875" customWidth="1" style="22" min="12061" max="12061"/>
    <col width="7.7109375" customWidth="1" style="22" min="12062" max="12062"/>
    <col width="15.85546875" customWidth="1" style="22" min="12063" max="12063"/>
    <col width="10.85546875" customWidth="1" style="22" min="12064" max="12064"/>
    <col width="10.42578125" customWidth="1" style="22" min="12065" max="12065"/>
    <col width="10.85546875" customWidth="1" style="22" min="12066" max="12066"/>
    <col width="8.42578125" customWidth="1" style="22" min="12067" max="12067"/>
    <col width="8.85546875" customWidth="1" style="22" min="12068" max="12068"/>
    <col width="0.85546875" customWidth="1" style="22" min="12069" max="12288"/>
    <col width="5.7109375" bestFit="1" customWidth="1" style="22" min="12289" max="12289"/>
    <col width="29.42578125" customWidth="1" style="22" min="12290" max="12290"/>
    <col width="6.28515625" customWidth="1" style="22" min="12291" max="12291"/>
    <col width="7.28515625" customWidth="1" style="22" min="12292" max="12293"/>
    <col width="10" customWidth="1" style="22" min="12294" max="12294"/>
    <col width="8.85546875" customWidth="1" style="22" min="12295" max="12295"/>
    <col width="9" customWidth="1" style="22" min="12296" max="12296"/>
    <col width="10.28515625" customWidth="1" style="22" min="12297" max="12297"/>
    <col width="10" customWidth="1" style="22" min="12298" max="12300"/>
    <col width="14" customWidth="1" style="22" min="12301" max="12301"/>
    <col width="11.7109375" customWidth="1" style="22" min="12302" max="12302"/>
    <col width="8.7109375" customWidth="1" style="22" min="12303" max="12303"/>
    <col width="4.85546875" customWidth="1" style="22" min="12304" max="12304"/>
    <col width="8.140625" customWidth="1" style="22" min="12305" max="12305"/>
    <col width="10.85546875" customWidth="1" style="22" min="12306" max="12306"/>
    <col width="9.7109375" customWidth="1" style="22" min="12307" max="12307"/>
    <col width="11" customWidth="1" style="22" min="12308" max="12308"/>
    <col width="9.140625" customWidth="1" style="22" min="12309" max="12309"/>
    <col width="15.7109375" customWidth="1" style="22" min="12310" max="12310"/>
    <col width="12" customWidth="1" style="22" min="12311" max="12311"/>
    <col width="8.7109375" customWidth="1" style="22" min="12312" max="12312"/>
    <col width="5.140625" customWidth="1" style="22" min="12313" max="12313"/>
    <col width="8" customWidth="1" style="22" min="12314" max="12314"/>
    <col width="10.85546875" customWidth="1" style="22" min="12315" max="12315"/>
    <col width="7.7109375" customWidth="1" style="22" min="12316" max="12316"/>
    <col width="4.85546875" customWidth="1" style="22" min="12317" max="12317"/>
    <col width="7.7109375" customWidth="1" style="22" min="12318" max="12318"/>
    <col width="15.85546875" customWidth="1" style="22" min="12319" max="12319"/>
    <col width="10.85546875" customWidth="1" style="22" min="12320" max="12320"/>
    <col width="10.42578125" customWidth="1" style="22" min="12321" max="12321"/>
    <col width="10.85546875" customWidth="1" style="22" min="12322" max="12322"/>
    <col width="8.42578125" customWidth="1" style="22" min="12323" max="12323"/>
    <col width="8.85546875" customWidth="1" style="22" min="12324" max="12324"/>
    <col width="0.85546875" customWidth="1" style="22" min="12325" max="12544"/>
    <col width="5.7109375" bestFit="1" customWidth="1" style="22" min="12545" max="12545"/>
    <col width="29.42578125" customWidth="1" style="22" min="12546" max="12546"/>
    <col width="6.28515625" customWidth="1" style="22" min="12547" max="12547"/>
    <col width="7.28515625" customWidth="1" style="22" min="12548" max="12549"/>
    <col width="10" customWidth="1" style="22" min="12550" max="12550"/>
    <col width="8.85546875" customWidth="1" style="22" min="12551" max="12551"/>
    <col width="9" customWidth="1" style="22" min="12552" max="12552"/>
    <col width="10.28515625" customWidth="1" style="22" min="12553" max="12553"/>
    <col width="10" customWidth="1" style="22" min="12554" max="12556"/>
    <col width="14" customWidth="1" style="22" min="12557" max="12557"/>
    <col width="11.7109375" customWidth="1" style="22" min="12558" max="12558"/>
    <col width="8.7109375" customWidth="1" style="22" min="12559" max="12559"/>
    <col width="4.85546875" customWidth="1" style="22" min="12560" max="12560"/>
    <col width="8.140625" customWidth="1" style="22" min="12561" max="12561"/>
    <col width="10.85546875" customWidth="1" style="22" min="12562" max="12562"/>
    <col width="9.7109375" customWidth="1" style="22" min="12563" max="12563"/>
    <col width="11" customWidth="1" style="22" min="12564" max="12564"/>
    <col width="9.140625" customWidth="1" style="22" min="12565" max="12565"/>
    <col width="15.7109375" customWidth="1" style="22" min="12566" max="12566"/>
    <col width="12" customWidth="1" style="22" min="12567" max="12567"/>
    <col width="8.7109375" customWidth="1" style="22" min="12568" max="12568"/>
    <col width="5.140625" customWidth="1" style="22" min="12569" max="12569"/>
    <col width="8" customWidth="1" style="22" min="12570" max="12570"/>
    <col width="10.85546875" customWidth="1" style="22" min="12571" max="12571"/>
    <col width="7.7109375" customWidth="1" style="22" min="12572" max="12572"/>
    <col width="4.85546875" customWidth="1" style="22" min="12573" max="12573"/>
    <col width="7.7109375" customWidth="1" style="22" min="12574" max="12574"/>
    <col width="15.85546875" customWidth="1" style="22" min="12575" max="12575"/>
    <col width="10.85546875" customWidth="1" style="22" min="12576" max="12576"/>
    <col width="10.42578125" customWidth="1" style="22" min="12577" max="12577"/>
    <col width="10.85546875" customWidth="1" style="22" min="12578" max="12578"/>
    <col width="8.42578125" customWidth="1" style="22" min="12579" max="12579"/>
    <col width="8.85546875" customWidth="1" style="22" min="12580" max="12580"/>
    <col width="0.85546875" customWidth="1" style="22" min="12581" max="12800"/>
    <col width="5.7109375" bestFit="1" customWidth="1" style="22" min="12801" max="12801"/>
    <col width="29.42578125" customWidth="1" style="22" min="12802" max="12802"/>
    <col width="6.28515625" customWidth="1" style="22" min="12803" max="12803"/>
    <col width="7.28515625" customWidth="1" style="22" min="12804" max="12805"/>
    <col width="10" customWidth="1" style="22" min="12806" max="12806"/>
    <col width="8.85546875" customWidth="1" style="22" min="12807" max="12807"/>
    <col width="9" customWidth="1" style="22" min="12808" max="12808"/>
    <col width="10.28515625" customWidth="1" style="22" min="12809" max="12809"/>
    <col width="10" customWidth="1" style="22" min="12810" max="12812"/>
    <col width="14" customWidth="1" style="22" min="12813" max="12813"/>
    <col width="11.7109375" customWidth="1" style="22" min="12814" max="12814"/>
    <col width="8.7109375" customWidth="1" style="22" min="12815" max="12815"/>
    <col width="4.85546875" customWidth="1" style="22" min="12816" max="12816"/>
    <col width="8.140625" customWidth="1" style="22" min="12817" max="12817"/>
    <col width="10.85546875" customWidth="1" style="22" min="12818" max="12818"/>
    <col width="9.7109375" customWidth="1" style="22" min="12819" max="12819"/>
    <col width="11" customWidth="1" style="22" min="12820" max="12820"/>
    <col width="9.140625" customWidth="1" style="22" min="12821" max="12821"/>
    <col width="15.7109375" customWidth="1" style="22" min="12822" max="12822"/>
    <col width="12" customWidth="1" style="22" min="12823" max="12823"/>
    <col width="8.7109375" customWidth="1" style="22" min="12824" max="12824"/>
    <col width="5.140625" customWidth="1" style="22" min="12825" max="12825"/>
    <col width="8" customWidth="1" style="22" min="12826" max="12826"/>
    <col width="10.85546875" customWidth="1" style="22" min="12827" max="12827"/>
    <col width="7.7109375" customWidth="1" style="22" min="12828" max="12828"/>
    <col width="4.85546875" customWidth="1" style="22" min="12829" max="12829"/>
    <col width="7.7109375" customWidth="1" style="22" min="12830" max="12830"/>
    <col width="15.85546875" customWidth="1" style="22" min="12831" max="12831"/>
    <col width="10.85546875" customWidth="1" style="22" min="12832" max="12832"/>
    <col width="10.42578125" customWidth="1" style="22" min="12833" max="12833"/>
    <col width="10.85546875" customWidth="1" style="22" min="12834" max="12834"/>
    <col width="8.42578125" customWidth="1" style="22" min="12835" max="12835"/>
    <col width="8.85546875" customWidth="1" style="22" min="12836" max="12836"/>
    <col width="0.85546875" customWidth="1" style="22" min="12837" max="13056"/>
    <col width="5.7109375" bestFit="1" customWidth="1" style="22" min="13057" max="13057"/>
    <col width="29.42578125" customWidth="1" style="22" min="13058" max="13058"/>
    <col width="6.28515625" customWidth="1" style="22" min="13059" max="13059"/>
    <col width="7.28515625" customWidth="1" style="22" min="13060" max="13061"/>
    <col width="10" customWidth="1" style="22" min="13062" max="13062"/>
    <col width="8.85546875" customWidth="1" style="22" min="13063" max="13063"/>
    <col width="9" customWidth="1" style="22" min="13064" max="13064"/>
    <col width="10.28515625" customWidth="1" style="22" min="13065" max="13065"/>
    <col width="10" customWidth="1" style="22" min="13066" max="13068"/>
    <col width="14" customWidth="1" style="22" min="13069" max="13069"/>
    <col width="11.7109375" customWidth="1" style="22" min="13070" max="13070"/>
    <col width="8.7109375" customWidth="1" style="22" min="13071" max="13071"/>
    <col width="4.85546875" customWidth="1" style="22" min="13072" max="13072"/>
    <col width="8.140625" customWidth="1" style="22" min="13073" max="13073"/>
    <col width="10.85546875" customWidth="1" style="22" min="13074" max="13074"/>
    <col width="9.7109375" customWidth="1" style="22" min="13075" max="13075"/>
    <col width="11" customWidth="1" style="22" min="13076" max="13076"/>
    <col width="9.140625" customWidth="1" style="22" min="13077" max="13077"/>
    <col width="15.7109375" customWidth="1" style="22" min="13078" max="13078"/>
    <col width="12" customWidth="1" style="22" min="13079" max="13079"/>
    <col width="8.7109375" customWidth="1" style="22" min="13080" max="13080"/>
    <col width="5.140625" customWidth="1" style="22" min="13081" max="13081"/>
    <col width="8" customWidth="1" style="22" min="13082" max="13082"/>
    <col width="10.85546875" customWidth="1" style="22" min="13083" max="13083"/>
    <col width="7.7109375" customWidth="1" style="22" min="13084" max="13084"/>
    <col width="4.85546875" customWidth="1" style="22" min="13085" max="13085"/>
    <col width="7.7109375" customWidth="1" style="22" min="13086" max="13086"/>
    <col width="15.85546875" customWidth="1" style="22" min="13087" max="13087"/>
    <col width="10.85546875" customWidth="1" style="22" min="13088" max="13088"/>
    <col width="10.42578125" customWidth="1" style="22" min="13089" max="13089"/>
    <col width="10.85546875" customWidth="1" style="22" min="13090" max="13090"/>
    <col width="8.42578125" customWidth="1" style="22" min="13091" max="13091"/>
    <col width="8.85546875" customWidth="1" style="22" min="13092" max="13092"/>
    <col width="0.85546875" customWidth="1" style="22" min="13093" max="13312"/>
    <col width="5.7109375" bestFit="1" customWidth="1" style="22" min="13313" max="13313"/>
    <col width="29.42578125" customWidth="1" style="22" min="13314" max="13314"/>
    <col width="6.28515625" customWidth="1" style="22" min="13315" max="13315"/>
    <col width="7.28515625" customWidth="1" style="22" min="13316" max="13317"/>
    <col width="10" customWidth="1" style="22" min="13318" max="13318"/>
    <col width="8.85546875" customWidth="1" style="22" min="13319" max="13319"/>
    <col width="9" customWidth="1" style="22" min="13320" max="13320"/>
    <col width="10.28515625" customWidth="1" style="22" min="13321" max="13321"/>
    <col width="10" customWidth="1" style="22" min="13322" max="13324"/>
    <col width="14" customWidth="1" style="22" min="13325" max="13325"/>
    <col width="11.7109375" customWidth="1" style="22" min="13326" max="13326"/>
    <col width="8.7109375" customWidth="1" style="22" min="13327" max="13327"/>
    <col width="4.85546875" customWidth="1" style="22" min="13328" max="13328"/>
    <col width="8.140625" customWidth="1" style="22" min="13329" max="13329"/>
    <col width="10.85546875" customWidth="1" style="22" min="13330" max="13330"/>
    <col width="9.7109375" customWidth="1" style="22" min="13331" max="13331"/>
    <col width="11" customWidth="1" style="22" min="13332" max="13332"/>
    <col width="9.140625" customWidth="1" style="22" min="13333" max="13333"/>
    <col width="15.7109375" customWidth="1" style="22" min="13334" max="13334"/>
    <col width="12" customWidth="1" style="22" min="13335" max="13335"/>
    <col width="8.7109375" customWidth="1" style="22" min="13336" max="13336"/>
    <col width="5.140625" customWidth="1" style="22" min="13337" max="13337"/>
    <col width="8" customWidth="1" style="22" min="13338" max="13338"/>
    <col width="10.85546875" customWidth="1" style="22" min="13339" max="13339"/>
    <col width="7.7109375" customWidth="1" style="22" min="13340" max="13340"/>
    <col width="4.85546875" customWidth="1" style="22" min="13341" max="13341"/>
    <col width="7.7109375" customWidth="1" style="22" min="13342" max="13342"/>
    <col width="15.85546875" customWidth="1" style="22" min="13343" max="13343"/>
    <col width="10.85546875" customWidth="1" style="22" min="13344" max="13344"/>
    <col width="10.42578125" customWidth="1" style="22" min="13345" max="13345"/>
    <col width="10.85546875" customWidth="1" style="22" min="13346" max="13346"/>
    <col width="8.42578125" customWidth="1" style="22" min="13347" max="13347"/>
    <col width="8.85546875" customWidth="1" style="22" min="13348" max="13348"/>
    <col width="0.85546875" customWidth="1" style="22" min="13349" max="13568"/>
    <col width="5.7109375" bestFit="1" customWidth="1" style="22" min="13569" max="13569"/>
    <col width="29.42578125" customWidth="1" style="22" min="13570" max="13570"/>
    <col width="6.28515625" customWidth="1" style="22" min="13571" max="13571"/>
    <col width="7.28515625" customWidth="1" style="22" min="13572" max="13573"/>
    <col width="10" customWidth="1" style="22" min="13574" max="13574"/>
    <col width="8.85546875" customWidth="1" style="22" min="13575" max="13575"/>
    <col width="9" customWidth="1" style="22" min="13576" max="13576"/>
    <col width="10.28515625" customWidth="1" style="22" min="13577" max="13577"/>
    <col width="10" customWidth="1" style="22" min="13578" max="13580"/>
    <col width="14" customWidth="1" style="22" min="13581" max="13581"/>
    <col width="11.7109375" customWidth="1" style="22" min="13582" max="13582"/>
    <col width="8.7109375" customWidth="1" style="22" min="13583" max="13583"/>
    <col width="4.85546875" customWidth="1" style="22" min="13584" max="13584"/>
    <col width="8.140625" customWidth="1" style="22" min="13585" max="13585"/>
    <col width="10.85546875" customWidth="1" style="22" min="13586" max="13586"/>
    <col width="9.7109375" customWidth="1" style="22" min="13587" max="13587"/>
    <col width="11" customWidth="1" style="22" min="13588" max="13588"/>
    <col width="9.140625" customWidth="1" style="22" min="13589" max="13589"/>
    <col width="15.7109375" customWidth="1" style="22" min="13590" max="13590"/>
    <col width="12" customWidth="1" style="22" min="13591" max="13591"/>
    <col width="8.7109375" customWidth="1" style="22" min="13592" max="13592"/>
    <col width="5.140625" customWidth="1" style="22" min="13593" max="13593"/>
    <col width="8" customWidth="1" style="22" min="13594" max="13594"/>
    <col width="10.85546875" customWidth="1" style="22" min="13595" max="13595"/>
    <col width="7.7109375" customWidth="1" style="22" min="13596" max="13596"/>
    <col width="4.85546875" customWidth="1" style="22" min="13597" max="13597"/>
    <col width="7.7109375" customWidth="1" style="22" min="13598" max="13598"/>
    <col width="15.85546875" customWidth="1" style="22" min="13599" max="13599"/>
    <col width="10.85546875" customWidth="1" style="22" min="13600" max="13600"/>
    <col width="10.42578125" customWidth="1" style="22" min="13601" max="13601"/>
    <col width="10.85546875" customWidth="1" style="22" min="13602" max="13602"/>
    <col width="8.42578125" customWidth="1" style="22" min="13603" max="13603"/>
    <col width="8.85546875" customWidth="1" style="22" min="13604" max="13604"/>
    <col width="0.85546875" customWidth="1" style="22" min="13605" max="13824"/>
    <col width="5.7109375" bestFit="1" customWidth="1" style="22" min="13825" max="13825"/>
    <col width="29.42578125" customWidth="1" style="22" min="13826" max="13826"/>
    <col width="6.28515625" customWidth="1" style="22" min="13827" max="13827"/>
    <col width="7.28515625" customWidth="1" style="22" min="13828" max="13829"/>
    <col width="10" customWidth="1" style="22" min="13830" max="13830"/>
    <col width="8.85546875" customWidth="1" style="22" min="13831" max="13831"/>
    <col width="9" customWidth="1" style="22" min="13832" max="13832"/>
    <col width="10.28515625" customWidth="1" style="22" min="13833" max="13833"/>
    <col width="10" customWidth="1" style="22" min="13834" max="13836"/>
    <col width="14" customWidth="1" style="22" min="13837" max="13837"/>
    <col width="11.7109375" customWidth="1" style="22" min="13838" max="13838"/>
    <col width="8.7109375" customWidth="1" style="22" min="13839" max="13839"/>
    <col width="4.85546875" customWidth="1" style="22" min="13840" max="13840"/>
    <col width="8.140625" customWidth="1" style="22" min="13841" max="13841"/>
    <col width="10.85546875" customWidth="1" style="22" min="13842" max="13842"/>
    <col width="9.7109375" customWidth="1" style="22" min="13843" max="13843"/>
    <col width="11" customWidth="1" style="22" min="13844" max="13844"/>
    <col width="9.140625" customWidth="1" style="22" min="13845" max="13845"/>
    <col width="15.7109375" customWidth="1" style="22" min="13846" max="13846"/>
    <col width="12" customWidth="1" style="22" min="13847" max="13847"/>
    <col width="8.7109375" customWidth="1" style="22" min="13848" max="13848"/>
    <col width="5.140625" customWidth="1" style="22" min="13849" max="13849"/>
    <col width="8" customWidth="1" style="22" min="13850" max="13850"/>
    <col width="10.85546875" customWidth="1" style="22" min="13851" max="13851"/>
    <col width="7.7109375" customWidth="1" style="22" min="13852" max="13852"/>
    <col width="4.85546875" customWidth="1" style="22" min="13853" max="13853"/>
    <col width="7.7109375" customWidth="1" style="22" min="13854" max="13854"/>
    <col width="15.85546875" customWidth="1" style="22" min="13855" max="13855"/>
    <col width="10.85546875" customWidth="1" style="22" min="13856" max="13856"/>
    <col width="10.42578125" customWidth="1" style="22" min="13857" max="13857"/>
    <col width="10.85546875" customWidth="1" style="22" min="13858" max="13858"/>
    <col width="8.42578125" customWidth="1" style="22" min="13859" max="13859"/>
    <col width="8.85546875" customWidth="1" style="22" min="13860" max="13860"/>
    <col width="0.85546875" customWidth="1" style="22" min="13861" max="14080"/>
    <col width="5.7109375" bestFit="1" customWidth="1" style="22" min="14081" max="14081"/>
    <col width="29.42578125" customWidth="1" style="22" min="14082" max="14082"/>
    <col width="6.28515625" customWidth="1" style="22" min="14083" max="14083"/>
    <col width="7.28515625" customWidth="1" style="22" min="14084" max="14085"/>
    <col width="10" customWidth="1" style="22" min="14086" max="14086"/>
    <col width="8.85546875" customWidth="1" style="22" min="14087" max="14087"/>
    <col width="9" customWidth="1" style="22" min="14088" max="14088"/>
    <col width="10.28515625" customWidth="1" style="22" min="14089" max="14089"/>
    <col width="10" customWidth="1" style="22" min="14090" max="14092"/>
    <col width="14" customWidth="1" style="22" min="14093" max="14093"/>
    <col width="11.7109375" customWidth="1" style="22" min="14094" max="14094"/>
    <col width="8.7109375" customWidth="1" style="22" min="14095" max="14095"/>
    <col width="4.85546875" customWidth="1" style="22" min="14096" max="14096"/>
    <col width="8.140625" customWidth="1" style="22" min="14097" max="14097"/>
    <col width="10.85546875" customWidth="1" style="22" min="14098" max="14098"/>
    <col width="9.7109375" customWidth="1" style="22" min="14099" max="14099"/>
    <col width="11" customWidth="1" style="22" min="14100" max="14100"/>
    <col width="9.140625" customWidth="1" style="22" min="14101" max="14101"/>
    <col width="15.7109375" customWidth="1" style="22" min="14102" max="14102"/>
    <col width="12" customWidth="1" style="22" min="14103" max="14103"/>
    <col width="8.7109375" customWidth="1" style="22" min="14104" max="14104"/>
    <col width="5.140625" customWidth="1" style="22" min="14105" max="14105"/>
    <col width="8" customWidth="1" style="22" min="14106" max="14106"/>
    <col width="10.85546875" customWidth="1" style="22" min="14107" max="14107"/>
    <col width="7.7109375" customWidth="1" style="22" min="14108" max="14108"/>
    <col width="4.85546875" customWidth="1" style="22" min="14109" max="14109"/>
    <col width="7.7109375" customWidth="1" style="22" min="14110" max="14110"/>
    <col width="15.85546875" customWidth="1" style="22" min="14111" max="14111"/>
    <col width="10.85546875" customWidth="1" style="22" min="14112" max="14112"/>
    <col width="10.42578125" customWidth="1" style="22" min="14113" max="14113"/>
    <col width="10.85546875" customWidth="1" style="22" min="14114" max="14114"/>
    <col width="8.42578125" customWidth="1" style="22" min="14115" max="14115"/>
    <col width="8.85546875" customWidth="1" style="22" min="14116" max="14116"/>
    <col width="0.85546875" customWidth="1" style="22" min="14117" max="14336"/>
    <col width="5.7109375" bestFit="1" customWidth="1" style="22" min="14337" max="14337"/>
    <col width="29.42578125" customWidth="1" style="22" min="14338" max="14338"/>
    <col width="6.28515625" customWidth="1" style="22" min="14339" max="14339"/>
    <col width="7.28515625" customWidth="1" style="22" min="14340" max="14341"/>
    <col width="10" customWidth="1" style="22" min="14342" max="14342"/>
    <col width="8.85546875" customWidth="1" style="22" min="14343" max="14343"/>
    <col width="9" customWidth="1" style="22" min="14344" max="14344"/>
    <col width="10.28515625" customWidth="1" style="22" min="14345" max="14345"/>
    <col width="10" customWidth="1" style="22" min="14346" max="14348"/>
    <col width="14" customWidth="1" style="22" min="14349" max="14349"/>
    <col width="11.7109375" customWidth="1" style="22" min="14350" max="14350"/>
    <col width="8.7109375" customWidth="1" style="22" min="14351" max="14351"/>
    <col width="4.85546875" customWidth="1" style="22" min="14352" max="14352"/>
    <col width="8.140625" customWidth="1" style="22" min="14353" max="14353"/>
    <col width="10.85546875" customWidth="1" style="22" min="14354" max="14354"/>
    <col width="9.7109375" customWidth="1" style="22" min="14355" max="14355"/>
    <col width="11" customWidth="1" style="22" min="14356" max="14356"/>
    <col width="9.140625" customWidth="1" style="22" min="14357" max="14357"/>
    <col width="15.7109375" customWidth="1" style="22" min="14358" max="14358"/>
    <col width="12" customWidth="1" style="22" min="14359" max="14359"/>
    <col width="8.7109375" customWidth="1" style="22" min="14360" max="14360"/>
    <col width="5.140625" customWidth="1" style="22" min="14361" max="14361"/>
    <col width="8" customWidth="1" style="22" min="14362" max="14362"/>
    <col width="10.85546875" customWidth="1" style="22" min="14363" max="14363"/>
    <col width="7.7109375" customWidth="1" style="22" min="14364" max="14364"/>
    <col width="4.85546875" customWidth="1" style="22" min="14365" max="14365"/>
    <col width="7.7109375" customWidth="1" style="22" min="14366" max="14366"/>
    <col width="15.85546875" customWidth="1" style="22" min="14367" max="14367"/>
    <col width="10.85546875" customWidth="1" style="22" min="14368" max="14368"/>
    <col width="10.42578125" customWidth="1" style="22" min="14369" max="14369"/>
    <col width="10.85546875" customWidth="1" style="22" min="14370" max="14370"/>
    <col width="8.42578125" customWidth="1" style="22" min="14371" max="14371"/>
    <col width="8.85546875" customWidth="1" style="22" min="14372" max="14372"/>
    <col width="0.85546875" customWidth="1" style="22" min="14373" max="14592"/>
    <col width="5.7109375" bestFit="1" customWidth="1" style="22" min="14593" max="14593"/>
    <col width="29.42578125" customWidth="1" style="22" min="14594" max="14594"/>
    <col width="6.28515625" customWidth="1" style="22" min="14595" max="14595"/>
    <col width="7.28515625" customWidth="1" style="22" min="14596" max="14597"/>
    <col width="10" customWidth="1" style="22" min="14598" max="14598"/>
    <col width="8.85546875" customWidth="1" style="22" min="14599" max="14599"/>
    <col width="9" customWidth="1" style="22" min="14600" max="14600"/>
    <col width="10.28515625" customWidth="1" style="22" min="14601" max="14601"/>
    <col width="10" customWidth="1" style="22" min="14602" max="14604"/>
    <col width="14" customWidth="1" style="22" min="14605" max="14605"/>
    <col width="11.7109375" customWidth="1" style="22" min="14606" max="14606"/>
    <col width="8.7109375" customWidth="1" style="22" min="14607" max="14607"/>
    <col width="4.85546875" customWidth="1" style="22" min="14608" max="14608"/>
    <col width="8.140625" customWidth="1" style="22" min="14609" max="14609"/>
    <col width="10.85546875" customWidth="1" style="22" min="14610" max="14610"/>
    <col width="9.7109375" customWidth="1" style="22" min="14611" max="14611"/>
    <col width="11" customWidth="1" style="22" min="14612" max="14612"/>
    <col width="9.140625" customWidth="1" style="22" min="14613" max="14613"/>
    <col width="15.7109375" customWidth="1" style="22" min="14614" max="14614"/>
    <col width="12" customWidth="1" style="22" min="14615" max="14615"/>
    <col width="8.7109375" customWidth="1" style="22" min="14616" max="14616"/>
    <col width="5.140625" customWidth="1" style="22" min="14617" max="14617"/>
    <col width="8" customWidth="1" style="22" min="14618" max="14618"/>
    <col width="10.85546875" customWidth="1" style="22" min="14619" max="14619"/>
    <col width="7.7109375" customWidth="1" style="22" min="14620" max="14620"/>
    <col width="4.85546875" customWidth="1" style="22" min="14621" max="14621"/>
    <col width="7.7109375" customWidth="1" style="22" min="14622" max="14622"/>
    <col width="15.85546875" customWidth="1" style="22" min="14623" max="14623"/>
    <col width="10.85546875" customWidth="1" style="22" min="14624" max="14624"/>
    <col width="10.42578125" customWidth="1" style="22" min="14625" max="14625"/>
    <col width="10.85546875" customWidth="1" style="22" min="14626" max="14626"/>
    <col width="8.42578125" customWidth="1" style="22" min="14627" max="14627"/>
    <col width="8.85546875" customWidth="1" style="22" min="14628" max="14628"/>
    <col width="0.85546875" customWidth="1" style="22" min="14629" max="14848"/>
    <col width="5.7109375" bestFit="1" customWidth="1" style="22" min="14849" max="14849"/>
    <col width="29.42578125" customWidth="1" style="22" min="14850" max="14850"/>
    <col width="6.28515625" customWidth="1" style="22" min="14851" max="14851"/>
    <col width="7.28515625" customWidth="1" style="22" min="14852" max="14853"/>
    <col width="10" customWidth="1" style="22" min="14854" max="14854"/>
    <col width="8.85546875" customWidth="1" style="22" min="14855" max="14855"/>
    <col width="9" customWidth="1" style="22" min="14856" max="14856"/>
    <col width="10.28515625" customWidth="1" style="22" min="14857" max="14857"/>
    <col width="10" customWidth="1" style="22" min="14858" max="14860"/>
    <col width="14" customWidth="1" style="22" min="14861" max="14861"/>
    <col width="11.7109375" customWidth="1" style="22" min="14862" max="14862"/>
    <col width="8.7109375" customWidth="1" style="22" min="14863" max="14863"/>
    <col width="4.85546875" customWidth="1" style="22" min="14864" max="14864"/>
    <col width="8.140625" customWidth="1" style="22" min="14865" max="14865"/>
    <col width="10.85546875" customWidth="1" style="22" min="14866" max="14866"/>
    <col width="9.7109375" customWidth="1" style="22" min="14867" max="14867"/>
    <col width="11" customWidth="1" style="22" min="14868" max="14868"/>
    <col width="9.140625" customWidth="1" style="22" min="14869" max="14869"/>
    <col width="15.7109375" customWidth="1" style="22" min="14870" max="14870"/>
    <col width="12" customWidth="1" style="22" min="14871" max="14871"/>
    <col width="8.7109375" customWidth="1" style="22" min="14872" max="14872"/>
    <col width="5.140625" customWidth="1" style="22" min="14873" max="14873"/>
    <col width="8" customWidth="1" style="22" min="14874" max="14874"/>
    <col width="10.85546875" customWidth="1" style="22" min="14875" max="14875"/>
    <col width="7.7109375" customWidth="1" style="22" min="14876" max="14876"/>
    <col width="4.85546875" customWidth="1" style="22" min="14877" max="14877"/>
    <col width="7.7109375" customWidth="1" style="22" min="14878" max="14878"/>
    <col width="15.85546875" customWidth="1" style="22" min="14879" max="14879"/>
    <col width="10.85546875" customWidth="1" style="22" min="14880" max="14880"/>
    <col width="10.42578125" customWidth="1" style="22" min="14881" max="14881"/>
    <col width="10.85546875" customWidth="1" style="22" min="14882" max="14882"/>
    <col width="8.42578125" customWidth="1" style="22" min="14883" max="14883"/>
    <col width="8.85546875" customWidth="1" style="22" min="14884" max="14884"/>
    <col width="0.85546875" customWidth="1" style="22" min="14885" max="15104"/>
    <col width="5.7109375" bestFit="1" customWidth="1" style="22" min="15105" max="15105"/>
    <col width="29.42578125" customWidth="1" style="22" min="15106" max="15106"/>
    <col width="6.28515625" customWidth="1" style="22" min="15107" max="15107"/>
    <col width="7.28515625" customWidth="1" style="22" min="15108" max="15109"/>
    <col width="10" customWidth="1" style="22" min="15110" max="15110"/>
    <col width="8.85546875" customWidth="1" style="22" min="15111" max="15111"/>
    <col width="9" customWidth="1" style="22" min="15112" max="15112"/>
    <col width="10.28515625" customWidth="1" style="22" min="15113" max="15113"/>
    <col width="10" customWidth="1" style="22" min="15114" max="15116"/>
    <col width="14" customWidth="1" style="22" min="15117" max="15117"/>
    <col width="11.7109375" customWidth="1" style="22" min="15118" max="15118"/>
    <col width="8.7109375" customWidth="1" style="22" min="15119" max="15119"/>
    <col width="4.85546875" customWidth="1" style="22" min="15120" max="15120"/>
    <col width="8.140625" customWidth="1" style="22" min="15121" max="15121"/>
    <col width="10.85546875" customWidth="1" style="22" min="15122" max="15122"/>
    <col width="9.7109375" customWidth="1" style="22" min="15123" max="15123"/>
    <col width="11" customWidth="1" style="22" min="15124" max="15124"/>
    <col width="9.140625" customWidth="1" style="22" min="15125" max="15125"/>
    <col width="15.7109375" customWidth="1" style="22" min="15126" max="15126"/>
    <col width="12" customWidth="1" style="22" min="15127" max="15127"/>
    <col width="8.7109375" customWidth="1" style="22" min="15128" max="15128"/>
    <col width="5.140625" customWidth="1" style="22" min="15129" max="15129"/>
    <col width="8" customWidth="1" style="22" min="15130" max="15130"/>
    <col width="10.85546875" customWidth="1" style="22" min="15131" max="15131"/>
    <col width="7.7109375" customWidth="1" style="22" min="15132" max="15132"/>
    <col width="4.85546875" customWidth="1" style="22" min="15133" max="15133"/>
    <col width="7.7109375" customWidth="1" style="22" min="15134" max="15134"/>
    <col width="15.85546875" customWidth="1" style="22" min="15135" max="15135"/>
    <col width="10.85546875" customWidth="1" style="22" min="15136" max="15136"/>
    <col width="10.42578125" customWidth="1" style="22" min="15137" max="15137"/>
    <col width="10.85546875" customWidth="1" style="22" min="15138" max="15138"/>
    <col width="8.42578125" customWidth="1" style="22" min="15139" max="15139"/>
    <col width="8.85546875" customWidth="1" style="22" min="15140" max="15140"/>
    <col width="0.85546875" customWidth="1" style="22" min="15141" max="15360"/>
    <col width="5.7109375" bestFit="1" customWidth="1" style="22" min="15361" max="15361"/>
    <col width="29.42578125" customWidth="1" style="22" min="15362" max="15362"/>
    <col width="6.28515625" customWidth="1" style="22" min="15363" max="15363"/>
    <col width="7.28515625" customWidth="1" style="22" min="15364" max="15365"/>
    <col width="10" customWidth="1" style="22" min="15366" max="15366"/>
    <col width="8.85546875" customWidth="1" style="22" min="15367" max="15367"/>
    <col width="9" customWidth="1" style="22" min="15368" max="15368"/>
    <col width="10.28515625" customWidth="1" style="22" min="15369" max="15369"/>
    <col width="10" customWidth="1" style="22" min="15370" max="15372"/>
    <col width="14" customWidth="1" style="22" min="15373" max="15373"/>
    <col width="11.7109375" customWidth="1" style="22" min="15374" max="15374"/>
    <col width="8.7109375" customWidth="1" style="22" min="15375" max="15375"/>
    <col width="4.85546875" customWidth="1" style="22" min="15376" max="15376"/>
    <col width="8.140625" customWidth="1" style="22" min="15377" max="15377"/>
    <col width="10.85546875" customWidth="1" style="22" min="15378" max="15378"/>
    <col width="9.7109375" customWidth="1" style="22" min="15379" max="15379"/>
    <col width="11" customWidth="1" style="22" min="15380" max="15380"/>
    <col width="9.140625" customWidth="1" style="22" min="15381" max="15381"/>
    <col width="15.7109375" customWidth="1" style="22" min="15382" max="15382"/>
    <col width="12" customWidth="1" style="22" min="15383" max="15383"/>
    <col width="8.7109375" customWidth="1" style="22" min="15384" max="15384"/>
    <col width="5.140625" customWidth="1" style="22" min="15385" max="15385"/>
    <col width="8" customWidth="1" style="22" min="15386" max="15386"/>
    <col width="10.85546875" customWidth="1" style="22" min="15387" max="15387"/>
    <col width="7.7109375" customWidth="1" style="22" min="15388" max="15388"/>
    <col width="4.85546875" customWidth="1" style="22" min="15389" max="15389"/>
    <col width="7.7109375" customWidth="1" style="22" min="15390" max="15390"/>
    <col width="15.85546875" customWidth="1" style="22" min="15391" max="15391"/>
    <col width="10.85546875" customWidth="1" style="22" min="15392" max="15392"/>
    <col width="10.42578125" customWidth="1" style="22" min="15393" max="15393"/>
    <col width="10.85546875" customWidth="1" style="22" min="15394" max="15394"/>
    <col width="8.42578125" customWidth="1" style="22" min="15395" max="15395"/>
    <col width="8.85546875" customWidth="1" style="22" min="15396" max="15396"/>
    <col width="0.85546875" customWidth="1" style="22" min="15397" max="15616"/>
    <col width="5.7109375" bestFit="1" customWidth="1" style="22" min="15617" max="15617"/>
    <col width="29.42578125" customWidth="1" style="22" min="15618" max="15618"/>
    <col width="6.28515625" customWidth="1" style="22" min="15619" max="15619"/>
    <col width="7.28515625" customWidth="1" style="22" min="15620" max="15621"/>
    <col width="10" customWidth="1" style="22" min="15622" max="15622"/>
    <col width="8.85546875" customWidth="1" style="22" min="15623" max="15623"/>
    <col width="9" customWidth="1" style="22" min="15624" max="15624"/>
    <col width="10.28515625" customWidth="1" style="22" min="15625" max="15625"/>
    <col width="10" customWidth="1" style="22" min="15626" max="15628"/>
    <col width="14" customWidth="1" style="22" min="15629" max="15629"/>
    <col width="11.7109375" customWidth="1" style="22" min="15630" max="15630"/>
    <col width="8.7109375" customWidth="1" style="22" min="15631" max="15631"/>
    <col width="4.85546875" customWidth="1" style="22" min="15632" max="15632"/>
    <col width="8.140625" customWidth="1" style="22" min="15633" max="15633"/>
    <col width="10.85546875" customWidth="1" style="22" min="15634" max="15634"/>
    <col width="9.7109375" customWidth="1" style="22" min="15635" max="15635"/>
    <col width="11" customWidth="1" style="22" min="15636" max="15636"/>
    <col width="9.140625" customWidth="1" style="22" min="15637" max="15637"/>
    <col width="15.7109375" customWidth="1" style="22" min="15638" max="15638"/>
    <col width="12" customWidth="1" style="22" min="15639" max="15639"/>
    <col width="8.7109375" customWidth="1" style="22" min="15640" max="15640"/>
    <col width="5.140625" customWidth="1" style="22" min="15641" max="15641"/>
    <col width="8" customWidth="1" style="22" min="15642" max="15642"/>
    <col width="10.85546875" customWidth="1" style="22" min="15643" max="15643"/>
    <col width="7.7109375" customWidth="1" style="22" min="15644" max="15644"/>
    <col width="4.85546875" customWidth="1" style="22" min="15645" max="15645"/>
    <col width="7.7109375" customWidth="1" style="22" min="15646" max="15646"/>
    <col width="15.85546875" customWidth="1" style="22" min="15647" max="15647"/>
    <col width="10.85546875" customWidth="1" style="22" min="15648" max="15648"/>
    <col width="10.42578125" customWidth="1" style="22" min="15649" max="15649"/>
    <col width="10.85546875" customWidth="1" style="22" min="15650" max="15650"/>
    <col width="8.42578125" customWidth="1" style="22" min="15651" max="15651"/>
    <col width="8.85546875" customWidth="1" style="22" min="15652" max="15652"/>
    <col width="0.85546875" customWidth="1" style="22" min="15653" max="15872"/>
    <col width="5.7109375" bestFit="1" customWidth="1" style="22" min="15873" max="15873"/>
    <col width="29.42578125" customWidth="1" style="22" min="15874" max="15874"/>
    <col width="6.28515625" customWidth="1" style="22" min="15875" max="15875"/>
    <col width="7.28515625" customWidth="1" style="22" min="15876" max="15877"/>
    <col width="10" customWidth="1" style="22" min="15878" max="15878"/>
    <col width="8.85546875" customWidth="1" style="22" min="15879" max="15879"/>
    <col width="9" customWidth="1" style="22" min="15880" max="15880"/>
    <col width="10.28515625" customWidth="1" style="22" min="15881" max="15881"/>
    <col width="10" customWidth="1" style="22" min="15882" max="15884"/>
    <col width="14" customWidth="1" style="22" min="15885" max="15885"/>
    <col width="11.7109375" customWidth="1" style="22" min="15886" max="15886"/>
    <col width="8.7109375" customWidth="1" style="22" min="15887" max="15887"/>
    <col width="4.85546875" customWidth="1" style="22" min="15888" max="15888"/>
    <col width="8.140625" customWidth="1" style="22" min="15889" max="15889"/>
    <col width="10.85546875" customWidth="1" style="22" min="15890" max="15890"/>
    <col width="9.7109375" customWidth="1" style="22" min="15891" max="15891"/>
    <col width="11" customWidth="1" style="22" min="15892" max="15892"/>
    <col width="9.140625" customWidth="1" style="22" min="15893" max="15893"/>
    <col width="15.7109375" customWidth="1" style="22" min="15894" max="15894"/>
    <col width="12" customWidth="1" style="22" min="15895" max="15895"/>
    <col width="8.7109375" customWidth="1" style="22" min="15896" max="15896"/>
    <col width="5.140625" customWidth="1" style="22" min="15897" max="15897"/>
    <col width="8" customWidth="1" style="22" min="15898" max="15898"/>
    <col width="10.85546875" customWidth="1" style="22" min="15899" max="15899"/>
    <col width="7.7109375" customWidth="1" style="22" min="15900" max="15900"/>
    <col width="4.85546875" customWidth="1" style="22" min="15901" max="15901"/>
    <col width="7.7109375" customWidth="1" style="22" min="15902" max="15902"/>
    <col width="15.85546875" customWidth="1" style="22" min="15903" max="15903"/>
    <col width="10.85546875" customWidth="1" style="22" min="15904" max="15904"/>
    <col width="10.42578125" customWidth="1" style="22" min="15905" max="15905"/>
    <col width="10.85546875" customWidth="1" style="22" min="15906" max="15906"/>
    <col width="8.42578125" customWidth="1" style="22" min="15907" max="15907"/>
    <col width="8.85546875" customWidth="1" style="22" min="15908" max="15908"/>
    <col width="0.85546875" customWidth="1" style="22" min="15909" max="16128"/>
    <col width="5.7109375" bestFit="1" customWidth="1" style="22" min="16129" max="16129"/>
    <col width="29.42578125" customWidth="1" style="22" min="16130" max="16130"/>
    <col width="6.28515625" customWidth="1" style="22" min="16131" max="16131"/>
    <col width="7.28515625" customWidth="1" style="22" min="16132" max="16133"/>
    <col width="10" customWidth="1" style="22" min="16134" max="16134"/>
    <col width="8.85546875" customWidth="1" style="22" min="16135" max="16135"/>
    <col width="9" customWidth="1" style="22" min="16136" max="16136"/>
    <col width="10.28515625" customWidth="1" style="22" min="16137" max="16137"/>
    <col width="10" customWidth="1" style="22" min="16138" max="16140"/>
    <col width="14" customWidth="1" style="22" min="16141" max="16141"/>
    <col width="11.7109375" customWidth="1" style="22" min="16142" max="16142"/>
    <col width="8.7109375" customWidth="1" style="22" min="16143" max="16143"/>
    <col width="4.85546875" customWidth="1" style="22" min="16144" max="16144"/>
    <col width="8.140625" customWidth="1" style="22" min="16145" max="16145"/>
    <col width="10.85546875" customWidth="1" style="22" min="16146" max="16146"/>
    <col width="9.7109375" customWidth="1" style="22" min="16147" max="16147"/>
    <col width="11" customWidth="1" style="22" min="16148" max="16148"/>
    <col width="9.140625" customWidth="1" style="22" min="16149" max="16149"/>
    <col width="15.7109375" customWidth="1" style="22" min="16150" max="16150"/>
    <col width="12" customWidth="1" style="22" min="16151" max="16151"/>
    <col width="8.7109375" customWidth="1" style="22" min="16152" max="16152"/>
    <col width="5.140625" customWidth="1" style="22" min="16153" max="16153"/>
    <col width="8" customWidth="1" style="22" min="16154" max="16154"/>
    <col width="10.85546875" customWidth="1" style="22" min="16155" max="16155"/>
    <col width="7.7109375" customWidth="1" style="22" min="16156" max="16156"/>
    <col width="4.85546875" customWidth="1" style="22" min="16157" max="16157"/>
    <col width="7.7109375" customWidth="1" style="22" min="16158" max="16158"/>
    <col width="15.85546875" customWidth="1" style="22" min="16159" max="16159"/>
    <col width="10.85546875" customWidth="1" style="22" min="16160" max="16160"/>
    <col width="10.42578125" customWidth="1" style="22" min="16161" max="16161"/>
    <col width="10.85546875" customWidth="1" style="22" min="16162" max="16162"/>
    <col width="8.42578125" customWidth="1" style="22" min="16163" max="16163"/>
    <col width="8.85546875" customWidth="1" style="22" min="16164" max="16164"/>
    <col width="0.85546875" customWidth="1" style="22" min="16165" max="16384"/>
  </cols>
  <sheetData>
    <row r="1" ht="16.5" customHeight="1" s="794">
      <c r="AI1" s="1059" t="inlineStr">
        <is>
          <t>Форма № 6д</t>
        </is>
      </c>
    </row>
    <row r="2" ht="19.5" customHeight="1" s="794">
      <c r="A2" s="854" t="inlineStr">
        <is>
          <t>РАСШИФРОВКА</t>
        </is>
      </c>
    </row>
    <row r="3" ht="15" customHeight="1" s="794">
      <c r="A3" s="854" t="inlineStr">
        <is>
          <t xml:space="preserve">затрат на приобретение комплектующих изделий </t>
        </is>
      </c>
    </row>
    <row r="4" ht="17.25" customHeight="1" s="794">
      <c r="C4" s="809" t="n"/>
      <c r="D4" s="809" t="n"/>
      <c r="E4" s="809" t="n"/>
      <c r="F4" s="809" t="n"/>
      <c r="G4" s="1144" t="inlineStr">
        <is>
          <t>ТЕМА</t>
        </is>
      </c>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1409" t="n"/>
      <c r="AI4" s="49" t="n"/>
      <c r="AJ4" s="49" t="n"/>
    </row>
    <row r="5" ht="15" customHeight="1" s="794">
      <c r="A5" s="1121" t="inlineStr">
        <is>
          <t>(наименование, шифр товара, работы, услуги)</t>
        </is>
      </c>
    </row>
    <row r="6" ht="12" customHeight="1" s="794"/>
    <row r="7" ht="19.5"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Отчетный период / период, предшествующий планируемому</t>
        </is>
      </c>
      <c r="H7" s="1412" t="n"/>
      <c r="I7" s="1412" t="n"/>
      <c r="J7" s="1412" t="n"/>
      <c r="K7" s="1412" t="n"/>
      <c r="L7" s="1412" t="n"/>
      <c r="M7" s="1412" t="n"/>
      <c r="N7" s="1412" t="n"/>
      <c r="O7" s="1412" t="n"/>
      <c r="P7" s="1412" t="n"/>
      <c r="Q7" s="1410" t="n"/>
      <c r="R7" s="1119" t="inlineStr">
        <is>
          <t>Стоимостная оценка затрат в условиях первого года производства</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39"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1119" t="inlineStr">
        <is>
          <t>норма расхода (всего) на единицу продукции</t>
        </is>
      </c>
      <c r="S8" s="1125" t="inlineStr">
        <is>
          <t>применяе-мый индекс цен5</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19" t="inlineStr">
        <is>
          <t>первый год производства</t>
        </is>
      </c>
      <c r="AB8" s="1412" t="n"/>
      <c r="AC8" s="1412" t="n"/>
      <c r="AD8" s="1410" t="n"/>
      <c r="AE8" s="1119" t="inlineStr">
        <is>
          <t>n-ый год производства</t>
        </is>
      </c>
      <c r="AF8" s="1412" t="n"/>
      <c r="AG8" s="1412" t="n"/>
      <c r="AH8" s="1412" t="n"/>
      <c r="AI8" s="1410" t="n"/>
      <c r="AJ8" s="1119" t="inlineStr">
        <is>
          <t>затраты (руб.)</t>
        </is>
      </c>
    </row>
    <row r="9" ht="82.15000000000001"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 xml:space="preserve">обосновывающие документы
</t>
        </is>
      </c>
      <c r="W9" s="1119" t="inlineStr">
        <is>
          <t>метод определения цены</t>
        </is>
      </c>
      <c r="X9" s="495" t="inlineStr">
        <is>
          <t>наименование</t>
        </is>
      </c>
      <c r="Y9" s="1410" t="n"/>
      <c r="Z9" s="495" t="inlineStr">
        <is>
          <t>ИНН</t>
        </is>
      </c>
      <c r="AA9" s="1119" t="inlineStr">
        <is>
          <t>норма  расхода на единицу продукции</t>
        </is>
      </c>
      <c r="AB9" s="1119" t="inlineStr">
        <is>
          <t>цена за единицу измерения
(руб.)</t>
        </is>
      </c>
      <c r="AC9" s="1410" t="n"/>
      <c r="AD9" s="1119" t="inlineStr">
        <is>
          <t>затраты (руб.)</t>
        </is>
      </c>
      <c r="AE9" s="1119" t="inlineStr">
        <is>
          <t>стоимостная оценка затрат n-го года в условиях первого года производства</t>
        </is>
      </c>
      <c r="AF9" s="1119" t="inlineStr">
        <is>
          <t>норма расхода на единицу продукции</t>
        </is>
      </c>
      <c r="AG9" s="1119" t="inlineStr">
        <is>
          <t>применяе-мый индекс цен</t>
        </is>
      </c>
      <c r="AH9" s="1119" t="inlineStr">
        <is>
          <t>цена за единицу измерения
(руб.)</t>
        </is>
      </c>
      <c r="AI9" s="1119" t="inlineStr">
        <is>
          <t>затраты
n-го года (руб.)</t>
        </is>
      </c>
      <c r="AJ9" s="1413" t="n"/>
    </row>
    <row r="10" ht="14.25" customFormat="1" customHeight="1" s="23">
      <c r="A10" s="25" t="n">
        <v>1</v>
      </c>
      <c r="B10" s="25" t="n">
        <v>2</v>
      </c>
      <c r="C10" s="25" t="n">
        <v>3</v>
      </c>
      <c r="D10" s="25" t="n">
        <v>4</v>
      </c>
      <c r="E10" s="25" t="n">
        <v>5</v>
      </c>
      <c r="F10" s="499" t="n">
        <v>6</v>
      </c>
      <c r="G10" s="499" t="n">
        <v>7</v>
      </c>
      <c r="H10" s="499" t="n">
        <v>8</v>
      </c>
      <c r="I10" s="499" t="n">
        <v>9</v>
      </c>
      <c r="J10" s="499" t="n">
        <v>10</v>
      </c>
      <c r="K10" s="499" t="n">
        <v>11</v>
      </c>
      <c r="L10" s="514" t="n">
        <v>12</v>
      </c>
      <c r="M10" s="500" t="inlineStr">
        <is>
          <t>13.1</t>
        </is>
      </c>
      <c r="N10" s="500" t="inlineStr">
        <is>
          <t>13.2</t>
        </is>
      </c>
      <c r="O10" s="1158" t="n">
        <v>14</v>
      </c>
      <c r="P10" s="1410" t="n"/>
      <c r="Q10" s="499" t="n">
        <v>15</v>
      </c>
      <c r="R10" s="499" t="n">
        <v>16</v>
      </c>
      <c r="S10" s="499" t="n">
        <v>17</v>
      </c>
      <c r="T10" s="25" t="n">
        <v>18</v>
      </c>
      <c r="U10" s="25" t="n">
        <v>19</v>
      </c>
      <c r="V10" s="500" t="inlineStr">
        <is>
          <t>20.1</t>
        </is>
      </c>
      <c r="W10" s="500" t="inlineStr">
        <is>
          <t>20.2</t>
        </is>
      </c>
      <c r="X10" s="499" t="n">
        <v>21</v>
      </c>
      <c r="Y10" s="1410" t="n"/>
      <c r="Z10" s="25" t="n">
        <v>22</v>
      </c>
      <c r="AA10" s="25" t="n">
        <v>23</v>
      </c>
      <c r="AB10" s="25" t="n">
        <v>24</v>
      </c>
      <c r="AC10" s="1410" t="n"/>
      <c r="AD10" s="25" t="n">
        <v>25</v>
      </c>
      <c r="AE10" s="25" t="n">
        <v>26</v>
      </c>
      <c r="AF10" s="25" t="n">
        <v>27</v>
      </c>
      <c r="AG10" s="25" t="n">
        <v>28</v>
      </c>
      <c r="AH10" s="25" t="n">
        <v>29</v>
      </c>
      <c r="AI10" s="25" t="n">
        <v>30</v>
      </c>
      <c r="AJ10" s="25" t="n">
        <v>31</v>
      </c>
    </row>
    <row r="11" ht="31.5" customFormat="1" customHeight="1" s="23">
      <c r="A11" s="516" t="n"/>
      <c r="B11" s="516" t="inlineStr">
        <is>
          <t>Приобретение комплектующих изделий:</t>
        </is>
      </c>
      <c r="C11" s="849" t="inlineStr">
        <is>
          <t>-</t>
        </is>
      </c>
      <c r="D11" s="849" t="inlineStr">
        <is>
          <t>-</t>
        </is>
      </c>
      <c r="E11" s="849" t="inlineStr">
        <is>
          <t>-</t>
        </is>
      </c>
      <c r="F11" s="849" t="inlineStr">
        <is>
          <t>-</t>
        </is>
      </c>
      <c r="G11" s="849" t="inlineStr">
        <is>
          <t>-</t>
        </is>
      </c>
      <c r="H11" s="849" t="inlineStr">
        <is>
          <t>-</t>
        </is>
      </c>
      <c r="I11" s="849" t="inlineStr">
        <is>
          <t>-</t>
        </is>
      </c>
      <c r="J11" s="849" t="inlineStr">
        <is>
          <t>-</t>
        </is>
      </c>
      <c r="K11" s="849" t="inlineStr">
        <is>
          <t>-</t>
        </is>
      </c>
      <c r="L11" s="849" t="inlineStr">
        <is>
          <t>-</t>
        </is>
      </c>
      <c r="M11" s="849" t="inlineStr">
        <is>
          <t>-</t>
        </is>
      </c>
      <c r="N11" s="849" t="inlineStr">
        <is>
          <t>-</t>
        </is>
      </c>
      <c r="O11" s="849" t="inlineStr">
        <is>
          <t>-</t>
        </is>
      </c>
      <c r="P11" s="1410" t="n"/>
      <c r="Q11" s="849" t="inlineStr">
        <is>
          <t>-</t>
        </is>
      </c>
      <c r="R11" s="849" t="inlineStr">
        <is>
          <t>-</t>
        </is>
      </c>
      <c r="S11" s="849" t="inlineStr">
        <is>
          <t>-</t>
        </is>
      </c>
      <c r="T11" s="849" t="inlineStr">
        <is>
          <t>-</t>
        </is>
      </c>
      <c r="U11" s="849" t="inlineStr">
        <is>
          <t>-</t>
        </is>
      </c>
      <c r="V11" s="849" t="inlineStr">
        <is>
          <t>-</t>
        </is>
      </c>
      <c r="W11" s="849" t="inlineStr">
        <is>
          <t>-</t>
        </is>
      </c>
      <c r="X11" s="849" t="inlineStr">
        <is>
          <t>-</t>
        </is>
      </c>
      <c r="Y11" s="1410" t="n"/>
      <c r="Z11" s="849" t="inlineStr">
        <is>
          <t>-</t>
        </is>
      </c>
      <c r="AA11" s="849" t="inlineStr">
        <is>
          <t>-</t>
        </is>
      </c>
      <c r="AB11" s="1062" t="inlineStr">
        <is>
          <t>-</t>
        </is>
      </c>
      <c r="AC11" s="1410" t="n"/>
      <c r="AD11" s="849" t="inlineStr">
        <is>
          <t>-</t>
        </is>
      </c>
      <c r="AE11" s="849" t="inlineStr">
        <is>
          <t>-</t>
        </is>
      </c>
      <c r="AF11" s="849" t="inlineStr">
        <is>
          <t>-</t>
        </is>
      </c>
      <c r="AG11" s="849" t="inlineStr">
        <is>
          <t>-</t>
        </is>
      </c>
      <c r="AH11" s="849" t="inlineStr">
        <is>
          <t>-</t>
        </is>
      </c>
      <c r="AI11" s="849" t="inlineStr">
        <is>
          <t>-</t>
        </is>
      </c>
      <c r="AJ11" s="849" t="inlineStr">
        <is>
          <t>-</t>
        </is>
      </c>
    </row>
    <row r="12" ht="15.75" customFormat="1" customHeight="1" s="23">
      <c r="A12" s="518" t="n"/>
      <c r="B12" s="518" t="inlineStr">
        <is>
          <t>ИТОГО</t>
        </is>
      </c>
      <c r="C12" s="1062" t="inlineStr">
        <is>
          <t>-</t>
        </is>
      </c>
      <c r="D12" s="1062" t="inlineStr">
        <is>
          <t>-</t>
        </is>
      </c>
      <c r="E12" s="1062" t="inlineStr">
        <is>
          <t>-</t>
        </is>
      </c>
      <c r="F12" s="1062" t="inlineStr">
        <is>
          <t>-</t>
        </is>
      </c>
      <c r="G12" s="1062" t="inlineStr">
        <is>
          <t>-</t>
        </is>
      </c>
      <c r="H12" s="1062" t="inlineStr">
        <is>
          <t>-</t>
        </is>
      </c>
      <c r="I12" s="1062" t="inlineStr">
        <is>
          <t>-</t>
        </is>
      </c>
      <c r="J12" s="1062" t="inlineStr">
        <is>
          <t>-</t>
        </is>
      </c>
      <c r="K12" s="1062" t="inlineStr">
        <is>
          <t>-</t>
        </is>
      </c>
      <c r="L12" s="1062" t="inlineStr">
        <is>
          <t>-</t>
        </is>
      </c>
      <c r="M12" s="1062" t="inlineStr">
        <is>
          <t>-</t>
        </is>
      </c>
      <c r="N12" s="1062" t="inlineStr">
        <is>
          <t>-</t>
        </is>
      </c>
      <c r="O12" s="849" t="inlineStr">
        <is>
          <t>-</t>
        </is>
      </c>
      <c r="P12" s="1410" t="n"/>
      <c r="Q12" s="1062" t="inlineStr">
        <is>
          <t>-</t>
        </is>
      </c>
      <c r="R12" s="1062" t="inlineStr">
        <is>
          <t>-</t>
        </is>
      </c>
      <c r="S12" s="1062" t="inlineStr">
        <is>
          <t>-</t>
        </is>
      </c>
      <c r="T12" s="1062" t="inlineStr">
        <is>
          <t>-</t>
        </is>
      </c>
      <c r="U12" s="1062" t="inlineStr">
        <is>
          <t>-</t>
        </is>
      </c>
      <c r="V12" s="1062" t="inlineStr">
        <is>
          <t>-</t>
        </is>
      </c>
      <c r="W12" s="1062" t="inlineStr">
        <is>
          <t>-</t>
        </is>
      </c>
      <c r="X12" s="849" t="inlineStr">
        <is>
          <t>-</t>
        </is>
      </c>
      <c r="Y12" s="1410" t="n"/>
      <c r="Z12" s="1062" t="inlineStr">
        <is>
          <t>-</t>
        </is>
      </c>
      <c r="AA12" s="1062" t="inlineStr">
        <is>
          <t>-</t>
        </is>
      </c>
      <c r="AB12" s="1062" t="inlineStr">
        <is>
          <t>-</t>
        </is>
      </c>
      <c r="AC12" s="1410" t="n"/>
      <c r="AD12" s="1062" t="inlineStr">
        <is>
          <t>-</t>
        </is>
      </c>
      <c r="AE12" s="1062" t="inlineStr">
        <is>
          <t>-</t>
        </is>
      </c>
      <c r="AF12" s="1062" t="inlineStr">
        <is>
          <t>-</t>
        </is>
      </c>
      <c r="AG12" s="1062" t="inlineStr">
        <is>
          <t>-</t>
        </is>
      </c>
      <c r="AH12" s="1062" t="inlineStr">
        <is>
          <t>-</t>
        </is>
      </c>
      <c r="AI12" s="1062" t="inlineStr">
        <is>
          <t>-</t>
        </is>
      </c>
      <c r="AJ12" s="1062" t="inlineStr">
        <is>
          <t>-</t>
        </is>
      </c>
    </row>
    <row r="13" ht="12.75" customFormat="1" customHeight="1" s="23">
      <c r="A13" s="1094" t="n"/>
      <c r="B13" s="1094" t="n"/>
      <c r="C13" s="1094" t="n"/>
      <c r="D13" s="1094" t="n"/>
      <c r="E13" s="1094" t="n"/>
      <c r="F13" s="1093" t="n"/>
      <c r="G13" s="1093" t="n"/>
      <c r="H13" s="1093" t="n"/>
      <c r="I13" s="1093" t="n"/>
      <c r="J13" s="1093" t="n"/>
      <c r="K13" s="1093" t="n"/>
      <c r="L13" s="1093" t="n"/>
      <c r="M13" s="1093" t="n"/>
      <c r="N13" s="506" t="n"/>
      <c r="O13" s="507" t="n"/>
      <c r="P13" s="507" t="n"/>
      <c r="Q13" s="507" t="n"/>
      <c r="R13" s="507" t="n"/>
      <c r="S13" s="1093" t="n"/>
      <c r="T13" s="1093" t="n"/>
      <c r="U13" s="1093" t="n"/>
      <c r="V13" s="1093" t="n"/>
      <c r="W13" s="506" t="n"/>
      <c r="X13" s="508" t="n"/>
      <c r="Y13" s="508" t="n"/>
      <c r="Z13" s="508" t="n"/>
      <c r="AA13" s="1093" t="n"/>
      <c r="AB13" s="1093" t="n"/>
      <c r="AC13" s="1093" t="n"/>
      <c r="AD13" s="1093" t="n"/>
      <c r="AE13" s="1093" t="n"/>
      <c r="AF13" s="1093" t="n"/>
      <c r="AG13" s="1093" t="n"/>
      <c r="AH13" s="1093" t="n"/>
      <c r="AI13" s="1093" t="n"/>
      <c r="AJ13" s="1093" t="n"/>
    </row>
    <row r="14" ht="36" customFormat="1" customHeight="1" s="95">
      <c r="A14" s="207" t="n"/>
      <c r="B14" s="991" t="inlineStr">
        <is>
          <t>Начальник ОФЭиАУ НИОКР</t>
        </is>
      </c>
      <c r="H14" s="207" t="n"/>
      <c r="I14" s="207" t="n"/>
      <c r="J14" s="207" t="n"/>
      <c r="K14" s="207" t="n"/>
      <c r="L14" s="207" t="n"/>
      <c r="M14" s="207" t="n"/>
      <c r="N14" s="991" t="inlineStr">
        <is>
          <t>Ответственный исполнитель</t>
        </is>
      </c>
      <c r="Y14" s="207" t="n"/>
      <c r="Z14" s="207" t="n"/>
      <c r="AA14" s="991" t="inlineStr">
        <is>
          <t>Руководитель договора</t>
        </is>
      </c>
      <c r="AG14" s="207" t="n"/>
      <c r="AH14" s="207" t="n"/>
      <c r="AI14" s="207" t="n"/>
      <c r="AJ14" s="207" t="n"/>
    </row>
    <row r="15" ht="46.5" customFormat="1" customHeight="1" s="95">
      <c r="B15" s="95" t="inlineStr">
        <is>
          <t>_____________________ Н.О. Васецкая</t>
        </is>
      </c>
      <c r="C15" s="207" t="n"/>
      <c r="D15" s="207" t="n"/>
      <c r="E15" s="207" t="n"/>
      <c r="F15" s="207" t="n"/>
      <c r="G15" s="207" t="n"/>
      <c r="H15" s="207" t="n"/>
      <c r="I15" s="207" t="n"/>
      <c r="J15" s="207" t="n"/>
      <c r="K15" s="207" t="n"/>
      <c r="L15" s="207" t="n"/>
      <c r="M15" s="207" t="n"/>
      <c r="N15" s="837" t="inlineStr">
        <is>
          <t>_____________________ И.О. Фамилия</t>
        </is>
      </c>
      <c r="X15" s="207" t="n"/>
      <c r="AA15" s="837" t="inlineStr">
        <is>
          <t>_____________________ А.И. Боровков</t>
        </is>
      </c>
    </row>
    <row r="16" ht="15.75" customHeight="1" s="794">
      <c r="B16" s="63" t="inlineStr">
        <is>
          <t xml:space="preserve">  (подпись)                                                        (Ф.И.О.)</t>
        </is>
      </c>
      <c r="C16" s="31" t="n"/>
      <c r="D16" s="31" t="n"/>
      <c r="E16" s="31" t="n"/>
      <c r="F16" s="31" t="n"/>
      <c r="G16" s="31" t="n"/>
      <c r="H16" s="31" t="n"/>
      <c r="I16" s="31" t="n"/>
      <c r="J16" s="31" t="n"/>
      <c r="K16" s="31" t="n"/>
      <c r="L16" s="31" t="n"/>
      <c r="M16" s="31" t="n"/>
      <c r="N16" s="63" t="inlineStr">
        <is>
          <t xml:space="preserve">  (подпись)                                                     (Ф.И.О.)</t>
        </is>
      </c>
      <c r="O16" s="190" t="n"/>
      <c r="P16" s="190" t="n"/>
      <c r="Q16" s="190" t="n"/>
      <c r="AA16" s="63" t="inlineStr">
        <is>
          <t xml:space="preserve">  (подпись)                                                     (Ф.И.О.)</t>
        </is>
      </c>
      <c r="AB16" s="190" t="n"/>
      <c r="AC16" s="190" t="n"/>
      <c r="AD16" s="190" t="n"/>
    </row>
    <row r="17" ht="23.25" customFormat="1" customHeight="1" s="103">
      <c r="B17" s="107" t="inlineStr">
        <is>
          <t>«____» __________________ 2025 г.</t>
        </is>
      </c>
      <c r="N17" s="107" t="inlineStr">
        <is>
          <t>«____» __________________ 2025 г.</t>
        </is>
      </c>
      <c r="AA17" s="107" t="inlineStr">
        <is>
          <t>«____» __________________ 2025 г.</t>
        </is>
      </c>
    </row>
    <row r="26">
      <c r="C26" s="33" t="n"/>
    </row>
  </sheetData>
  <mergeCells count="43">
    <mergeCell ref="R7:Z7"/>
    <mergeCell ref="X12:Y12"/>
    <mergeCell ref="B14:G14"/>
    <mergeCell ref="AJ8:AJ9"/>
    <mergeCell ref="O10:P10"/>
    <mergeCell ref="X11:Y11"/>
    <mergeCell ref="AI1:AJ1"/>
    <mergeCell ref="N14:S14"/>
    <mergeCell ref="S8:S9"/>
    <mergeCell ref="V8:W8"/>
    <mergeCell ref="O9:P9"/>
    <mergeCell ref="G8:H8"/>
    <mergeCell ref="G4:AH4"/>
    <mergeCell ref="C7:C9"/>
    <mergeCell ref="AA8:AD8"/>
    <mergeCell ref="E7:E9"/>
    <mergeCell ref="A3:AJ3"/>
    <mergeCell ref="G7:Q7"/>
    <mergeCell ref="A2:AJ2"/>
    <mergeCell ref="T8:T9"/>
    <mergeCell ref="B7:B9"/>
    <mergeCell ref="O8:Q8"/>
    <mergeCell ref="AB9:AC9"/>
    <mergeCell ref="A5:AJ5"/>
    <mergeCell ref="AE8:AI8"/>
    <mergeCell ref="AB12:AC12"/>
    <mergeCell ref="K8:L8"/>
    <mergeCell ref="F7:F9"/>
    <mergeCell ref="U8:U9"/>
    <mergeCell ref="AB11:AC11"/>
    <mergeCell ref="AA14:AF14"/>
    <mergeCell ref="I8:J8"/>
    <mergeCell ref="M8:N8"/>
    <mergeCell ref="O12:P12"/>
    <mergeCell ref="A7:A9"/>
    <mergeCell ref="O11:P11"/>
    <mergeCell ref="X10:Y10"/>
    <mergeCell ref="AB10:AC10"/>
    <mergeCell ref="R8:R9"/>
    <mergeCell ref="X8:Z8"/>
    <mergeCell ref="D7:D9"/>
    <mergeCell ref="X9:Y9"/>
    <mergeCell ref="AA7:AJ7"/>
  </mergeCells>
  <printOptions horizontalCentered="1"/>
  <pageMargins left="0.25" right="0.25" top="0.75" bottom="0.75" header="0.3" footer="0.3"/>
  <pageSetup orientation="landscape" paperSize="9" scale="45"/>
</worksheet>
</file>

<file path=xl/worksheets/sheet18.xml><?xml version="1.0" encoding="utf-8"?>
<worksheet xmlns="http://schemas.openxmlformats.org/spreadsheetml/2006/main">
  <sheetPr>
    <tabColor theme="4" tint="0.7999816888943144"/>
    <outlinePr summaryBelow="1" summaryRight="1"/>
    <pageSetUpPr fitToPage="1"/>
  </sheetPr>
  <dimension ref="A1:AO43"/>
  <sheetViews>
    <sheetView view="pageBreakPreview" zoomScale="70" zoomScaleNormal="100" zoomScaleSheetLayoutView="70" workbookViewId="0">
      <selection activeCell="A5" sqref="A5:K5"/>
    </sheetView>
  </sheetViews>
  <sheetFormatPr baseColWidth="8" defaultColWidth="0.85546875" defaultRowHeight="12.75"/>
  <cols>
    <col width="5" customWidth="1" style="22" min="1" max="1"/>
    <col width="13.7109375" customWidth="1" style="22" min="2" max="2"/>
    <col width="18.28515625" customWidth="1" style="22" min="3" max="3"/>
    <col width="15" customWidth="1" style="22" min="4" max="4"/>
    <col width="11.28515625" customWidth="1" style="22" min="5" max="5"/>
    <col width="6.85546875" customWidth="1" style="22" min="6" max="6"/>
    <col width="11" customWidth="1" style="22" min="7" max="7"/>
    <col width="10.7109375" customWidth="1" style="22" min="8" max="8"/>
    <col width="17.28515625" customWidth="1" style="22" min="9" max="9"/>
    <col width="15.28515625" customWidth="1" style="22" min="10" max="10"/>
    <col width="12.42578125" customWidth="1" style="22" min="11" max="11"/>
    <col width="0.85546875" customWidth="1" style="22" min="12" max="256"/>
    <col width="5" customWidth="1" style="22" min="257" max="257"/>
    <col width="40" customWidth="1" style="22" min="258" max="258"/>
    <col width="18.28515625" customWidth="1" style="22" min="259" max="259"/>
    <col width="20" customWidth="1" style="22" min="260" max="260"/>
    <col width="14.140625" customWidth="1" style="22" min="261" max="261"/>
    <col width="13" customWidth="1" style="22" min="262" max="262"/>
    <col width="11" customWidth="1" style="22" min="263" max="263"/>
    <col width="10.7109375" customWidth="1" style="22" min="264" max="264"/>
    <col width="17.28515625" customWidth="1" style="22" min="265" max="265"/>
    <col width="15.28515625" customWidth="1" style="22" min="266" max="266"/>
    <col width="12.42578125" customWidth="1" style="22" min="267" max="267"/>
    <col width="0.85546875" customWidth="1" style="22" min="268" max="512"/>
    <col width="5" customWidth="1" style="22" min="513" max="513"/>
    <col width="40" customWidth="1" style="22" min="514" max="514"/>
    <col width="18.28515625" customWidth="1" style="22" min="515" max="515"/>
    <col width="20" customWidth="1" style="22" min="516" max="516"/>
    <col width="14.140625" customWidth="1" style="22" min="517" max="517"/>
    <col width="13" customWidth="1" style="22" min="518" max="518"/>
    <col width="11" customWidth="1" style="22" min="519" max="519"/>
    <col width="10.7109375" customWidth="1" style="22" min="520" max="520"/>
    <col width="17.28515625" customWidth="1" style="22" min="521" max="521"/>
    <col width="15.28515625" customWidth="1" style="22" min="522" max="522"/>
    <col width="12.42578125" customWidth="1" style="22" min="523" max="523"/>
    <col width="0.85546875" customWidth="1" style="22" min="524" max="768"/>
    <col width="5" customWidth="1" style="22" min="769" max="769"/>
    <col width="40" customWidth="1" style="22" min="770" max="770"/>
    <col width="18.28515625" customWidth="1" style="22" min="771" max="771"/>
    <col width="20" customWidth="1" style="22" min="772" max="772"/>
    <col width="14.140625" customWidth="1" style="22" min="773" max="773"/>
    <col width="13" customWidth="1" style="22" min="774" max="774"/>
    <col width="11" customWidth="1" style="22" min="775" max="775"/>
    <col width="10.7109375" customWidth="1" style="22" min="776" max="776"/>
    <col width="17.28515625" customWidth="1" style="22" min="777" max="777"/>
    <col width="15.28515625" customWidth="1" style="22" min="778" max="778"/>
    <col width="12.42578125" customWidth="1" style="22" min="779" max="779"/>
    <col width="0.85546875" customWidth="1" style="22" min="780" max="1024"/>
    <col width="5" customWidth="1" style="22" min="1025" max="1025"/>
    <col width="40" customWidth="1" style="22" min="1026" max="1026"/>
    <col width="18.28515625" customWidth="1" style="22" min="1027" max="1027"/>
    <col width="20" customWidth="1" style="22" min="1028" max="1028"/>
    <col width="14.140625" customWidth="1" style="22" min="1029" max="1029"/>
    <col width="13" customWidth="1" style="22" min="1030" max="1030"/>
    <col width="11" customWidth="1" style="22" min="1031" max="1031"/>
    <col width="10.7109375" customWidth="1" style="22" min="1032" max="1032"/>
    <col width="17.28515625" customWidth="1" style="22" min="1033" max="1033"/>
    <col width="15.28515625" customWidth="1" style="22" min="1034" max="1034"/>
    <col width="12.42578125" customWidth="1" style="22" min="1035" max="1035"/>
    <col width="0.85546875" customWidth="1" style="22" min="1036" max="1280"/>
    <col width="5" customWidth="1" style="22" min="1281" max="1281"/>
    <col width="40" customWidth="1" style="22" min="1282" max="1282"/>
    <col width="18.28515625" customWidth="1" style="22" min="1283" max="1283"/>
    <col width="20" customWidth="1" style="22" min="1284" max="1284"/>
    <col width="14.140625" customWidth="1" style="22" min="1285" max="1285"/>
    <col width="13" customWidth="1" style="22" min="1286" max="1286"/>
    <col width="11" customWidth="1" style="22" min="1287" max="1287"/>
    <col width="10.7109375" customWidth="1" style="22" min="1288" max="1288"/>
    <col width="17.28515625" customWidth="1" style="22" min="1289" max="1289"/>
    <col width="15.28515625" customWidth="1" style="22" min="1290" max="1290"/>
    <col width="12.42578125" customWidth="1" style="22" min="1291" max="1291"/>
    <col width="0.85546875" customWidth="1" style="22" min="1292" max="1536"/>
    <col width="5" customWidth="1" style="22" min="1537" max="1537"/>
    <col width="40" customWidth="1" style="22" min="1538" max="1538"/>
    <col width="18.28515625" customWidth="1" style="22" min="1539" max="1539"/>
    <col width="20" customWidth="1" style="22" min="1540" max="1540"/>
    <col width="14.140625" customWidth="1" style="22" min="1541" max="1541"/>
    <col width="13" customWidth="1" style="22" min="1542" max="1542"/>
    <col width="11" customWidth="1" style="22" min="1543" max="1543"/>
    <col width="10.7109375" customWidth="1" style="22" min="1544" max="1544"/>
    <col width="17.28515625" customWidth="1" style="22" min="1545" max="1545"/>
    <col width="15.28515625" customWidth="1" style="22" min="1546" max="1546"/>
    <col width="12.42578125" customWidth="1" style="22" min="1547" max="1547"/>
    <col width="0.85546875" customWidth="1" style="22" min="1548" max="1792"/>
    <col width="5" customWidth="1" style="22" min="1793" max="1793"/>
    <col width="40" customWidth="1" style="22" min="1794" max="1794"/>
    <col width="18.28515625" customWidth="1" style="22" min="1795" max="1795"/>
    <col width="20" customWidth="1" style="22" min="1796" max="1796"/>
    <col width="14.140625" customWidth="1" style="22" min="1797" max="1797"/>
    <col width="13" customWidth="1" style="22" min="1798" max="1798"/>
    <col width="11" customWidth="1" style="22" min="1799" max="1799"/>
    <col width="10.7109375" customWidth="1" style="22" min="1800" max="1800"/>
    <col width="17.28515625" customWidth="1" style="22" min="1801" max="1801"/>
    <col width="15.28515625" customWidth="1" style="22" min="1802" max="1802"/>
    <col width="12.42578125" customWidth="1" style="22" min="1803" max="1803"/>
    <col width="0.85546875" customWidth="1" style="22" min="1804" max="2048"/>
    <col width="5" customWidth="1" style="22" min="2049" max="2049"/>
    <col width="40" customWidth="1" style="22" min="2050" max="2050"/>
    <col width="18.28515625" customWidth="1" style="22" min="2051" max="2051"/>
    <col width="20" customWidth="1" style="22" min="2052" max="2052"/>
    <col width="14.140625" customWidth="1" style="22" min="2053" max="2053"/>
    <col width="13" customWidth="1" style="22" min="2054" max="2054"/>
    <col width="11" customWidth="1" style="22" min="2055" max="2055"/>
    <col width="10.7109375" customWidth="1" style="22" min="2056" max="2056"/>
    <col width="17.28515625" customWidth="1" style="22" min="2057" max="2057"/>
    <col width="15.28515625" customWidth="1" style="22" min="2058" max="2058"/>
    <col width="12.42578125" customWidth="1" style="22" min="2059" max="2059"/>
    <col width="0.85546875" customWidth="1" style="22" min="2060" max="2304"/>
    <col width="5" customWidth="1" style="22" min="2305" max="2305"/>
    <col width="40" customWidth="1" style="22" min="2306" max="2306"/>
    <col width="18.28515625" customWidth="1" style="22" min="2307" max="2307"/>
    <col width="20" customWidth="1" style="22" min="2308" max="2308"/>
    <col width="14.140625" customWidth="1" style="22" min="2309" max="2309"/>
    <col width="13" customWidth="1" style="22" min="2310" max="2310"/>
    <col width="11" customWidth="1" style="22" min="2311" max="2311"/>
    <col width="10.7109375" customWidth="1" style="22" min="2312" max="2312"/>
    <col width="17.28515625" customWidth="1" style="22" min="2313" max="2313"/>
    <col width="15.28515625" customWidth="1" style="22" min="2314" max="2314"/>
    <col width="12.42578125" customWidth="1" style="22" min="2315" max="2315"/>
    <col width="0.85546875" customWidth="1" style="22" min="2316" max="2560"/>
    <col width="5" customWidth="1" style="22" min="2561" max="2561"/>
    <col width="40" customWidth="1" style="22" min="2562" max="2562"/>
    <col width="18.28515625" customWidth="1" style="22" min="2563" max="2563"/>
    <col width="20" customWidth="1" style="22" min="2564" max="2564"/>
    <col width="14.140625" customWidth="1" style="22" min="2565" max="2565"/>
    <col width="13" customWidth="1" style="22" min="2566" max="2566"/>
    <col width="11" customWidth="1" style="22" min="2567" max="2567"/>
    <col width="10.7109375" customWidth="1" style="22" min="2568" max="2568"/>
    <col width="17.28515625" customWidth="1" style="22" min="2569" max="2569"/>
    <col width="15.28515625" customWidth="1" style="22" min="2570" max="2570"/>
    <col width="12.42578125" customWidth="1" style="22" min="2571" max="2571"/>
    <col width="0.85546875" customWidth="1" style="22" min="2572" max="2816"/>
    <col width="5" customWidth="1" style="22" min="2817" max="2817"/>
    <col width="40" customWidth="1" style="22" min="2818" max="2818"/>
    <col width="18.28515625" customWidth="1" style="22" min="2819" max="2819"/>
    <col width="20" customWidth="1" style="22" min="2820" max="2820"/>
    <col width="14.140625" customWidth="1" style="22" min="2821" max="2821"/>
    <col width="13" customWidth="1" style="22" min="2822" max="2822"/>
    <col width="11" customWidth="1" style="22" min="2823" max="2823"/>
    <col width="10.7109375" customWidth="1" style="22" min="2824" max="2824"/>
    <col width="17.28515625" customWidth="1" style="22" min="2825" max="2825"/>
    <col width="15.28515625" customWidth="1" style="22" min="2826" max="2826"/>
    <col width="12.42578125" customWidth="1" style="22" min="2827" max="2827"/>
    <col width="0.85546875" customWidth="1" style="22" min="2828" max="3072"/>
    <col width="5" customWidth="1" style="22" min="3073" max="3073"/>
    <col width="40" customWidth="1" style="22" min="3074" max="3074"/>
    <col width="18.28515625" customWidth="1" style="22" min="3075" max="3075"/>
    <col width="20" customWidth="1" style="22" min="3076" max="3076"/>
    <col width="14.140625" customWidth="1" style="22" min="3077" max="3077"/>
    <col width="13" customWidth="1" style="22" min="3078" max="3078"/>
    <col width="11" customWidth="1" style="22" min="3079" max="3079"/>
    <col width="10.7109375" customWidth="1" style="22" min="3080" max="3080"/>
    <col width="17.28515625" customWidth="1" style="22" min="3081" max="3081"/>
    <col width="15.28515625" customWidth="1" style="22" min="3082" max="3082"/>
    <col width="12.42578125" customWidth="1" style="22" min="3083" max="3083"/>
    <col width="0.85546875" customWidth="1" style="22" min="3084" max="3328"/>
    <col width="5" customWidth="1" style="22" min="3329" max="3329"/>
    <col width="40" customWidth="1" style="22" min="3330" max="3330"/>
    <col width="18.28515625" customWidth="1" style="22" min="3331" max="3331"/>
    <col width="20" customWidth="1" style="22" min="3332" max="3332"/>
    <col width="14.140625" customWidth="1" style="22" min="3333" max="3333"/>
    <col width="13" customWidth="1" style="22" min="3334" max="3334"/>
    <col width="11" customWidth="1" style="22" min="3335" max="3335"/>
    <col width="10.7109375" customWidth="1" style="22" min="3336" max="3336"/>
    <col width="17.28515625" customWidth="1" style="22" min="3337" max="3337"/>
    <col width="15.28515625" customWidth="1" style="22" min="3338" max="3338"/>
    <col width="12.42578125" customWidth="1" style="22" min="3339" max="3339"/>
    <col width="0.85546875" customWidth="1" style="22" min="3340" max="3584"/>
    <col width="5" customWidth="1" style="22" min="3585" max="3585"/>
    <col width="40" customWidth="1" style="22" min="3586" max="3586"/>
    <col width="18.28515625" customWidth="1" style="22" min="3587" max="3587"/>
    <col width="20" customWidth="1" style="22" min="3588" max="3588"/>
    <col width="14.140625" customWidth="1" style="22" min="3589" max="3589"/>
    <col width="13" customWidth="1" style="22" min="3590" max="3590"/>
    <col width="11" customWidth="1" style="22" min="3591" max="3591"/>
    <col width="10.7109375" customWidth="1" style="22" min="3592" max="3592"/>
    <col width="17.28515625" customWidth="1" style="22" min="3593" max="3593"/>
    <col width="15.28515625" customWidth="1" style="22" min="3594" max="3594"/>
    <col width="12.42578125" customWidth="1" style="22" min="3595" max="3595"/>
    <col width="0.85546875" customWidth="1" style="22" min="3596" max="3840"/>
    <col width="5" customWidth="1" style="22" min="3841" max="3841"/>
    <col width="40" customWidth="1" style="22" min="3842" max="3842"/>
    <col width="18.28515625" customWidth="1" style="22" min="3843" max="3843"/>
    <col width="20" customWidth="1" style="22" min="3844" max="3844"/>
    <col width="14.140625" customWidth="1" style="22" min="3845" max="3845"/>
    <col width="13" customWidth="1" style="22" min="3846" max="3846"/>
    <col width="11" customWidth="1" style="22" min="3847" max="3847"/>
    <col width="10.7109375" customWidth="1" style="22" min="3848" max="3848"/>
    <col width="17.28515625" customWidth="1" style="22" min="3849" max="3849"/>
    <col width="15.28515625" customWidth="1" style="22" min="3850" max="3850"/>
    <col width="12.42578125" customWidth="1" style="22" min="3851" max="3851"/>
    <col width="0.85546875" customWidth="1" style="22" min="3852" max="4096"/>
    <col width="5" customWidth="1" style="22" min="4097" max="4097"/>
    <col width="40" customWidth="1" style="22" min="4098" max="4098"/>
    <col width="18.28515625" customWidth="1" style="22" min="4099" max="4099"/>
    <col width="20" customWidth="1" style="22" min="4100" max="4100"/>
    <col width="14.140625" customWidth="1" style="22" min="4101" max="4101"/>
    <col width="13" customWidth="1" style="22" min="4102" max="4102"/>
    <col width="11" customWidth="1" style="22" min="4103" max="4103"/>
    <col width="10.7109375" customWidth="1" style="22" min="4104" max="4104"/>
    <col width="17.28515625" customWidth="1" style="22" min="4105" max="4105"/>
    <col width="15.28515625" customWidth="1" style="22" min="4106" max="4106"/>
    <col width="12.42578125" customWidth="1" style="22" min="4107" max="4107"/>
    <col width="0.85546875" customWidth="1" style="22" min="4108" max="4352"/>
    <col width="5" customWidth="1" style="22" min="4353" max="4353"/>
    <col width="40" customWidth="1" style="22" min="4354" max="4354"/>
    <col width="18.28515625" customWidth="1" style="22" min="4355" max="4355"/>
    <col width="20" customWidth="1" style="22" min="4356" max="4356"/>
    <col width="14.140625" customWidth="1" style="22" min="4357" max="4357"/>
    <col width="13" customWidth="1" style="22" min="4358" max="4358"/>
    <col width="11" customWidth="1" style="22" min="4359" max="4359"/>
    <col width="10.7109375" customWidth="1" style="22" min="4360" max="4360"/>
    <col width="17.28515625" customWidth="1" style="22" min="4361" max="4361"/>
    <col width="15.28515625" customWidth="1" style="22" min="4362" max="4362"/>
    <col width="12.42578125" customWidth="1" style="22" min="4363" max="4363"/>
    <col width="0.85546875" customWidth="1" style="22" min="4364" max="4608"/>
    <col width="5" customWidth="1" style="22" min="4609" max="4609"/>
    <col width="40" customWidth="1" style="22" min="4610" max="4610"/>
    <col width="18.28515625" customWidth="1" style="22" min="4611" max="4611"/>
    <col width="20" customWidth="1" style="22" min="4612" max="4612"/>
    <col width="14.140625" customWidth="1" style="22" min="4613" max="4613"/>
    <col width="13" customWidth="1" style="22" min="4614" max="4614"/>
    <col width="11" customWidth="1" style="22" min="4615" max="4615"/>
    <col width="10.7109375" customWidth="1" style="22" min="4616" max="4616"/>
    <col width="17.28515625" customWidth="1" style="22" min="4617" max="4617"/>
    <col width="15.28515625" customWidth="1" style="22" min="4618" max="4618"/>
    <col width="12.42578125" customWidth="1" style="22" min="4619" max="4619"/>
    <col width="0.85546875" customWidth="1" style="22" min="4620" max="4864"/>
    <col width="5" customWidth="1" style="22" min="4865" max="4865"/>
    <col width="40" customWidth="1" style="22" min="4866" max="4866"/>
    <col width="18.28515625" customWidth="1" style="22" min="4867" max="4867"/>
    <col width="20" customWidth="1" style="22" min="4868" max="4868"/>
    <col width="14.140625" customWidth="1" style="22" min="4869" max="4869"/>
    <col width="13" customWidth="1" style="22" min="4870" max="4870"/>
    <col width="11" customWidth="1" style="22" min="4871" max="4871"/>
    <col width="10.7109375" customWidth="1" style="22" min="4872" max="4872"/>
    <col width="17.28515625" customWidth="1" style="22" min="4873" max="4873"/>
    <col width="15.28515625" customWidth="1" style="22" min="4874" max="4874"/>
    <col width="12.42578125" customWidth="1" style="22" min="4875" max="4875"/>
    <col width="0.85546875" customWidth="1" style="22" min="4876" max="5120"/>
    <col width="5" customWidth="1" style="22" min="5121" max="5121"/>
    <col width="40" customWidth="1" style="22" min="5122" max="5122"/>
    <col width="18.28515625" customWidth="1" style="22" min="5123" max="5123"/>
    <col width="20" customWidth="1" style="22" min="5124" max="5124"/>
    <col width="14.140625" customWidth="1" style="22" min="5125" max="5125"/>
    <col width="13" customWidth="1" style="22" min="5126" max="5126"/>
    <col width="11" customWidth="1" style="22" min="5127" max="5127"/>
    <col width="10.7109375" customWidth="1" style="22" min="5128" max="5128"/>
    <col width="17.28515625" customWidth="1" style="22" min="5129" max="5129"/>
    <col width="15.28515625" customWidth="1" style="22" min="5130" max="5130"/>
    <col width="12.42578125" customWidth="1" style="22" min="5131" max="5131"/>
    <col width="0.85546875" customWidth="1" style="22" min="5132" max="5376"/>
    <col width="5" customWidth="1" style="22" min="5377" max="5377"/>
    <col width="40" customWidth="1" style="22" min="5378" max="5378"/>
    <col width="18.28515625" customWidth="1" style="22" min="5379" max="5379"/>
    <col width="20" customWidth="1" style="22" min="5380" max="5380"/>
    <col width="14.140625" customWidth="1" style="22" min="5381" max="5381"/>
    <col width="13" customWidth="1" style="22" min="5382" max="5382"/>
    <col width="11" customWidth="1" style="22" min="5383" max="5383"/>
    <col width="10.7109375" customWidth="1" style="22" min="5384" max="5384"/>
    <col width="17.28515625" customWidth="1" style="22" min="5385" max="5385"/>
    <col width="15.28515625" customWidth="1" style="22" min="5386" max="5386"/>
    <col width="12.42578125" customWidth="1" style="22" min="5387" max="5387"/>
    <col width="0.85546875" customWidth="1" style="22" min="5388" max="5632"/>
    <col width="5" customWidth="1" style="22" min="5633" max="5633"/>
    <col width="40" customWidth="1" style="22" min="5634" max="5634"/>
    <col width="18.28515625" customWidth="1" style="22" min="5635" max="5635"/>
    <col width="20" customWidth="1" style="22" min="5636" max="5636"/>
    <col width="14.140625" customWidth="1" style="22" min="5637" max="5637"/>
    <col width="13" customWidth="1" style="22" min="5638" max="5638"/>
    <col width="11" customWidth="1" style="22" min="5639" max="5639"/>
    <col width="10.7109375" customWidth="1" style="22" min="5640" max="5640"/>
    <col width="17.28515625" customWidth="1" style="22" min="5641" max="5641"/>
    <col width="15.28515625" customWidth="1" style="22" min="5642" max="5642"/>
    <col width="12.42578125" customWidth="1" style="22" min="5643" max="5643"/>
    <col width="0.85546875" customWidth="1" style="22" min="5644" max="5888"/>
    <col width="5" customWidth="1" style="22" min="5889" max="5889"/>
    <col width="40" customWidth="1" style="22" min="5890" max="5890"/>
    <col width="18.28515625" customWidth="1" style="22" min="5891" max="5891"/>
    <col width="20" customWidth="1" style="22" min="5892" max="5892"/>
    <col width="14.140625" customWidth="1" style="22" min="5893" max="5893"/>
    <col width="13" customWidth="1" style="22" min="5894" max="5894"/>
    <col width="11" customWidth="1" style="22" min="5895" max="5895"/>
    <col width="10.7109375" customWidth="1" style="22" min="5896" max="5896"/>
    <col width="17.28515625" customWidth="1" style="22" min="5897" max="5897"/>
    <col width="15.28515625" customWidth="1" style="22" min="5898" max="5898"/>
    <col width="12.42578125" customWidth="1" style="22" min="5899" max="5899"/>
    <col width="0.85546875" customWidth="1" style="22" min="5900" max="6144"/>
    <col width="5" customWidth="1" style="22" min="6145" max="6145"/>
    <col width="40" customWidth="1" style="22" min="6146" max="6146"/>
    <col width="18.28515625" customWidth="1" style="22" min="6147" max="6147"/>
    <col width="20" customWidth="1" style="22" min="6148" max="6148"/>
    <col width="14.140625" customWidth="1" style="22" min="6149" max="6149"/>
    <col width="13" customWidth="1" style="22" min="6150" max="6150"/>
    <col width="11" customWidth="1" style="22" min="6151" max="6151"/>
    <col width="10.7109375" customWidth="1" style="22" min="6152" max="6152"/>
    <col width="17.28515625" customWidth="1" style="22" min="6153" max="6153"/>
    <col width="15.28515625" customWidth="1" style="22" min="6154" max="6154"/>
    <col width="12.42578125" customWidth="1" style="22" min="6155" max="6155"/>
    <col width="0.85546875" customWidth="1" style="22" min="6156" max="6400"/>
    <col width="5" customWidth="1" style="22" min="6401" max="6401"/>
    <col width="40" customWidth="1" style="22" min="6402" max="6402"/>
    <col width="18.28515625" customWidth="1" style="22" min="6403" max="6403"/>
    <col width="20" customWidth="1" style="22" min="6404" max="6404"/>
    <col width="14.140625" customWidth="1" style="22" min="6405" max="6405"/>
    <col width="13" customWidth="1" style="22" min="6406" max="6406"/>
    <col width="11" customWidth="1" style="22" min="6407" max="6407"/>
    <col width="10.7109375" customWidth="1" style="22" min="6408" max="6408"/>
    <col width="17.28515625" customWidth="1" style="22" min="6409" max="6409"/>
    <col width="15.28515625" customWidth="1" style="22" min="6410" max="6410"/>
    <col width="12.42578125" customWidth="1" style="22" min="6411" max="6411"/>
    <col width="0.85546875" customWidth="1" style="22" min="6412" max="6656"/>
    <col width="5" customWidth="1" style="22" min="6657" max="6657"/>
    <col width="40" customWidth="1" style="22" min="6658" max="6658"/>
    <col width="18.28515625" customWidth="1" style="22" min="6659" max="6659"/>
    <col width="20" customWidth="1" style="22" min="6660" max="6660"/>
    <col width="14.140625" customWidth="1" style="22" min="6661" max="6661"/>
    <col width="13" customWidth="1" style="22" min="6662" max="6662"/>
    <col width="11" customWidth="1" style="22" min="6663" max="6663"/>
    <col width="10.7109375" customWidth="1" style="22" min="6664" max="6664"/>
    <col width="17.28515625" customWidth="1" style="22" min="6665" max="6665"/>
    <col width="15.28515625" customWidth="1" style="22" min="6666" max="6666"/>
    <col width="12.42578125" customWidth="1" style="22" min="6667" max="6667"/>
    <col width="0.85546875" customWidth="1" style="22" min="6668" max="6912"/>
    <col width="5" customWidth="1" style="22" min="6913" max="6913"/>
    <col width="40" customWidth="1" style="22" min="6914" max="6914"/>
    <col width="18.28515625" customWidth="1" style="22" min="6915" max="6915"/>
    <col width="20" customWidth="1" style="22" min="6916" max="6916"/>
    <col width="14.140625" customWidth="1" style="22" min="6917" max="6917"/>
    <col width="13" customWidth="1" style="22" min="6918" max="6918"/>
    <col width="11" customWidth="1" style="22" min="6919" max="6919"/>
    <col width="10.7109375" customWidth="1" style="22" min="6920" max="6920"/>
    <col width="17.28515625" customWidth="1" style="22" min="6921" max="6921"/>
    <col width="15.28515625" customWidth="1" style="22" min="6922" max="6922"/>
    <col width="12.42578125" customWidth="1" style="22" min="6923" max="6923"/>
    <col width="0.85546875" customWidth="1" style="22" min="6924" max="7168"/>
    <col width="5" customWidth="1" style="22" min="7169" max="7169"/>
    <col width="40" customWidth="1" style="22" min="7170" max="7170"/>
    <col width="18.28515625" customWidth="1" style="22" min="7171" max="7171"/>
    <col width="20" customWidth="1" style="22" min="7172" max="7172"/>
    <col width="14.140625" customWidth="1" style="22" min="7173" max="7173"/>
    <col width="13" customWidth="1" style="22" min="7174" max="7174"/>
    <col width="11" customWidth="1" style="22" min="7175" max="7175"/>
    <col width="10.7109375" customWidth="1" style="22" min="7176" max="7176"/>
    <col width="17.28515625" customWidth="1" style="22" min="7177" max="7177"/>
    <col width="15.28515625" customWidth="1" style="22" min="7178" max="7178"/>
    <col width="12.42578125" customWidth="1" style="22" min="7179" max="7179"/>
    <col width="0.85546875" customWidth="1" style="22" min="7180" max="7424"/>
    <col width="5" customWidth="1" style="22" min="7425" max="7425"/>
    <col width="40" customWidth="1" style="22" min="7426" max="7426"/>
    <col width="18.28515625" customWidth="1" style="22" min="7427" max="7427"/>
    <col width="20" customWidth="1" style="22" min="7428" max="7428"/>
    <col width="14.140625" customWidth="1" style="22" min="7429" max="7429"/>
    <col width="13" customWidth="1" style="22" min="7430" max="7430"/>
    <col width="11" customWidth="1" style="22" min="7431" max="7431"/>
    <col width="10.7109375" customWidth="1" style="22" min="7432" max="7432"/>
    <col width="17.28515625" customWidth="1" style="22" min="7433" max="7433"/>
    <col width="15.28515625" customWidth="1" style="22" min="7434" max="7434"/>
    <col width="12.42578125" customWidth="1" style="22" min="7435" max="7435"/>
    <col width="0.85546875" customWidth="1" style="22" min="7436" max="7680"/>
    <col width="5" customWidth="1" style="22" min="7681" max="7681"/>
    <col width="40" customWidth="1" style="22" min="7682" max="7682"/>
    <col width="18.28515625" customWidth="1" style="22" min="7683" max="7683"/>
    <col width="20" customWidth="1" style="22" min="7684" max="7684"/>
    <col width="14.140625" customWidth="1" style="22" min="7685" max="7685"/>
    <col width="13" customWidth="1" style="22" min="7686" max="7686"/>
    <col width="11" customWidth="1" style="22" min="7687" max="7687"/>
    <col width="10.7109375" customWidth="1" style="22" min="7688" max="7688"/>
    <col width="17.28515625" customWidth="1" style="22" min="7689" max="7689"/>
    <col width="15.28515625" customWidth="1" style="22" min="7690" max="7690"/>
    <col width="12.42578125" customWidth="1" style="22" min="7691" max="7691"/>
    <col width="0.85546875" customWidth="1" style="22" min="7692" max="7936"/>
    <col width="5" customWidth="1" style="22" min="7937" max="7937"/>
    <col width="40" customWidth="1" style="22" min="7938" max="7938"/>
    <col width="18.28515625" customWidth="1" style="22" min="7939" max="7939"/>
    <col width="20" customWidth="1" style="22" min="7940" max="7940"/>
    <col width="14.140625" customWidth="1" style="22" min="7941" max="7941"/>
    <col width="13" customWidth="1" style="22" min="7942" max="7942"/>
    <col width="11" customWidth="1" style="22" min="7943" max="7943"/>
    <col width="10.7109375" customWidth="1" style="22" min="7944" max="7944"/>
    <col width="17.28515625" customWidth="1" style="22" min="7945" max="7945"/>
    <col width="15.28515625" customWidth="1" style="22" min="7946" max="7946"/>
    <col width="12.42578125" customWidth="1" style="22" min="7947" max="7947"/>
    <col width="0.85546875" customWidth="1" style="22" min="7948" max="8192"/>
    <col width="5" customWidth="1" style="22" min="8193" max="8193"/>
    <col width="40" customWidth="1" style="22" min="8194" max="8194"/>
    <col width="18.28515625" customWidth="1" style="22" min="8195" max="8195"/>
    <col width="20" customWidth="1" style="22" min="8196" max="8196"/>
    <col width="14.140625" customWidth="1" style="22" min="8197" max="8197"/>
    <col width="13" customWidth="1" style="22" min="8198" max="8198"/>
    <col width="11" customWidth="1" style="22" min="8199" max="8199"/>
    <col width="10.7109375" customWidth="1" style="22" min="8200" max="8200"/>
    <col width="17.28515625" customWidth="1" style="22" min="8201" max="8201"/>
    <col width="15.28515625" customWidth="1" style="22" min="8202" max="8202"/>
    <col width="12.42578125" customWidth="1" style="22" min="8203" max="8203"/>
    <col width="0.85546875" customWidth="1" style="22" min="8204" max="8448"/>
    <col width="5" customWidth="1" style="22" min="8449" max="8449"/>
    <col width="40" customWidth="1" style="22" min="8450" max="8450"/>
    <col width="18.28515625" customWidth="1" style="22" min="8451" max="8451"/>
    <col width="20" customWidth="1" style="22" min="8452" max="8452"/>
    <col width="14.140625" customWidth="1" style="22" min="8453" max="8453"/>
    <col width="13" customWidth="1" style="22" min="8454" max="8454"/>
    <col width="11" customWidth="1" style="22" min="8455" max="8455"/>
    <col width="10.7109375" customWidth="1" style="22" min="8456" max="8456"/>
    <col width="17.28515625" customWidth="1" style="22" min="8457" max="8457"/>
    <col width="15.28515625" customWidth="1" style="22" min="8458" max="8458"/>
    <col width="12.42578125" customWidth="1" style="22" min="8459" max="8459"/>
    <col width="0.85546875" customWidth="1" style="22" min="8460" max="8704"/>
    <col width="5" customWidth="1" style="22" min="8705" max="8705"/>
    <col width="40" customWidth="1" style="22" min="8706" max="8706"/>
    <col width="18.28515625" customWidth="1" style="22" min="8707" max="8707"/>
    <col width="20" customWidth="1" style="22" min="8708" max="8708"/>
    <col width="14.140625" customWidth="1" style="22" min="8709" max="8709"/>
    <col width="13" customWidth="1" style="22" min="8710" max="8710"/>
    <col width="11" customWidth="1" style="22" min="8711" max="8711"/>
    <col width="10.7109375" customWidth="1" style="22" min="8712" max="8712"/>
    <col width="17.28515625" customWidth="1" style="22" min="8713" max="8713"/>
    <col width="15.28515625" customWidth="1" style="22" min="8714" max="8714"/>
    <col width="12.42578125" customWidth="1" style="22" min="8715" max="8715"/>
    <col width="0.85546875" customWidth="1" style="22" min="8716" max="8960"/>
    <col width="5" customWidth="1" style="22" min="8961" max="8961"/>
    <col width="40" customWidth="1" style="22" min="8962" max="8962"/>
    <col width="18.28515625" customWidth="1" style="22" min="8963" max="8963"/>
    <col width="20" customWidth="1" style="22" min="8964" max="8964"/>
    <col width="14.140625" customWidth="1" style="22" min="8965" max="8965"/>
    <col width="13" customWidth="1" style="22" min="8966" max="8966"/>
    <col width="11" customWidth="1" style="22" min="8967" max="8967"/>
    <col width="10.7109375" customWidth="1" style="22" min="8968" max="8968"/>
    <col width="17.28515625" customWidth="1" style="22" min="8969" max="8969"/>
    <col width="15.28515625" customWidth="1" style="22" min="8970" max="8970"/>
    <col width="12.42578125" customWidth="1" style="22" min="8971" max="8971"/>
    <col width="0.85546875" customWidth="1" style="22" min="8972" max="9216"/>
    <col width="5" customWidth="1" style="22" min="9217" max="9217"/>
    <col width="40" customWidth="1" style="22" min="9218" max="9218"/>
    <col width="18.28515625" customWidth="1" style="22" min="9219" max="9219"/>
    <col width="20" customWidth="1" style="22" min="9220" max="9220"/>
    <col width="14.140625" customWidth="1" style="22" min="9221" max="9221"/>
    <col width="13" customWidth="1" style="22" min="9222" max="9222"/>
    <col width="11" customWidth="1" style="22" min="9223" max="9223"/>
    <col width="10.7109375" customWidth="1" style="22" min="9224" max="9224"/>
    <col width="17.28515625" customWidth="1" style="22" min="9225" max="9225"/>
    <col width="15.28515625" customWidth="1" style="22" min="9226" max="9226"/>
    <col width="12.42578125" customWidth="1" style="22" min="9227" max="9227"/>
    <col width="0.85546875" customWidth="1" style="22" min="9228" max="9472"/>
    <col width="5" customWidth="1" style="22" min="9473" max="9473"/>
    <col width="40" customWidth="1" style="22" min="9474" max="9474"/>
    <col width="18.28515625" customWidth="1" style="22" min="9475" max="9475"/>
    <col width="20" customWidth="1" style="22" min="9476" max="9476"/>
    <col width="14.140625" customWidth="1" style="22" min="9477" max="9477"/>
    <col width="13" customWidth="1" style="22" min="9478" max="9478"/>
    <col width="11" customWidth="1" style="22" min="9479" max="9479"/>
    <col width="10.7109375" customWidth="1" style="22" min="9480" max="9480"/>
    <col width="17.28515625" customWidth="1" style="22" min="9481" max="9481"/>
    <col width="15.28515625" customWidth="1" style="22" min="9482" max="9482"/>
    <col width="12.42578125" customWidth="1" style="22" min="9483" max="9483"/>
    <col width="0.85546875" customWidth="1" style="22" min="9484" max="9728"/>
    <col width="5" customWidth="1" style="22" min="9729" max="9729"/>
    <col width="40" customWidth="1" style="22" min="9730" max="9730"/>
    <col width="18.28515625" customWidth="1" style="22" min="9731" max="9731"/>
    <col width="20" customWidth="1" style="22" min="9732" max="9732"/>
    <col width="14.140625" customWidth="1" style="22" min="9733" max="9733"/>
    <col width="13" customWidth="1" style="22" min="9734" max="9734"/>
    <col width="11" customWidth="1" style="22" min="9735" max="9735"/>
    <col width="10.7109375" customWidth="1" style="22" min="9736" max="9736"/>
    <col width="17.28515625" customWidth="1" style="22" min="9737" max="9737"/>
    <col width="15.28515625" customWidth="1" style="22" min="9738" max="9738"/>
    <col width="12.42578125" customWidth="1" style="22" min="9739" max="9739"/>
    <col width="0.85546875" customWidth="1" style="22" min="9740" max="9984"/>
    <col width="5" customWidth="1" style="22" min="9985" max="9985"/>
    <col width="40" customWidth="1" style="22" min="9986" max="9986"/>
    <col width="18.28515625" customWidth="1" style="22" min="9987" max="9987"/>
    <col width="20" customWidth="1" style="22" min="9988" max="9988"/>
    <col width="14.140625" customWidth="1" style="22" min="9989" max="9989"/>
    <col width="13" customWidth="1" style="22" min="9990" max="9990"/>
    <col width="11" customWidth="1" style="22" min="9991" max="9991"/>
    <col width="10.7109375" customWidth="1" style="22" min="9992" max="9992"/>
    <col width="17.28515625" customWidth="1" style="22" min="9993" max="9993"/>
    <col width="15.28515625" customWidth="1" style="22" min="9994" max="9994"/>
    <col width="12.42578125" customWidth="1" style="22" min="9995" max="9995"/>
    <col width="0.85546875" customWidth="1" style="22" min="9996" max="10240"/>
    <col width="5" customWidth="1" style="22" min="10241" max="10241"/>
    <col width="40" customWidth="1" style="22" min="10242" max="10242"/>
    <col width="18.28515625" customWidth="1" style="22" min="10243" max="10243"/>
    <col width="20" customWidth="1" style="22" min="10244" max="10244"/>
    <col width="14.140625" customWidth="1" style="22" min="10245" max="10245"/>
    <col width="13" customWidth="1" style="22" min="10246" max="10246"/>
    <col width="11" customWidth="1" style="22" min="10247" max="10247"/>
    <col width="10.7109375" customWidth="1" style="22" min="10248" max="10248"/>
    <col width="17.28515625" customWidth="1" style="22" min="10249" max="10249"/>
    <col width="15.28515625" customWidth="1" style="22" min="10250" max="10250"/>
    <col width="12.42578125" customWidth="1" style="22" min="10251" max="10251"/>
    <col width="0.85546875" customWidth="1" style="22" min="10252" max="10496"/>
    <col width="5" customWidth="1" style="22" min="10497" max="10497"/>
    <col width="40" customWidth="1" style="22" min="10498" max="10498"/>
    <col width="18.28515625" customWidth="1" style="22" min="10499" max="10499"/>
    <col width="20" customWidth="1" style="22" min="10500" max="10500"/>
    <col width="14.140625" customWidth="1" style="22" min="10501" max="10501"/>
    <col width="13" customWidth="1" style="22" min="10502" max="10502"/>
    <col width="11" customWidth="1" style="22" min="10503" max="10503"/>
    <col width="10.7109375" customWidth="1" style="22" min="10504" max="10504"/>
    <col width="17.28515625" customWidth="1" style="22" min="10505" max="10505"/>
    <col width="15.28515625" customWidth="1" style="22" min="10506" max="10506"/>
    <col width="12.42578125" customWidth="1" style="22" min="10507" max="10507"/>
    <col width="0.85546875" customWidth="1" style="22" min="10508" max="10752"/>
    <col width="5" customWidth="1" style="22" min="10753" max="10753"/>
    <col width="40" customWidth="1" style="22" min="10754" max="10754"/>
    <col width="18.28515625" customWidth="1" style="22" min="10755" max="10755"/>
    <col width="20" customWidth="1" style="22" min="10756" max="10756"/>
    <col width="14.140625" customWidth="1" style="22" min="10757" max="10757"/>
    <col width="13" customWidth="1" style="22" min="10758" max="10758"/>
    <col width="11" customWidth="1" style="22" min="10759" max="10759"/>
    <col width="10.7109375" customWidth="1" style="22" min="10760" max="10760"/>
    <col width="17.28515625" customWidth="1" style="22" min="10761" max="10761"/>
    <col width="15.28515625" customWidth="1" style="22" min="10762" max="10762"/>
    <col width="12.42578125" customWidth="1" style="22" min="10763" max="10763"/>
    <col width="0.85546875" customWidth="1" style="22" min="10764" max="11008"/>
    <col width="5" customWidth="1" style="22" min="11009" max="11009"/>
    <col width="40" customWidth="1" style="22" min="11010" max="11010"/>
    <col width="18.28515625" customWidth="1" style="22" min="11011" max="11011"/>
    <col width="20" customWidth="1" style="22" min="11012" max="11012"/>
    <col width="14.140625" customWidth="1" style="22" min="11013" max="11013"/>
    <col width="13" customWidth="1" style="22" min="11014" max="11014"/>
    <col width="11" customWidth="1" style="22" min="11015" max="11015"/>
    <col width="10.7109375" customWidth="1" style="22" min="11016" max="11016"/>
    <col width="17.28515625" customWidth="1" style="22" min="11017" max="11017"/>
    <col width="15.28515625" customWidth="1" style="22" min="11018" max="11018"/>
    <col width="12.42578125" customWidth="1" style="22" min="11019" max="11019"/>
    <col width="0.85546875" customWidth="1" style="22" min="11020" max="11264"/>
    <col width="5" customWidth="1" style="22" min="11265" max="11265"/>
    <col width="40" customWidth="1" style="22" min="11266" max="11266"/>
    <col width="18.28515625" customWidth="1" style="22" min="11267" max="11267"/>
    <col width="20" customWidth="1" style="22" min="11268" max="11268"/>
    <col width="14.140625" customWidth="1" style="22" min="11269" max="11269"/>
    <col width="13" customWidth="1" style="22" min="11270" max="11270"/>
    <col width="11" customWidth="1" style="22" min="11271" max="11271"/>
    <col width="10.7109375" customWidth="1" style="22" min="11272" max="11272"/>
    <col width="17.28515625" customWidth="1" style="22" min="11273" max="11273"/>
    <col width="15.28515625" customWidth="1" style="22" min="11274" max="11274"/>
    <col width="12.42578125" customWidth="1" style="22" min="11275" max="11275"/>
    <col width="0.85546875" customWidth="1" style="22" min="11276" max="11520"/>
    <col width="5" customWidth="1" style="22" min="11521" max="11521"/>
    <col width="40" customWidth="1" style="22" min="11522" max="11522"/>
    <col width="18.28515625" customWidth="1" style="22" min="11523" max="11523"/>
    <col width="20" customWidth="1" style="22" min="11524" max="11524"/>
    <col width="14.140625" customWidth="1" style="22" min="11525" max="11525"/>
    <col width="13" customWidth="1" style="22" min="11526" max="11526"/>
    <col width="11" customWidth="1" style="22" min="11527" max="11527"/>
    <col width="10.7109375" customWidth="1" style="22" min="11528" max="11528"/>
    <col width="17.28515625" customWidth="1" style="22" min="11529" max="11529"/>
    <col width="15.28515625" customWidth="1" style="22" min="11530" max="11530"/>
    <col width="12.42578125" customWidth="1" style="22" min="11531" max="11531"/>
    <col width="0.85546875" customWidth="1" style="22" min="11532" max="11776"/>
    <col width="5" customWidth="1" style="22" min="11777" max="11777"/>
    <col width="40" customWidth="1" style="22" min="11778" max="11778"/>
    <col width="18.28515625" customWidth="1" style="22" min="11779" max="11779"/>
    <col width="20" customWidth="1" style="22" min="11780" max="11780"/>
    <col width="14.140625" customWidth="1" style="22" min="11781" max="11781"/>
    <col width="13" customWidth="1" style="22" min="11782" max="11782"/>
    <col width="11" customWidth="1" style="22" min="11783" max="11783"/>
    <col width="10.7109375" customWidth="1" style="22" min="11784" max="11784"/>
    <col width="17.28515625" customWidth="1" style="22" min="11785" max="11785"/>
    <col width="15.28515625" customWidth="1" style="22" min="11786" max="11786"/>
    <col width="12.42578125" customWidth="1" style="22" min="11787" max="11787"/>
    <col width="0.85546875" customWidth="1" style="22" min="11788" max="12032"/>
    <col width="5" customWidth="1" style="22" min="12033" max="12033"/>
    <col width="40" customWidth="1" style="22" min="12034" max="12034"/>
    <col width="18.28515625" customWidth="1" style="22" min="12035" max="12035"/>
    <col width="20" customWidth="1" style="22" min="12036" max="12036"/>
    <col width="14.140625" customWidth="1" style="22" min="12037" max="12037"/>
    <col width="13" customWidth="1" style="22" min="12038" max="12038"/>
    <col width="11" customWidth="1" style="22" min="12039" max="12039"/>
    <col width="10.7109375" customWidth="1" style="22" min="12040" max="12040"/>
    <col width="17.28515625" customWidth="1" style="22" min="12041" max="12041"/>
    <col width="15.28515625" customWidth="1" style="22" min="12042" max="12042"/>
    <col width="12.42578125" customWidth="1" style="22" min="12043" max="12043"/>
    <col width="0.85546875" customWidth="1" style="22" min="12044" max="12288"/>
    <col width="5" customWidth="1" style="22" min="12289" max="12289"/>
    <col width="40" customWidth="1" style="22" min="12290" max="12290"/>
    <col width="18.28515625" customWidth="1" style="22" min="12291" max="12291"/>
    <col width="20" customWidth="1" style="22" min="12292" max="12292"/>
    <col width="14.140625" customWidth="1" style="22" min="12293" max="12293"/>
    <col width="13" customWidth="1" style="22" min="12294" max="12294"/>
    <col width="11" customWidth="1" style="22" min="12295" max="12295"/>
    <col width="10.7109375" customWidth="1" style="22" min="12296" max="12296"/>
    <col width="17.28515625" customWidth="1" style="22" min="12297" max="12297"/>
    <col width="15.28515625" customWidth="1" style="22" min="12298" max="12298"/>
    <col width="12.42578125" customWidth="1" style="22" min="12299" max="12299"/>
    <col width="0.85546875" customWidth="1" style="22" min="12300" max="12544"/>
    <col width="5" customWidth="1" style="22" min="12545" max="12545"/>
    <col width="40" customWidth="1" style="22" min="12546" max="12546"/>
    <col width="18.28515625" customWidth="1" style="22" min="12547" max="12547"/>
    <col width="20" customWidth="1" style="22" min="12548" max="12548"/>
    <col width="14.140625" customWidth="1" style="22" min="12549" max="12549"/>
    <col width="13" customWidth="1" style="22" min="12550" max="12550"/>
    <col width="11" customWidth="1" style="22" min="12551" max="12551"/>
    <col width="10.7109375" customWidth="1" style="22" min="12552" max="12552"/>
    <col width="17.28515625" customWidth="1" style="22" min="12553" max="12553"/>
    <col width="15.28515625" customWidth="1" style="22" min="12554" max="12554"/>
    <col width="12.42578125" customWidth="1" style="22" min="12555" max="12555"/>
    <col width="0.85546875" customWidth="1" style="22" min="12556" max="12800"/>
    <col width="5" customWidth="1" style="22" min="12801" max="12801"/>
    <col width="40" customWidth="1" style="22" min="12802" max="12802"/>
    <col width="18.28515625" customWidth="1" style="22" min="12803" max="12803"/>
    <col width="20" customWidth="1" style="22" min="12804" max="12804"/>
    <col width="14.140625" customWidth="1" style="22" min="12805" max="12805"/>
    <col width="13" customWidth="1" style="22" min="12806" max="12806"/>
    <col width="11" customWidth="1" style="22" min="12807" max="12807"/>
    <col width="10.7109375" customWidth="1" style="22" min="12808" max="12808"/>
    <col width="17.28515625" customWidth="1" style="22" min="12809" max="12809"/>
    <col width="15.28515625" customWidth="1" style="22" min="12810" max="12810"/>
    <col width="12.42578125" customWidth="1" style="22" min="12811" max="12811"/>
    <col width="0.85546875" customWidth="1" style="22" min="12812" max="13056"/>
    <col width="5" customWidth="1" style="22" min="13057" max="13057"/>
    <col width="40" customWidth="1" style="22" min="13058" max="13058"/>
    <col width="18.28515625" customWidth="1" style="22" min="13059" max="13059"/>
    <col width="20" customWidth="1" style="22" min="13060" max="13060"/>
    <col width="14.140625" customWidth="1" style="22" min="13061" max="13061"/>
    <col width="13" customWidth="1" style="22" min="13062" max="13062"/>
    <col width="11" customWidth="1" style="22" min="13063" max="13063"/>
    <col width="10.7109375" customWidth="1" style="22" min="13064" max="13064"/>
    <col width="17.28515625" customWidth="1" style="22" min="13065" max="13065"/>
    <col width="15.28515625" customWidth="1" style="22" min="13066" max="13066"/>
    <col width="12.42578125" customWidth="1" style="22" min="13067" max="13067"/>
    <col width="0.85546875" customWidth="1" style="22" min="13068" max="13312"/>
    <col width="5" customWidth="1" style="22" min="13313" max="13313"/>
    <col width="40" customWidth="1" style="22" min="13314" max="13314"/>
    <col width="18.28515625" customWidth="1" style="22" min="13315" max="13315"/>
    <col width="20" customWidth="1" style="22" min="13316" max="13316"/>
    <col width="14.140625" customWidth="1" style="22" min="13317" max="13317"/>
    <col width="13" customWidth="1" style="22" min="13318" max="13318"/>
    <col width="11" customWidth="1" style="22" min="13319" max="13319"/>
    <col width="10.7109375" customWidth="1" style="22" min="13320" max="13320"/>
    <col width="17.28515625" customWidth="1" style="22" min="13321" max="13321"/>
    <col width="15.28515625" customWidth="1" style="22" min="13322" max="13322"/>
    <col width="12.42578125" customWidth="1" style="22" min="13323" max="13323"/>
    <col width="0.85546875" customWidth="1" style="22" min="13324" max="13568"/>
    <col width="5" customWidth="1" style="22" min="13569" max="13569"/>
    <col width="40" customWidth="1" style="22" min="13570" max="13570"/>
    <col width="18.28515625" customWidth="1" style="22" min="13571" max="13571"/>
    <col width="20" customWidth="1" style="22" min="13572" max="13572"/>
    <col width="14.140625" customWidth="1" style="22" min="13573" max="13573"/>
    <col width="13" customWidth="1" style="22" min="13574" max="13574"/>
    <col width="11" customWidth="1" style="22" min="13575" max="13575"/>
    <col width="10.7109375" customWidth="1" style="22" min="13576" max="13576"/>
    <col width="17.28515625" customWidth="1" style="22" min="13577" max="13577"/>
    <col width="15.28515625" customWidth="1" style="22" min="13578" max="13578"/>
    <col width="12.42578125" customWidth="1" style="22" min="13579" max="13579"/>
    <col width="0.85546875" customWidth="1" style="22" min="13580" max="13824"/>
    <col width="5" customWidth="1" style="22" min="13825" max="13825"/>
    <col width="40" customWidth="1" style="22" min="13826" max="13826"/>
    <col width="18.28515625" customWidth="1" style="22" min="13827" max="13827"/>
    <col width="20" customWidth="1" style="22" min="13828" max="13828"/>
    <col width="14.140625" customWidth="1" style="22" min="13829" max="13829"/>
    <col width="13" customWidth="1" style="22" min="13830" max="13830"/>
    <col width="11" customWidth="1" style="22" min="13831" max="13831"/>
    <col width="10.7109375" customWidth="1" style="22" min="13832" max="13832"/>
    <col width="17.28515625" customWidth="1" style="22" min="13833" max="13833"/>
    <col width="15.28515625" customWidth="1" style="22" min="13834" max="13834"/>
    <col width="12.42578125" customWidth="1" style="22" min="13835" max="13835"/>
    <col width="0.85546875" customWidth="1" style="22" min="13836" max="14080"/>
    <col width="5" customWidth="1" style="22" min="14081" max="14081"/>
    <col width="40" customWidth="1" style="22" min="14082" max="14082"/>
    <col width="18.28515625" customWidth="1" style="22" min="14083" max="14083"/>
    <col width="20" customWidth="1" style="22" min="14084" max="14084"/>
    <col width="14.140625" customWidth="1" style="22" min="14085" max="14085"/>
    <col width="13" customWidth="1" style="22" min="14086" max="14086"/>
    <col width="11" customWidth="1" style="22" min="14087" max="14087"/>
    <col width="10.7109375" customWidth="1" style="22" min="14088" max="14088"/>
    <col width="17.28515625" customWidth="1" style="22" min="14089" max="14089"/>
    <col width="15.28515625" customWidth="1" style="22" min="14090" max="14090"/>
    <col width="12.42578125" customWidth="1" style="22" min="14091" max="14091"/>
    <col width="0.85546875" customWidth="1" style="22" min="14092" max="14336"/>
    <col width="5" customWidth="1" style="22" min="14337" max="14337"/>
    <col width="40" customWidth="1" style="22" min="14338" max="14338"/>
    <col width="18.28515625" customWidth="1" style="22" min="14339" max="14339"/>
    <col width="20" customWidth="1" style="22" min="14340" max="14340"/>
    <col width="14.140625" customWidth="1" style="22" min="14341" max="14341"/>
    <col width="13" customWidth="1" style="22" min="14342" max="14342"/>
    <col width="11" customWidth="1" style="22" min="14343" max="14343"/>
    <col width="10.7109375" customWidth="1" style="22" min="14344" max="14344"/>
    <col width="17.28515625" customWidth="1" style="22" min="14345" max="14345"/>
    <col width="15.28515625" customWidth="1" style="22" min="14346" max="14346"/>
    <col width="12.42578125" customWidth="1" style="22" min="14347" max="14347"/>
    <col width="0.85546875" customWidth="1" style="22" min="14348" max="14592"/>
    <col width="5" customWidth="1" style="22" min="14593" max="14593"/>
    <col width="40" customWidth="1" style="22" min="14594" max="14594"/>
    <col width="18.28515625" customWidth="1" style="22" min="14595" max="14595"/>
    <col width="20" customWidth="1" style="22" min="14596" max="14596"/>
    <col width="14.140625" customWidth="1" style="22" min="14597" max="14597"/>
    <col width="13" customWidth="1" style="22" min="14598" max="14598"/>
    <col width="11" customWidth="1" style="22" min="14599" max="14599"/>
    <col width="10.7109375" customWidth="1" style="22" min="14600" max="14600"/>
    <col width="17.28515625" customWidth="1" style="22" min="14601" max="14601"/>
    <col width="15.28515625" customWidth="1" style="22" min="14602" max="14602"/>
    <col width="12.42578125" customWidth="1" style="22" min="14603" max="14603"/>
    <col width="0.85546875" customWidth="1" style="22" min="14604" max="14848"/>
    <col width="5" customWidth="1" style="22" min="14849" max="14849"/>
    <col width="40" customWidth="1" style="22" min="14850" max="14850"/>
    <col width="18.28515625" customWidth="1" style="22" min="14851" max="14851"/>
    <col width="20" customWidth="1" style="22" min="14852" max="14852"/>
    <col width="14.140625" customWidth="1" style="22" min="14853" max="14853"/>
    <col width="13" customWidth="1" style="22" min="14854" max="14854"/>
    <col width="11" customWidth="1" style="22" min="14855" max="14855"/>
    <col width="10.7109375" customWidth="1" style="22" min="14856" max="14856"/>
    <col width="17.28515625" customWidth="1" style="22" min="14857" max="14857"/>
    <col width="15.28515625" customWidth="1" style="22" min="14858" max="14858"/>
    <col width="12.42578125" customWidth="1" style="22" min="14859" max="14859"/>
    <col width="0.85546875" customWidth="1" style="22" min="14860" max="15104"/>
    <col width="5" customWidth="1" style="22" min="15105" max="15105"/>
    <col width="40" customWidth="1" style="22" min="15106" max="15106"/>
    <col width="18.28515625" customWidth="1" style="22" min="15107" max="15107"/>
    <col width="20" customWidth="1" style="22" min="15108" max="15108"/>
    <col width="14.140625" customWidth="1" style="22" min="15109" max="15109"/>
    <col width="13" customWidth="1" style="22" min="15110" max="15110"/>
    <col width="11" customWidth="1" style="22" min="15111" max="15111"/>
    <col width="10.7109375" customWidth="1" style="22" min="15112" max="15112"/>
    <col width="17.28515625" customWidth="1" style="22" min="15113" max="15113"/>
    <col width="15.28515625" customWidth="1" style="22" min="15114" max="15114"/>
    <col width="12.42578125" customWidth="1" style="22" min="15115" max="15115"/>
    <col width="0.85546875" customWidth="1" style="22" min="15116" max="15360"/>
    <col width="5" customWidth="1" style="22" min="15361" max="15361"/>
    <col width="40" customWidth="1" style="22" min="15362" max="15362"/>
    <col width="18.28515625" customWidth="1" style="22" min="15363" max="15363"/>
    <col width="20" customWidth="1" style="22" min="15364" max="15364"/>
    <col width="14.140625" customWidth="1" style="22" min="15365" max="15365"/>
    <col width="13" customWidth="1" style="22" min="15366" max="15366"/>
    <col width="11" customWidth="1" style="22" min="15367" max="15367"/>
    <col width="10.7109375" customWidth="1" style="22" min="15368" max="15368"/>
    <col width="17.28515625" customWidth="1" style="22" min="15369" max="15369"/>
    <col width="15.28515625" customWidth="1" style="22" min="15370" max="15370"/>
    <col width="12.42578125" customWidth="1" style="22" min="15371" max="15371"/>
    <col width="0.85546875" customWidth="1" style="22" min="15372" max="15616"/>
    <col width="5" customWidth="1" style="22" min="15617" max="15617"/>
    <col width="40" customWidth="1" style="22" min="15618" max="15618"/>
    <col width="18.28515625" customWidth="1" style="22" min="15619" max="15619"/>
    <col width="20" customWidth="1" style="22" min="15620" max="15620"/>
    <col width="14.140625" customWidth="1" style="22" min="15621" max="15621"/>
    <col width="13" customWidth="1" style="22" min="15622" max="15622"/>
    <col width="11" customWidth="1" style="22" min="15623" max="15623"/>
    <col width="10.7109375" customWidth="1" style="22" min="15624" max="15624"/>
    <col width="17.28515625" customWidth="1" style="22" min="15625" max="15625"/>
    <col width="15.28515625" customWidth="1" style="22" min="15626" max="15626"/>
    <col width="12.42578125" customWidth="1" style="22" min="15627" max="15627"/>
    <col width="0.85546875" customWidth="1" style="22" min="15628" max="15872"/>
    <col width="5" customWidth="1" style="22" min="15873" max="15873"/>
    <col width="40" customWidth="1" style="22" min="15874" max="15874"/>
    <col width="18.28515625" customWidth="1" style="22" min="15875" max="15875"/>
    <col width="20" customWidth="1" style="22" min="15876" max="15876"/>
    <col width="14.140625" customWidth="1" style="22" min="15877" max="15877"/>
    <col width="13" customWidth="1" style="22" min="15878" max="15878"/>
    <col width="11" customWidth="1" style="22" min="15879" max="15879"/>
    <col width="10.7109375" customWidth="1" style="22" min="15880" max="15880"/>
    <col width="17.28515625" customWidth="1" style="22" min="15881" max="15881"/>
    <col width="15.28515625" customWidth="1" style="22" min="15882" max="15882"/>
    <col width="12.42578125" customWidth="1" style="22" min="15883" max="15883"/>
    <col width="0.85546875" customWidth="1" style="22" min="15884" max="16128"/>
    <col width="5" customWidth="1" style="22" min="16129" max="16129"/>
    <col width="40" customWidth="1" style="22" min="16130" max="16130"/>
    <col width="18.28515625" customWidth="1" style="22" min="16131" max="16131"/>
    <col width="20" customWidth="1" style="22" min="16132" max="16132"/>
    <col width="14.140625" customWidth="1" style="22" min="16133" max="16133"/>
    <col width="13" customWidth="1" style="22" min="16134" max="16134"/>
    <col width="11" customWidth="1" style="22" min="16135" max="16135"/>
    <col width="10.7109375" customWidth="1" style="22" min="16136" max="16136"/>
    <col width="17.28515625" customWidth="1" style="22" min="16137" max="16137"/>
    <col width="15.28515625" customWidth="1" style="22" min="16138" max="16138"/>
    <col width="12.42578125" customWidth="1" style="22" min="16139" max="16139"/>
    <col width="0.85546875" customWidth="1" style="22" min="16140" max="16384"/>
  </cols>
  <sheetData>
    <row r="1" ht="18" customHeight="1" s="794">
      <c r="G1" s="49" t="n"/>
      <c r="H1" s="49" t="n"/>
      <c r="I1" s="1059" t="inlineStr">
        <is>
          <t>Форма № 7 (7д) НИР (ОКР)</t>
        </is>
      </c>
    </row>
    <row r="3" ht="33" customHeight="1" s="794">
      <c r="B3" s="1154" t="inlineStr">
        <is>
          <t>РАСШИФРОВКА
затрат по работам (услугам), выполняемым (оказываемым) сторонними организациями,</t>
        </is>
      </c>
      <c r="K3" s="208" t="n"/>
    </row>
    <row r="4" ht="35.25" customFormat="1" customHeight="1" s="48">
      <c r="B4" s="1144" t="inlineStr">
        <is>
          <t>ТЕМА</t>
        </is>
      </c>
      <c r="C4" s="1409" t="n"/>
      <c r="D4" s="1409" t="n"/>
      <c r="E4" s="1409" t="n"/>
      <c r="F4" s="1409" t="n"/>
      <c r="G4" s="1409" t="n"/>
      <c r="H4" s="1409" t="n"/>
      <c r="I4" s="1409" t="n"/>
      <c r="J4" s="1409" t="n"/>
      <c r="K4" s="809" t="n"/>
    </row>
    <row r="5" ht="12" customFormat="1" customHeight="1" s="23">
      <c r="A5" s="1121" t="inlineStr">
        <is>
          <t>(наименование, шифр товара, работы, услуги)</t>
        </is>
      </c>
    </row>
    <row r="6" ht="12" customFormat="1" customHeight="1" s="23">
      <c r="B6" s="1121" t="n"/>
      <c r="C6" s="1121" t="n"/>
      <c r="D6" s="1121" t="n"/>
      <c r="E6" s="1121" t="n"/>
      <c r="F6" s="1121" t="n"/>
      <c r="G6" s="1121" t="n"/>
      <c r="H6" s="1121" t="n"/>
    </row>
    <row r="7" ht="11.25" customHeight="1" s="794"/>
    <row r="8" ht="19.5" customHeight="1" s="794">
      <c r="A8" s="634" t="inlineStr">
        <is>
          <t>№ п/п</t>
        </is>
      </c>
      <c r="B8" s="849" t="inlineStr">
        <is>
          <t>Наименование сторонних организаций</t>
        </is>
      </c>
      <c r="C8" s="849" t="inlineStr">
        <is>
          <t>Наименование работ (услуг) (шифр)</t>
        </is>
      </c>
      <c r="D8" s="849" t="inlineStr">
        <is>
          <t>Основание 
(ТТТ (ТТ), 
ТЗ (ТТЗ, ЧТЗ)
на НИР (ОКР))</t>
        </is>
      </c>
      <c r="E8" s="849" t="inlineStr">
        <is>
          <t>Сроки исполнения</t>
        </is>
      </c>
      <c r="F8" s="849" t="inlineStr">
        <is>
          <t>Цена работ (услуг) (руб.)</t>
        </is>
      </c>
      <c r="G8" s="1412" t="n"/>
      <c r="H8" s="1412" t="n"/>
      <c r="I8" s="1410" t="n"/>
      <c r="J8" s="849" t="inlineStr">
        <is>
          <t>Обоснование цены работ (услуг)</t>
        </is>
      </c>
      <c r="K8" s="1417" t="n"/>
    </row>
    <row r="9" ht="18" customHeight="1" s="794">
      <c r="A9" s="1418" t="n"/>
      <c r="B9" s="1418" t="n"/>
      <c r="C9" s="1418" t="n"/>
      <c r="D9" s="1418" t="n"/>
      <c r="E9" s="1418" t="n"/>
      <c r="F9" s="849" t="inlineStr">
        <is>
          <t>всего</t>
        </is>
      </c>
      <c r="G9" s="1062" t="inlineStr">
        <is>
          <t>в том числе:</t>
        </is>
      </c>
      <c r="H9" s="1412" t="n"/>
      <c r="I9" s="1410" t="n"/>
      <c r="J9" s="1414" t="n"/>
      <c r="K9" s="1421" t="n"/>
    </row>
    <row r="10" ht="27.75" customFormat="1" customHeight="1" s="23">
      <c r="A10" s="1418" t="n"/>
      <c r="B10" s="1418" t="n"/>
      <c r="C10" s="1418" t="n"/>
      <c r="D10" s="1418" t="n"/>
      <c r="E10" s="1418" t="n"/>
      <c r="F10" s="1418" t="n"/>
      <c r="G10" s="843" t="inlineStr">
        <is>
          <t>затраты
(на __.__.____ г.)</t>
        </is>
      </c>
      <c r="H10" s="1417" t="n"/>
      <c r="I10" s="849" t="inlineStr">
        <is>
          <t>плановые затраты
(с __.__.____ г. по __.__.____ г.)</t>
        </is>
      </c>
      <c r="J10" s="849" t="inlineStr">
        <is>
          <t>обосновывающие документы</t>
        </is>
      </c>
      <c r="K10" s="849" t="inlineStr">
        <is>
          <t>метод определения цены</t>
        </is>
      </c>
    </row>
    <row r="11" ht="17.25" customFormat="1" customHeight="1" s="23">
      <c r="A11" s="1413" t="n"/>
      <c r="B11" s="1413" t="n"/>
      <c r="C11" s="1413" t="n"/>
      <c r="D11" s="1413" t="n"/>
      <c r="E11" s="1413" t="n"/>
      <c r="F11" s="1413" t="n"/>
      <c r="G11" s="849" t="inlineStr">
        <is>
          <t>план</t>
        </is>
      </c>
      <c r="H11" s="849" t="inlineStr">
        <is>
          <t>факт</t>
        </is>
      </c>
      <c r="I11" s="1413" t="n"/>
      <c r="J11" s="1413" t="n"/>
      <c r="K11" s="1413" t="n"/>
    </row>
    <row r="12" ht="13.5" customFormat="1" customHeight="1" s="24">
      <c r="A12" s="1062" t="n">
        <v>1</v>
      </c>
      <c r="B12" s="1062" t="n">
        <v>2</v>
      </c>
      <c r="C12" s="1062" t="n">
        <v>3</v>
      </c>
      <c r="D12" s="1062" t="n">
        <v>4</v>
      </c>
      <c r="E12" s="1062" t="n">
        <v>5</v>
      </c>
      <c r="F12" s="1062" t="n">
        <v>6</v>
      </c>
      <c r="G12" s="1069" t="inlineStr">
        <is>
          <t>6.1.1</t>
        </is>
      </c>
      <c r="H12" s="1069" t="inlineStr">
        <is>
          <t>6.1.2</t>
        </is>
      </c>
      <c r="I12" s="1069" t="inlineStr">
        <is>
          <t>6.2</t>
        </is>
      </c>
      <c r="J12" s="1069" t="inlineStr">
        <is>
          <t>7.1</t>
        </is>
      </c>
      <c r="K12" s="1069" t="inlineStr">
        <is>
          <t>7.2</t>
        </is>
      </c>
    </row>
    <row r="13" customFormat="1" s="23">
      <c r="A13" s="1062" t="inlineStr">
        <is>
          <t>1.</t>
        </is>
      </c>
      <c r="B13" s="212" t="inlineStr">
        <is>
          <t>-</t>
        </is>
      </c>
      <c r="C13" s="1069" t="inlineStr">
        <is>
          <t>-</t>
        </is>
      </c>
      <c r="D13" s="210" t="inlineStr">
        <is>
          <t>-</t>
        </is>
      </c>
      <c r="E13" s="210" t="inlineStr">
        <is>
          <t>-</t>
        </is>
      </c>
      <c r="F13" s="210" t="inlineStr">
        <is>
          <t>-</t>
        </is>
      </c>
      <c r="G13" s="210" t="inlineStr">
        <is>
          <t>-</t>
        </is>
      </c>
      <c r="H13" s="210" t="inlineStr">
        <is>
          <t>-</t>
        </is>
      </c>
      <c r="I13" s="210" t="inlineStr">
        <is>
          <t>-</t>
        </is>
      </c>
      <c r="J13" s="210" t="inlineStr">
        <is>
          <t>-</t>
        </is>
      </c>
      <c r="K13" s="210" t="inlineStr">
        <is>
          <t>-</t>
        </is>
      </c>
    </row>
    <row r="14" ht="13.5" customFormat="1" customHeight="1" s="23">
      <c r="A14" s="1158" t="inlineStr">
        <is>
          <t>ИТОГО по этапу</t>
        </is>
      </c>
      <c r="B14" s="1410" t="n"/>
      <c r="C14" s="283" t="inlineStr">
        <is>
          <t>-</t>
        </is>
      </c>
      <c r="D14" s="211" t="inlineStr">
        <is>
          <t>-</t>
        </is>
      </c>
      <c r="E14" s="211" t="inlineStr">
        <is>
          <t>-</t>
        </is>
      </c>
      <c r="F14" s="211" t="inlineStr">
        <is>
          <t>-</t>
        </is>
      </c>
      <c r="G14" s="211" t="inlineStr">
        <is>
          <t>-</t>
        </is>
      </c>
      <c r="H14" s="211" t="inlineStr">
        <is>
          <t>-</t>
        </is>
      </c>
      <c r="I14" s="211" t="inlineStr">
        <is>
          <t>-</t>
        </is>
      </c>
      <c r="J14" s="211" t="inlineStr">
        <is>
          <t>-</t>
        </is>
      </c>
      <c r="K14" s="211" t="inlineStr">
        <is>
          <t>-</t>
        </is>
      </c>
    </row>
    <row r="15" ht="23.25" customHeight="1" s="794"/>
    <row r="16" ht="28.5" customHeight="1" s="794">
      <c r="A16" s="954" t="n"/>
      <c r="B16" s="108" t="inlineStr">
        <is>
          <t>Начальник ОФЭиАУ НИОКР</t>
        </is>
      </c>
      <c r="C16" s="108" t="n"/>
      <c r="D16" s="108" t="n"/>
      <c r="E16" s="108" t="n"/>
      <c r="F16" s="108" t="n"/>
      <c r="G16" s="1157" t="inlineStr">
        <is>
          <t>Руководитель договора</t>
        </is>
      </c>
    </row>
    <row r="17" ht="38.25" customHeight="1" s="794">
      <c r="B17" s="2" t="inlineStr">
        <is>
          <t>_____________________ Н.О. Васецкая</t>
        </is>
      </c>
      <c r="C17" s="31" t="n"/>
      <c r="D17" s="31" t="n"/>
      <c r="E17" s="31" t="n"/>
      <c r="F17" s="31" t="n"/>
      <c r="G17" s="484" t="inlineStr">
        <is>
          <t>_____________________ А.И. Боровков</t>
        </is>
      </c>
    </row>
    <row r="18" ht="15.75" customHeight="1" s="794">
      <c r="A18" s="287" t="n"/>
      <c r="B18" s="63" t="inlineStr">
        <is>
          <t xml:space="preserve">  (подпись)                                     (Ф.И.О.)</t>
        </is>
      </c>
      <c r="C18" s="31" t="n"/>
      <c r="D18" s="31" t="n"/>
      <c r="E18" s="31" t="n"/>
      <c r="F18" s="31" t="n"/>
      <c r="G18" s="63" t="inlineStr">
        <is>
          <t xml:space="preserve">  (подпись)                                        (Ф.И.О.)</t>
        </is>
      </c>
      <c r="H18" s="190" t="n"/>
      <c r="I18" s="190" t="n"/>
      <c r="J18" s="190" t="n"/>
    </row>
    <row r="19" ht="21" customHeight="1" s="794">
      <c r="A19" s="481" t="n"/>
      <c r="B19" s="1239" t="inlineStr">
        <is>
          <t>«____» __________________ 2025 г.</t>
        </is>
      </c>
      <c r="G19" s="1239" t="inlineStr">
        <is>
          <t>«____» __________________ 2025 г.</t>
        </is>
      </c>
    </row>
    <row r="20" ht="15.75" customHeight="1" s="794">
      <c r="A20" s="481" t="n"/>
      <c r="B20" s="24" t="n"/>
      <c r="C20" s="24" t="n"/>
      <c r="D20" s="24" t="n"/>
      <c r="E20" s="24" t="n"/>
      <c r="F20" s="24" t="n"/>
    </row>
    <row r="21" hidden="1" ht="28.15" customHeight="1" s="794">
      <c r="A21" s="982" t="inlineStr">
        <is>
          <t xml:space="preserve">      1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row>
    <row r="22" hidden="1" ht="17.25" customHeight="1" s="794">
      <c r="A22" s="952" t="inlineStr">
        <is>
          <t xml:space="preserve">         2  Заполняется для НИР (ОКР) (по каждому этапу (подэтапу), в отношении которого формируется стоимостной показатель). </t>
        </is>
      </c>
    </row>
    <row r="23" hidden="1" ht="43.5" customHeight="1" s="794">
      <c r="A23" s="952" t="inlineStr">
        <is>
          <t xml:space="preserve">      3 Расчет цен на работы (услуги) исполнителей, выполняющих отдельные этапы (составные части) научно-исследовательских, опытно-конструкторских и других работ, представляется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is>
      </c>
    </row>
    <row r="24" hidden="1" ht="96" customHeight="1" s="794">
      <c r="A24" s="952" t="inlineStr">
        <is>
          <t xml:space="preserve">      4 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6.1.1, 6.1.2 заполняются затраты по состоянию на конкретную дату, в графе 6.2 -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6 представляет собой сумму граф 6.1.2 и 6.2.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6, 6.1.1, 6.1.2 с разбивкой по годам. </t>
        </is>
      </c>
    </row>
    <row r="25" hidden="1" ht="42" customHeight="1" s="794">
      <c r="A25" s="952" t="inlineStr">
        <is>
          <t xml:space="preserve">      5 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is>
      </c>
    </row>
    <row r="26" hidden="1" ht="10.5" customHeight="1" s="794">
      <c r="A26" s="1099" t="n"/>
      <c r="B26" s="1099" t="n"/>
      <c r="C26" s="1099" t="n"/>
      <c r="D26" s="1099" t="n"/>
      <c r="E26" s="1099" t="n"/>
      <c r="F26" s="1099" t="n"/>
    </row>
    <row r="27" hidden="1" ht="16.5" customHeight="1" s="794">
      <c r="A27" s="958" t="inlineStr">
        <is>
          <t>Используемые сокращения и их расшифровка:</t>
        </is>
      </c>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row>
    <row r="28" hidden="1" ht="58.5" customHeight="1" s="794">
      <c r="B28" s="952" t="inlineStr">
        <is>
          <t>ТТТ (ТТ) – тактико-технические требования (технические требования);
ТТЗ (ТЗ) – тактико-техническое задание (техническое задание);
ЧТЗ – частное техническое задание;
НИР (ОКР) – научно-исследовательская работа (опытно-конструкторская работа).</t>
        </is>
      </c>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row>
    <row r="29" ht="21" customFormat="1" customHeight="1" s="93">
      <c r="F29" s="186" t="n"/>
      <c r="G29" s="1157" t="inlineStr">
        <is>
          <t>Ответственный исполнитель</t>
        </is>
      </c>
    </row>
    <row r="30" ht="27" customHeight="1" s="794">
      <c r="F30" s="1095" t="n"/>
      <c r="G30" s="484" t="inlineStr">
        <is>
          <t>_____________________ И.О. Фамилия</t>
        </is>
      </c>
      <c r="K30" s="23" t="n"/>
      <c r="L30" s="23" t="n"/>
      <c r="M30" s="23" t="n"/>
      <c r="N30" s="23" t="n"/>
      <c r="O30" s="23" t="n"/>
      <c r="P30" s="23" t="n"/>
      <c r="Q30" s="23" t="n"/>
      <c r="R30" s="23" t="n"/>
      <c r="S30" s="23" t="n"/>
      <c r="T30" s="23" t="n"/>
      <c r="U30" s="23" t="n"/>
      <c r="V30" s="23" t="n"/>
      <c r="W30" s="23" t="n"/>
      <c r="X30" s="23" t="n"/>
      <c r="Y30" s="23" t="n"/>
      <c r="Z30" s="23" t="n"/>
      <c r="AA30" s="23" t="n"/>
      <c r="AB30" s="23" t="n"/>
      <c r="AC30" s="23" t="n"/>
      <c r="AD30" s="23" t="n"/>
      <c r="AE30" s="23" t="n"/>
      <c r="AF30" s="23" t="n"/>
      <c r="AG30" s="23" t="n"/>
      <c r="AH30" s="23" t="n"/>
      <c r="AI30" s="23" t="n"/>
      <c r="AJ30" s="23" t="n"/>
      <c r="AK30" s="23" t="n"/>
      <c r="AL30" s="23" t="n"/>
      <c r="AM30" s="23" t="n"/>
      <c r="AN30" s="23" t="n"/>
      <c r="AO30" s="23" t="n"/>
    </row>
    <row r="31" ht="27" customHeight="1" s="794">
      <c r="G31" s="63" t="inlineStr">
        <is>
          <t xml:space="preserve">  (подпись)                                        (Ф.И.О.)</t>
        </is>
      </c>
      <c r="H31" s="190" t="n"/>
      <c r="I31" s="190" t="n"/>
      <c r="J31" s="190" t="n"/>
      <c r="K31" s="23" t="n"/>
      <c r="L31" s="23" t="n"/>
      <c r="M31" s="23" t="n"/>
      <c r="N31" s="23" t="n"/>
      <c r="O31" s="23" t="n"/>
      <c r="P31" s="23" t="n"/>
      <c r="Q31" s="23" t="n"/>
      <c r="R31" s="23" t="n"/>
      <c r="S31" s="23" t="n"/>
      <c r="T31" s="23" t="n"/>
      <c r="U31" s="23" t="n"/>
      <c r="V31" s="23" t="n"/>
      <c r="W31" s="23" t="n"/>
      <c r="X31" s="23" t="n"/>
      <c r="Y31" s="23" t="n"/>
      <c r="Z31" s="23" t="n"/>
      <c r="AA31" s="23" t="n"/>
      <c r="AB31" s="23" t="n"/>
      <c r="AC31" s="23" t="n"/>
      <c r="AD31" s="23" t="n"/>
      <c r="AE31" s="23" t="n"/>
      <c r="AF31" s="23" t="n"/>
      <c r="AG31" s="23" t="n"/>
      <c r="AH31" s="23" t="n"/>
      <c r="AI31" s="23" t="n"/>
      <c r="AJ31" s="23" t="n"/>
      <c r="AK31" s="23" t="n"/>
      <c r="AL31" s="23" t="n"/>
      <c r="AM31" s="23" t="n"/>
      <c r="AN31" s="23" t="n"/>
      <c r="AO31" s="23" t="n"/>
    </row>
    <row r="32" ht="18" customHeight="1" s="794">
      <c r="A32" s="23" t="n"/>
      <c r="B32" s="23" t="n"/>
      <c r="C32" s="23" t="n"/>
      <c r="D32" s="23" t="n"/>
      <c r="E32" s="23" t="n"/>
      <c r="F32" s="23" t="n"/>
      <c r="G32" s="1239" t="inlineStr">
        <is>
          <t>«____» __________________ 2025 г.</t>
        </is>
      </c>
    </row>
    <row r="33" ht="26.25" customHeight="1" s="794"/>
    <row r="34" ht="9" customHeight="1" s="794"/>
    <row r="38" ht="6" customHeight="1" s="794">
      <c r="A38" s="23" t="n"/>
      <c r="B38" s="23" t="n"/>
      <c r="C38" s="23" t="n"/>
      <c r="D38" s="23" t="n"/>
      <c r="E38" s="23" t="n"/>
      <c r="F38" s="23" t="n"/>
    </row>
    <row r="39">
      <c r="F39" s="190" t="n"/>
    </row>
    <row r="40">
      <c r="F40" s="122" t="n"/>
    </row>
    <row r="41">
      <c r="F41" s="123" t="n"/>
    </row>
    <row r="42">
      <c r="F42" s="190" t="n"/>
    </row>
    <row r="43">
      <c r="A43" s="23" t="n"/>
      <c r="B43" s="23" t="n"/>
      <c r="C43" s="23" t="n"/>
      <c r="D43" s="23" t="n"/>
      <c r="E43" s="23" t="n"/>
      <c r="F43" s="23" t="n"/>
    </row>
    <row r="61" ht="222" customHeight="1" s="794"/>
  </sheetData>
  <mergeCells count="27">
    <mergeCell ref="E8:E11"/>
    <mergeCell ref="A24:K24"/>
    <mergeCell ref="G29:J29"/>
    <mergeCell ref="A27:I27"/>
    <mergeCell ref="G16:J16"/>
    <mergeCell ref="F9:F11"/>
    <mergeCell ref="B8:B11"/>
    <mergeCell ref="G10:H10"/>
    <mergeCell ref="A25:K25"/>
    <mergeCell ref="I1:K1"/>
    <mergeCell ref="J8:K9"/>
    <mergeCell ref="A21:K21"/>
    <mergeCell ref="A8:A11"/>
    <mergeCell ref="C8:C11"/>
    <mergeCell ref="B28:I28"/>
    <mergeCell ref="G9:I9"/>
    <mergeCell ref="A14:B14"/>
    <mergeCell ref="B4:J4"/>
    <mergeCell ref="A5:K5"/>
    <mergeCell ref="A23:K23"/>
    <mergeCell ref="I10:I11"/>
    <mergeCell ref="K10:K11"/>
    <mergeCell ref="B3:J3"/>
    <mergeCell ref="D8:D11"/>
    <mergeCell ref="F8:I8"/>
    <mergeCell ref="A22:AI22"/>
    <mergeCell ref="J10:J11"/>
  </mergeCells>
  <printOptions horizontalCentered="1"/>
  <pageMargins left="0.5905511811023623" right="0.5905511811023623" top="0.5511811023622047" bottom="0.5511811023622047" header="0.3149606299212598" footer="0.3149606299212598"/>
  <pageSetup orientation="landscape" paperSize="9" scale="97"/>
</worksheet>
</file>

<file path=xl/worksheets/sheet19.xml><?xml version="1.0" encoding="utf-8"?>
<worksheet xmlns="http://schemas.openxmlformats.org/spreadsheetml/2006/main">
  <sheetPr>
    <tabColor theme="4" tint="0.7999816888943144"/>
    <outlinePr summaryBelow="1" summaryRight="1"/>
    <pageSetUpPr fitToPage="1"/>
  </sheetPr>
  <dimension ref="A1:N33"/>
  <sheetViews>
    <sheetView view="pageBreakPreview" zoomScale="70" zoomScaleNormal="100" zoomScaleSheetLayoutView="70" workbookViewId="0">
      <selection activeCell="B4" sqref="B4:M4"/>
    </sheetView>
  </sheetViews>
  <sheetFormatPr baseColWidth="8" defaultRowHeight="15"/>
  <cols>
    <col width="5.7109375" bestFit="1" customWidth="1" style="794" min="1" max="1"/>
    <col width="31.140625" customWidth="1" style="794" min="2" max="2"/>
    <col width="14.7109375" customWidth="1" style="794" min="3" max="3"/>
    <col width="10.28515625" customWidth="1" style="794" min="4" max="5"/>
    <col width="10.85546875" customWidth="1" style="794" min="6" max="6"/>
    <col width="8.85546875" customWidth="1" style="794" min="8" max="8"/>
    <col width="10.42578125" customWidth="1" style="794" min="9" max="9"/>
    <col width="8.5703125" customWidth="1" style="794" min="12" max="12"/>
    <col width="8.7109375" customWidth="1" style="794" min="13" max="13"/>
    <col width="5.7109375" bestFit="1" customWidth="1" style="794" min="241" max="241"/>
    <col width="31.140625" customWidth="1" style="794" min="242" max="242"/>
    <col width="14.7109375" customWidth="1" style="794" min="243" max="243"/>
    <col width="9.7109375" customWidth="1" style="794" min="244" max="244"/>
    <col width="16.140625" customWidth="1" style="794" min="245" max="245"/>
    <col width="14.28515625" customWidth="1" style="794" min="246" max="246"/>
    <col width="14.7109375" customWidth="1" style="794" min="247" max="247"/>
    <col width="9.7109375" customWidth="1" style="794" min="248" max="248"/>
    <col width="13.42578125" customWidth="1" style="794" min="249" max="249"/>
    <col width="14.85546875" customWidth="1" style="794" min="250" max="250"/>
    <col width="5.7109375" bestFit="1" customWidth="1" style="794" min="497" max="497"/>
    <col width="31.140625" customWidth="1" style="794" min="498" max="498"/>
    <col width="14.7109375" customWidth="1" style="794" min="499" max="499"/>
    <col width="9.7109375" customWidth="1" style="794" min="500" max="500"/>
    <col width="16.140625" customWidth="1" style="794" min="501" max="501"/>
    <col width="14.28515625" customWidth="1" style="794" min="502" max="502"/>
    <col width="14.7109375" customWidth="1" style="794" min="503" max="503"/>
    <col width="9.7109375" customWidth="1" style="794" min="504" max="504"/>
    <col width="13.42578125" customWidth="1" style="794" min="505" max="505"/>
    <col width="14.85546875" customWidth="1" style="794" min="506" max="506"/>
    <col width="5.7109375" bestFit="1" customWidth="1" style="794" min="753" max="753"/>
    <col width="31.140625" customWidth="1" style="794" min="754" max="754"/>
    <col width="14.7109375" customWidth="1" style="794" min="755" max="755"/>
    <col width="9.7109375" customWidth="1" style="794" min="756" max="756"/>
    <col width="16.140625" customWidth="1" style="794" min="757" max="757"/>
    <col width="14.28515625" customWidth="1" style="794" min="758" max="758"/>
    <col width="14.7109375" customWidth="1" style="794" min="759" max="759"/>
    <col width="9.7109375" customWidth="1" style="794" min="760" max="760"/>
    <col width="13.42578125" customWidth="1" style="794" min="761" max="761"/>
    <col width="14.85546875" customWidth="1" style="794" min="762" max="762"/>
    <col width="5.7109375" bestFit="1" customWidth="1" style="794" min="1009" max="1009"/>
    <col width="31.140625" customWidth="1" style="794" min="1010" max="1010"/>
    <col width="14.7109375" customWidth="1" style="794" min="1011" max="1011"/>
    <col width="9.7109375" customWidth="1" style="794" min="1012" max="1012"/>
    <col width="16.140625" customWidth="1" style="794" min="1013" max="1013"/>
    <col width="14.28515625" customWidth="1" style="794" min="1014" max="1014"/>
    <col width="14.7109375" customWidth="1" style="794" min="1015" max="1015"/>
    <col width="9.7109375" customWidth="1" style="794" min="1016" max="1016"/>
    <col width="13.42578125" customWidth="1" style="794" min="1017" max="1017"/>
    <col width="14.85546875" customWidth="1" style="794" min="1018" max="1018"/>
    <col width="5.7109375" bestFit="1" customWidth="1" style="794" min="1265" max="1265"/>
    <col width="31.140625" customWidth="1" style="794" min="1266" max="1266"/>
    <col width="14.7109375" customWidth="1" style="794" min="1267" max="1267"/>
    <col width="9.7109375" customWidth="1" style="794" min="1268" max="1268"/>
    <col width="16.140625" customWidth="1" style="794" min="1269" max="1269"/>
    <col width="14.28515625" customWidth="1" style="794" min="1270" max="1270"/>
    <col width="14.7109375" customWidth="1" style="794" min="1271" max="1271"/>
    <col width="9.7109375" customWidth="1" style="794" min="1272" max="1272"/>
    <col width="13.42578125" customWidth="1" style="794" min="1273" max="1273"/>
    <col width="14.85546875" customWidth="1" style="794" min="1274" max="1274"/>
    <col width="5.7109375" bestFit="1" customWidth="1" style="794" min="1521" max="1521"/>
    <col width="31.140625" customWidth="1" style="794" min="1522" max="1522"/>
    <col width="14.7109375" customWidth="1" style="794" min="1523" max="1523"/>
    <col width="9.7109375" customWidth="1" style="794" min="1524" max="1524"/>
    <col width="16.140625" customWidth="1" style="794" min="1525" max="1525"/>
    <col width="14.28515625" customWidth="1" style="794" min="1526" max="1526"/>
    <col width="14.7109375" customWidth="1" style="794" min="1527" max="1527"/>
    <col width="9.7109375" customWidth="1" style="794" min="1528" max="1528"/>
    <col width="13.42578125" customWidth="1" style="794" min="1529" max="1529"/>
    <col width="14.85546875" customWidth="1" style="794" min="1530" max="1530"/>
    <col width="5.7109375" bestFit="1" customWidth="1" style="794" min="1777" max="1777"/>
    <col width="31.140625" customWidth="1" style="794" min="1778" max="1778"/>
    <col width="14.7109375" customWidth="1" style="794" min="1779" max="1779"/>
    <col width="9.7109375" customWidth="1" style="794" min="1780" max="1780"/>
    <col width="16.140625" customWidth="1" style="794" min="1781" max="1781"/>
    <col width="14.28515625" customWidth="1" style="794" min="1782" max="1782"/>
    <col width="14.7109375" customWidth="1" style="794" min="1783" max="1783"/>
    <col width="9.7109375" customWidth="1" style="794" min="1784" max="1784"/>
    <col width="13.42578125" customWidth="1" style="794" min="1785" max="1785"/>
    <col width="14.85546875" customWidth="1" style="794" min="1786" max="1786"/>
    <col width="5.7109375" bestFit="1" customWidth="1" style="794" min="2033" max="2033"/>
    <col width="31.140625" customWidth="1" style="794" min="2034" max="2034"/>
    <col width="14.7109375" customWidth="1" style="794" min="2035" max="2035"/>
    <col width="9.7109375" customWidth="1" style="794" min="2036" max="2036"/>
    <col width="16.140625" customWidth="1" style="794" min="2037" max="2037"/>
    <col width="14.28515625" customWidth="1" style="794" min="2038" max="2038"/>
    <col width="14.7109375" customWidth="1" style="794" min="2039" max="2039"/>
    <col width="9.7109375" customWidth="1" style="794" min="2040" max="2040"/>
    <col width="13.42578125" customWidth="1" style="794" min="2041" max="2041"/>
    <col width="14.85546875" customWidth="1" style="794" min="2042" max="2042"/>
    <col width="5.7109375" bestFit="1" customWidth="1" style="794" min="2289" max="2289"/>
    <col width="31.140625" customWidth="1" style="794" min="2290" max="2290"/>
    <col width="14.7109375" customWidth="1" style="794" min="2291" max="2291"/>
    <col width="9.7109375" customWidth="1" style="794" min="2292" max="2292"/>
    <col width="16.140625" customWidth="1" style="794" min="2293" max="2293"/>
    <col width="14.28515625" customWidth="1" style="794" min="2294" max="2294"/>
    <col width="14.7109375" customWidth="1" style="794" min="2295" max="2295"/>
    <col width="9.7109375" customWidth="1" style="794" min="2296" max="2296"/>
    <col width="13.42578125" customWidth="1" style="794" min="2297" max="2297"/>
    <col width="14.85546875" customWidth="1" style="794" min="2298" max="2298"/>
    <col width="5.7109375" bestFit="1" customWidth="1" style="794" min="2545" max="2545"/>
    <col width="31.140625" customWidth="1" style="794" min="2546" max="2546"/>
    <col width="14.7109375" customWidth="1" style="794" min="2547" max="2547"/>
    <col width="9.7109375" customWidth="1" style="794" min="2548" max="2548"/>
    <col width="16.140625" customWidth="1" style="794" min="2549" max="2549"/>
    <col width="14.28515625" customWidth="1" style="794" min="2550" max="2550"/>
    <col width="14.7109375" customWidth="1" style="794" min="2551" max="2551"/>
    <col width="9.7109375" customWidth="1" style="794" min="2552" max="2552"/>
    <col width="13.42578125" customWidth="1" style="794" min="2553" max="2553"/>
    <col width="14.85546875" customWidth="1" style="794" min="2554" max="2554"/>
    <col width="5.7109375" bestFit="1" customWidth="1" style="794" min="2801" max="2801"/>
    <col width="31.140625" customWidth="1" style="794" min="2802" max="2802"/>
    <col width="14.7109375" customWidth="1" style="794" min="2803" max="2803"/>
    <col width="9.7109375" customWidth="1" style="794" min="2804" max="2804"/>
    <col width="16.140625" customWidth="1" style="794" min="2805" max="2805"/>
    <col width="14.28515625" customWidth="1" style="794" min="2806" max="2806"/>
    <col width="14.7109375" customWidth="1" style="794" min="2807" max="2807"/>
    <col width="9.7109375" customWidth="1" style="794" min="2808" max="2808"/>
    <col width="13.42578125" customWidth="1" style="794" min="2809" max="2809"/>
    <col width="14.85546875" customWidth="1" style="794" min="2810" max="2810"/>
    <col width="5.7109375" bestFit="1" customWidth="1" style="794" min="3057" max="3057"/>
    <col width="31.140625" customWidth="1" style="794" min="3058" max="3058"/>
    <col width="14.7109375" customWidth="1" style="794" min="3059" max="3059"/>
    <col width="9.7109375" customWidth="1" style="794" min="3060" max="3060"/>
    <col width="16.140625" customWidth="1" style="794" min="3061" max="3061"/>
    <col width="14.28515625" customWidth="1" style="794" min="3062" max="3062"/>
    <col width="14.7109375" customWidth="1" style="794" min="3063" max="3063"/>
    <col width="9.7109375" customWidth="1" style="794" min="3064" max="3064"/>
    <col width="13.42578125" customWidth="1" style="794" min="3065" max="3065"/>
    <col width="14.85546875" customWidth="1" style="794" min="3066" max="3066"/>
    <col width="5.7109375" bestFit="1" customWidth="1" style="794" min="3313" max="3313"/>
    <col width="31.140625" customWidth="1" style="794" min="3314" max="3314"/>
    <col width="14.7109375" customWidth="1" style="794" min="3315" max="3315"/>
    <col width="9.7109375" customWidth="1" style="794" min="3316" max="3316"/>
    <col width="16.140625" customWidth="1" style="794" min="3317" max="3317"/>
    <col width="14.28515625" customWidth="1" style="794" min="3318" max="3318"/>
    <col width="14.7109375" customWidth="1" style="794" min="3319" max="3319"/>
    <col width="9.7109375" customWidth="1" style="794" min="3320" max="3320"/>
    <col width="13.42578125" customWidth="1" style="794" min="3321" max="3321"/>
    <col width="14.85546875" customWidth="1" style="794" min="3322" max="3322"/>
    <col width="5.7109375" bestFit="1" customWidth="1" style="794" min="3569" max="3569"/>
    <col width="31.140625" customWidth="1" style="794" min="3570" max="3570"/>
    <col width="14.7109375" customWidth="1" style="794" min="3571" max="3571"/>
    <col width="9.7109375" customWidth="1" style="794" min="3572" max="3572"/>
    <col width="16.140625" customWidth="1" style="794" min="3573" max="3573"/>
    <col width="14.28515625" customWidth="1" style="794" min="3574" max="3574"/>
    <col width="14.7109375" customWidth="1" style="794" min="3575" max="3575"/>
    <col width="9.7109375" customWidth="1" style="794" min="3576" max="3576"/>
    <col width="13.42578125" customWidth="1" style="794" min="3577" max="3577"/>
    <col width="14.85546875" customWidth="1" style="794" min="3578" max="3578"/>
    <col width="5.7109375" bestFit="1" customWidth="1" style="794" min="3825" max="3825"/>
    <col width="31.140625" customWidth="1" style="794" min="3826" max="3826"/>
    <col width="14.7109375" customWidth="1" style="794" min="3827" max="3827"/>
    <col width="9.7109375" customWidth="1" style="794" min="3828" max="3828"/>
    <col width="16.140625" customWidth="1" style="794" min="3829" max="3829"/>
    <col width="14.28515625" customWidth="1" style="794" min="3830" max="3830"/>
    <col width="14.7109375" customWidth="1" style="794" min="3831" max="3831"/>
    <col width="9.7109375" customWidth="1" style="794" min="3832" max="3832"/>
    <col width="13.42578125" customWidth="1" style="794" min="3833" max="3833"/>
    <col width="14.85546875" customWidth="1" style="794" min="3834" max="3834"/>
    <col width="5.7109375" bestFit="1" customWidth="1" style="794" min="4081" max="4081"/>
    <col width="31.140625" customWidth="1" style="794" min="4082" max="4082"/>
    <col width="14.7109375" customWidth="1" style="794" min="4083" max="4083"/>
    <col width="9.7109375" customWidth="1" style="794" min="4084" max="4084"/>
    <col width="16.140625" customWidth="1" style="794" min="4085" max="4085"/>
    <col width="14.28515625" customWidth="1" style="794" min="4086" max="4086"/>
    <col width="14.7109375" customWidth="1" style="794" min="4087" max="4087"/>
    <col width="9.7109375" customWidth="1" style="794" min="4088" max="4088"/>
    <col width="13.42578125" customWidth="1" style="794" min="4089" max="4089"/>
    <col width="14.85546875" customWidth="1" style="794" min="4090" max="4090"/>
    <col width="5.7109375" bestFit="1" customWidth="1" style="794" min="4337" max="4337"/>
    <col width="31.140625" customWidth="1" style="794" min="4338" max="4338"/>
    <col width="14.7109375" customWidth="1" style="794" min="4339" max="4339"/>
    <col width="9.7109375" customWidth="1" style="794" min="4340" max="4340"/>
    <col width="16.140625" customWidth="1" style="794" min="4341" max="4341"/>
    <col width="14.28515625" customWidth="1" style="794" min="4342" max="4342"/>
    <col width="14.7109375" customWidth="1" style="794" min="4343" max="4343"/>
    <col width="9.7109375" customWidth="1" style="794" min="4344" max="4344"/>
    <col width="13.42578125" customWidth="1" style="794" min="4345" max="4345"/>
    <col width="14.85546875" customWidth="1" style="794" min="4346" max="4346"/>
    <col width="5.7109375" bestFit="1" customWidth="1" style="794" min="4593" max="4593"/>
    <col width="31.140625" customWidth="1" style="794" min="4594" max="4594"/>
    <col width="14.7109375" customWidth="1" style="794" min="4595" max="4595"/>
    <col width="9.7109375" customWidth="1" style="794" min="4596" max="4596"/>
    <col width="16.140625" customWidth="1" style="794" min="4597" max="4597"/>
    <col width="14.28515625" customWidth="1" style="794" min="4598" max="4598"/>
    <col width="14.7109375" customWidth="1" style="794" min="4599" max="4599"/>
    <col width="9.7109375" customWidth="1" style="794" min="4600" max="4600"/>
    <col width="13.42578125" customWidth="1" style="794" min="4601" max="4601"/>
    <col width="14.85546875" customWidth="1" style="794" min="4602" max="4602"/>
    <col width="5.7109375" bestFit="1" customWidth="1" style="794" min="4849" max="4849"/>
    <col width="31.140625" customWidth="1" style="794" min="4850" max="4850"/>
    <col width="14.7109375" customWidth="1" style="794" min="4851" max="4851"/>
    <col width="9.7109375" customWidth="1" style="794" min="4852" max="4852"/>
    <col width="16.140625" customWidth="1" style="794" min="4853" max="4853"/>
    <col width="14.28515625" customWidth="1" style="794" min="4854" max="4854"/>
    <col width="14.7109375" customWidth="1" style="794" min="4855" max="4855"/>
    <col width="9.7109375" customWidth="1" style="794" min="4856" max="4856"/>
    <col width="13.42578125" customWidth="1" style="794" min="4857" max="4857"/>
    <col width="14.85546875" customWidth="1" style="794" min="4858" max="4858"/>
    <col width="5.7109375" bestFit="1" customWidth="1" style="794" min="5105" max="5105"/>
    <col width="31.140625" customWidth="1" style="794" min="5106" max="5106"/>
    <col width="14.7109375" customWidth="1" style="794" min="5107" max="5107"/>
    <col width="9.7109375" customWidth="1" style="794" min="5108" max="5108"/>
    <col width="16.140625" customWidth="1" style="794" min="5109" max="5109"/>
    <col width="14.28515625" customWidth="1" style="794" min="5110" max="5110"/>
    <col width="14.7109375" customWidth="1" style="794" min="5111" max="5111"/>
    <col width="9.7109375" customWidth="1" style="794" min="5112" max="5112"/>
    <col width="13.42578125" customWidth="1" style="794" min="5113" max="5113"/>
    <col width="14.85546875" customWidth="1" style="794" min="5114" max="5114"/>
    <col width="5.7109375" bestFit="1" customWidth="1" style="794" min="5361" max="5361"/>
    <col width="31.140625" customWidth="1" style="794" min="5362" max="5362"/>
    <col width="14.7109375" customWidth="1" style="794" min="5363" max="5363"/>
    <col width="9.7109375" customWidth="1" style="794" min="5364" max="5364"/>
    <col width="16.140625" customWidth="1" style="794" min="5365" max="5365"/>
    <col width="14.28515625" customWidth="1" style="794" min="5366" max="5366"/>
    <col width="14.7109375" customWidth="1" style="794" min="5367" max="5367"/>
    <col width="9.7109375" customWidth="1" style="794" min="5368" max="5368"/>
    <col width="13.42578125" customWidth="1" style="794" min="5369" max="5369"/>
    <col width="14.85546875" customWidth="1" style="794" min="5370" max="5370"/>
    <col width="5.7109375" bestFit="1" customWidth="1" style="794" min="5617" max="5617"/>
    <col width="31.140625" customWidth="1" style="794" min="5618" max="5618"/>
    <col width="14.7109375" customWidth="1" style="794" min="5619" max="5619"/>
    <col width="9.7109375" customWidth="1" style="794" min="5620" max="5620"/>
    <col width="16.140625" customWidth="1" style="794" min="5621" max="5621"/>
    <col width="14.28515625" customWidth="1" style="794" min="5622" max="5622"/>
    <col width="14.7109375" customWidth="1" style="794" min="5623" max="5623"/>
    <col width="9.7109375" customWidth="1" style="794" min="5624" max="5624"/>
    <col width="13.42578125" customWidth="1" style="794" min="5625" max="5625"/>
    <col width="14.85546875" customWidth="1" style="794" min="5626" max="5626"/>
    <col width="5.7109375" bestFit="1" customWidth="1" style="794" min="5873" max="5873"/>
    <col width="31.140625" customWidth="1" style="794" min="5874" max="5874"/>
    <col width="14.7109375" customWidth="1" style="794" min="5875" max="5875"/>
    <col width="9.7109375" customWidth="1" style="794" min="5876" max="5876"/>
    <col width="16.140625" customWidth="1" style="794" min="5877" max="5877"/>
    <col width="14.28515625" customWidth="1" style="794" min="5878" max="5878"/>
    <col width="14.7109375" customWidth="1" style="794" min="5879" max="5879"/>
    <col width="9.7109375" customWidth="1" style="794" min="5880" max="5880"/>
    <col width="13.42578125" customWidth="1" style="794" min="5881" max="5881"/>
    <col width="14.85546875" customWidth="1" style="794" min="5882" max="5882"/>
    <col width="5.7109375" bestFit="1" customWidth="1" style="794" min="6129" max="6129"/>
    <col width="31.140625" customWidth="1" style="794" min="6130" max="6130"/>
    <col width="14.7109375" customWidth="1" style="794" min="6131" max="6131"/>
    <col width="9.7109375" customWidth="1" style="794" min="6132" max="6132"/>
    <col width="16.140625" customWidth="1" style="794" min="6133" max="6133"/>
    <col width="14.28515625" customWidth="1" style="794" min="6134" max="6134"/>
    <col width="14.7109375" customWidth="1" style="794" min="6135" max="6135"/>
    <col width="9.7109375" customWidth="1" style="794" min="6136" max="6136"/>
    <col width="13.42578125" customWidth="1" style="794" min="6137" max="6137"/>
    <col width="14.85546875" customWidth="1" style="794" min="6138" max="6138"/>
    <col width="5.7109375" bestFit="1" customWidth="1" style="794" min="6385" max="6385"/>
    <col width="31.140625" customWidth="1" style="794" min="6386" max="6386"/>
    <col width="14.7109375" customWidth="1" style="794" min="6387" max="6387"/>
    <col width="9.7109375" customWidth="1" style="794" min="6388" max="6388"/>
    <col width="16.140625" customWidth="1" style="794" min="6389" max="6389"/>
    <col width="14.28515625" customWidth="1" style="794" min="6390" max="6390"/>
    <col width="14.7109375" customWidth="1" style="794" min="6391" max="6391"/>
    <col width="9.7109375" customWidth="1" style="794" min="6392" max="6392"/>
    <col width="13.42578125" customWidth="1" style="794" min="6393" max="6393"/>
    <col width="14.85546875" customWidth="1" style="794" min="6394" max="6394"/>
    <col width="5.7109375" bestFit="1" customWidth="1" style="794" min="6641" max="6641"/>
    <col width="31.140625" customWidth="1" style="794" min="6642" max="6642"/>
    <col width="14.7109375" customWidth="1" style="794" min="6643" max="6643"/>
    <col width="9.7109375" customWidth="1" style="794" min="6644" max="6644"/>
    <col width="16.140625" customWidth="1" style="794" min="6645" max="6645"/>
    <col width="14.28515625" customWidth="1" style="794" min="6646" max="6646"/>
    <col width="14.7109375" customWidth="1" style="794" min="6647" max="6647"/>
    <col width="9.7109375" customWidth="1" style="794" min="6648" max="6648"/>
    <col width="13.42578125" customWidth="1" style="794" min="6649" max="6649"/>
    <col width="14.85546875" customWidth="1" style="794" min="6650" max="6650"/>
    <col width="5.7109375" bestFit="1" customWidth="1" style="794" min="6897" max="6897"/>
    <col width="31.140625" customWidth="1" style="794" min="6898" max="6898"/>
    <col width="14.7109375" customWidth="1" style="794" min="6899" max="6899"/>
    <col width="9.7109375" customWidth="1" style="794" min="6900" max="6900"/>
    <col width="16.140625" customWidth="1" style="794" min="6901" max="6901"/>
    <col width="14.28515625" customWidth="1" style="794" min="6902" max="6902"/>
    <col width="14.7109375" customWidth="1" style="794" min="6903" max="6903"/>
    <col width="9.7109375" customWidth="1" style="794" min="6904" max="6904"/>
    <col width="13.42578125" customWidth="1" style="794" min="6905" max="6905"/>
    <col width="14.85546875" customWidth="1" style="794" min="6906" max="6906"/>
    <col width="5.7109375" bestFit="1" customWidth="1" style="794" min="7153" max="7153"/>
    <col width="31.140625" customWidth="1" style="794" min="7154" max="7154"/>
    <col width="14.7109375" customWidth="1" style="794" min="7155" max="7155"/>
    <col width="9.7109375" customWidth="1" style="794" min="7156" max="7156"/>
    <col width="16.140625" customWidth="1" style="794" min="7157" max="7157"/>
    <col width="14.28515625" customWidth="1" style="794" min="7158" max="7158"/>
    <col width="14.7109375" customWidth="1" style="794" min="7159" max="7159"/>
    <col width="9.7109375" customWidth="1" style="794" min="7160" max="7160"/>
    <col width="13.42578125" customWidth="1" style="794" min="7161" max="7161"/>
    <col width="14.85546875" customWidth="1" style="794" min="7162" max="7162"/>
    <col width="5.7109375" bestFit="1" customWidth="1" style="794" min="7409" max="7409"/>
    <col width="31.140625" customWidth="1" style="794" min="7410" max="7410"/>
    <col width="14.7109375" customWidth="1" style="794" min="7411" max="7411"/>
    <col width="9.7109375" customWidth="1" style="794" min="7412" max="7412"/>
    <col width="16.140625" customWidth="1" style="794" min="7413" max="7413"/>
    <col width="14.28515625" customWidth="1" style="794" min="7414" max="7414"/>
    <col width="14.7109375" customWidth="1" style="794" min="7415" max="7415"/>
    <col width="9.7109375" customWidth="1" style="794" min="7416" max="7416"/>
    <col width="13.42578125" customWidth="1" style="794" min="7417" max="7417"/>
    <col width="14.85546875" customWidth="1" style="794" min="7418" max="7418"/>
    <col width="5.7109375" bestFit="1" customWidth="1" style="794" min="7665" max="7665"/>
    <col width="31.140625" customWidth="1" style="794" min="7666" max="7666"/>
    <col width="14.7109375" customWidth="1" style="794" min="7667" max="7667"/>
    <col width="9.7109375" customWidth="1" style="794" min="7668" max="7668"/>
    <col width="16.140625" customWidth="1" style="794" min="7669" max="7669"/>
    <col width="14.28515625" customWidth="1" style="794" min="7670" max="7670"/>
    <col width="14.7109375" customWidth="1" style="794" min="7671" max="7671"/>
    <col width="9.7109375" customWidth="1" style="794" min="7672" max="7672"/>
    <col width="13.42578125" customWidth="1" style="794" min="7673" max="7673"/>
    <col width="14.85546875" customWidth="1" style="794" min="7674" max="7674"/>
    <col width="5.7109375" bestFit="1" customWidth="1" style="794" min="7921" max="7921"/>
    <col width="31.140625" customWidth="1" style="794" min="7922" max="7922"/>
    <col width="14.7109375" customWidth="1" style="794" min="7923" max="7923"/>
    <col width="9.7109375" customWidth="1" style="794" min="7924" max="7924"/>
    <col width="16.140625" customWidth="1" style="794" min="7925" max="7925"/>
    <col width="14.28515625" customWidth="1" style="794" min="7926" max="7926"/>
    <col width="14.7109375" customWidth="1" style="794" min="7927" max="7927"/>
    <col width="9.7109375" customWidth="1" style="794" min="7928" max="7928"/>
    <col width="13.42578125" customWidth="1" style="794" min="7929" max="7929"/>
    <col width="14.85546875" customWidth="1" style="794" min="7930" max="7930"/>
    <col width="5.7109375" bestFit="1" customWidth="1" style="794" min="8177" max="8177"/>
    <col width="31.140625" customWidth="1" style="794" min="8178" max="8178"/>
    <col width="14.7109375" customWidth="1" style="794" min="8179" max="8179"/>
    <col width="9.7109375" customWidth="1" style="794" min="8180" max="8180"/>
    <col width="16.140625" customWidth="1" style="794" min="8181" max="8181"/>
    <col width="14.28515625" customWidth="1" style="794" min="8182" max="8182"/>
    <col width="14.7109375" customWidth="1" style="794" min="8183" max="8183"/>
    <col width="9.7109375" customWidth="1" style="794" min="8184" max="8184"/>
    <col width="13.42578125" customWidth="1" style="794" min="8185" max="8185"/>
    <col width="14.85546875" customWidth="1" style="794" min="8186" max="8186"/>
    <col width="5.7109375" bestFit="1" customWidth="1" style="794" min="8433" max="8433"/>
    <col width="31.140625" customWidth="1" style="794" min="8434" max="8434"/>
    <col width="14.7109375" customWidth="1" style="794" min="8435" max="8435"/>
    <col width="9.7109375" customWidth="1" style="794" min="8436" max="8436"/>
    <col width="16.140625" customWidth="1" style="794" min="8437" max="8437"/>
    <col width="14.28515625" customWidth="1" style="794" min="8438" max="8438"/>
    <col width="14.7109375" customWidth="1" style="794" min="8439" max="8439"/>
    <col width="9.7109375" customWidth="1" style="794" min="8440" max="8440"/>
    <col width="13.42578125" customWidth="1" style="794" min="8441" max="8441"/>
    <col width="14.85546875" customWidth="1" style="794" min="8442" max="8442"/>
    <col width="5.7109375" bestFit="1" customWidth="1" style="794" min="8689" max="8689"/>
    <col width="31.140625" customWidth="1" style="794" min="8690" max="8690"/>
    <col width="14.7109375" customWidth="1" style="794" min="8691" max="8691"/>
    <col width="9.7109375" customWidth="1" style="794" min="8692" max="8692"/>
    <col width="16.140625" customWidth="1" style="794" min="8693" max="8693"/>
    <col width="14.28515625" customWidth="1" style="794" min="8694" max="8694"/>
    <col width="14.7109375" customWidth="1" style="794" min="8695" max="8695"/>
    <col width="9.7109375" customWidth="1" style="794" min="8696" max="8696"/>
    <col width="13.42578125" customWidth="1" style="794" min="8697" max="8697"/>
    <col width="14.85546875" customWidth="1" style="794" min="8698" max="8698"/>
    <col width="5.7109375" bestFit="1" customWidth="1" style="794" min="8945" max="8945"/>
    <col width="31.140625" customWidth="1" style="794" min="8946" max="8946"/>
    <col width="14.7109375" customWidth="1" style="794" min="8947" max="8947"/>
    <col width="9.7109375" customWidth="1" style="794" min="8948" max="8948"/>
    <col width="16.140625" customWidth="1" style="794" min="8949" max="8949"/>
    <col width="14.28515625" customWidth="1" style="794" min="8950" max="8950"/>
    <col width="14.7109375" customWidth="1" style="794" min="8951" max="8951"/>
    <col width="9.7109375" customWidth="1" style="794" min="8952" max="8952"/>
    <col width="13.42578125" customWidth="1" style="794" min="8953" max="8953"/>
    <col width="14.85546875" customWidth="1" style="794" min="8954" max="8954"/>
    <col width="5.7109375" bestFit="1" customWidth="1" style="794" min="9201" max="9201"/>
    <col width="31.140625" customWidth="1" style="794" min="9202" max="9202"/>
    <col width="14.7109375" customWidth="1" style="794" min="9203" max="9203"/>
    <col width="9.7109375" customWidth="1" style="794" min="9204" max="9204"/>
    <col width="16.140625" customWidth="1" style="794" min="9205" max="9205"/>
    <col width="14.28515625" customWidth="1" style="794" min="9206" max="9206"/>
    <col width="14.7109375" customWidth="1" style="794" min="9207" max="9207"/>
    <col width="9.7109375" customWidth="1" style="794" min="9208" max="9208"/>
    <col width="13.42578125" customWidth="1" style="794" min="9209" max="9209"/>
    <col width="14.85546875" customWidth="1" style="794" min="9210" max="9210"/>
    <col width="5.7109375" bestFit="1" customWidth="1" style="794" min="9457" max="9457"/>
    <col width="31.140625" customWidth="1" style="794" min="9458" max="9458"/>
    <col width="14.7109375" customWidth="1" style="794" min="9459" max="9459"/>
    <col width="9.7109375" customWidth="1" style="794" min="9460" max="9460"/>
    <col width="16.140625" customWidth="1" style="794" min="9461" max="9461"/>
    <col width="14.28515625" customWidth="1" style="794" min="9462" max="9462"/>
    <col width="14.7109375" customWidth="1" style="794" min="9463" max="9463"/>
    <col width="9.7109375" customWidth="1" style="794" min="9464" max="9464"/>
    <col width="13.42578125" customWidth="1" style="794" min="9465" max="9465"/>
    <col width="14.85546875" customWidth="1" style="794" min="9466" max="9466"/>
    <col width="5.7109375" bestFit="1" customWidth="1" style="794" min="9713" max="9713"/>
    <col width="31.140625" customWidth="1" style="794" min="9714" max="9714"/>
    <col width="14.7109375" customWidth="1" style="794" min="9715" max="9715"/>
    <col width="9.7109375" customWidth="1" style="794" min="9716" max="9716"/>
    <col width="16.140625" customWidth="1" style="794" min="9717" max="9717"/>
    <col width="14.28515625" customWidth="1" style="794" min="9718" max="9718"/>
    <col width="14.7109375" customWidth="1" style="794" min="9719" max="9719"/>
    <col width="9.7109375" customWidth="1" style="794" min="9720" max="9720"/>
    <col width="13.42578125" customWidth="1" style="794" min="9721" max="9721"/>
    <col width="14.85546875" customWidth="1" style="794" min="9722" max="9722"/>
    <col width="5.7109375" bestFit="1" customWidth="1" style="794" min="9969" max="9969"/>
    <col width="31.140625" customWidth="1" style="794" min="9970" max="9970"/>
    <col width="14.7109375" customWidth="1" style="794" min="9971" max="9971"/>
    <col width="9.7109375" customWidth="1" style="794" min="9972" max="9972"/>
    <col width="16.140625" customWidth="1" style="794" min="9973" max="9973"/>
    <col width="14.28515625" customWidth="1" style="794" min="9974" max="9974"/>
    <col width="14.7109375" customWidth="1" style="794" min="9975" max="9975"/>
    <col width="9.7109375" customWidth="1" style="794" min="9976" max="9976"/>
    <col width="13.42578125" customWidth="1" style="794" min="9977" max="9977"/>
    <col width="14.85546875" customWidth="1" style="794" min="9978" max="9978"/>
    <col width="5.7109375" bestFit="1" customWidth="1" style="794" min="10225" max="10225"/>
    <col width="31.140625" customWidth="1" style="794" min="10226" max="10226"/>
    <col width="14.7109375" customWidth="1" style="794" min="10227" max="10227"/>
    <col width="9.7109375" customWidth="1" style="794" min="10228" max="10228"/>
    <col width="16.140625" customWidth="1" style="794" min="10229" max="10229"/>
    <col width="14.28515625" customWidth="1" style="794" min="10230" max="10230"/>
    <col width="14.7109375" customWidth="1" style="794" min="10231" max="10231"/>
    <col width="9.7109375" customWidth="1" style="794" min="10232" max="10232"/>
    <col width="13.42578125" customWidth="1" style="794" min="10233" max="10233"/>
    <col width="14.85546875" customWidth="1" style="794" min="10234" max="10234"/>
    <col width="5.7109375" bestFit="1" customWidth="1" style="794" min="10481" max="10481"/>
    <col width="31.140625" customWidth="1" style="794" min="10482" max="10482"/>
    <col width="14.7109375" customWidth="1" style="794" min="10483" max="10483"/>
    <col width="9.7109375" customWidth="1" style="794" min="10484" max="10484"/>
    <col width="16.140625" customWidth="1" style="794" min="10485" max="10485"/>
    <col width="14.28515625" customWidth="1" style="794" min="10486" max="10486"/>
    <col width="14.7109375" customWidth="1" style="794" min="10487" max="10487"/>
    <col width="9.7109375" customWidth="1" style="794" min="10488" max="10488"/>
    <col width="13.42578125" customWidth="1" style="794" min="10489" max="10489"/>
    <col width="14.85546875" customWidth="1" style="794" min="10490" max="10490"/>
    <col width="5.7109375" bestFit="1" customWidth="1" style="794" min="10737" max="10737"/>
    <col width="31.140625" customWidth="1" style="794" min="10738" max="10738"/>
    <col width="14.7109375" customWidth="1" style="794" min="10739" max="10739"/>
    <col width="9.7109375" customWidth="1" style="794" min="10740" max="10740"/>
    <col width="16.140625" customWidth="1" style="794" min="10741" max="10741"/>
    <col width="14.28515625" customWidth="1" style="794" min="10742" max="10742"/>
    <col width="14.7109375" customWidth="1" style="794" min="10743" max="10743"/>
    <col width="9.7109375" customWidth="1" style="794" min="10744" max="10744"/>
    <col width="13.42578125" customWidth="1" style="794" min="10745" max="10745"/>
    <col width="14.85546875" customWidth="1" style="794" min="10746" max="10746"/>
    <col width="5.7109375" bestFit="1" customWidth="1" style="794" min="10993" max="10993"/>
    <col width="31.140625" customWidth="1" style="794" min="10994" max="10994"/>
    <col width="14.7109375" customWidth="1" style="794" min="10995" max="10995"/>
    <col width="9.7109375" customWidth="1" style="794" min="10996" max="10996"/>
    <col width="16.140625" customWidth="1" style="794" min="10997" max="10997"/>
    <col width="14.28515625" customWidth="1" style="794" min="10998" max="10998"/>
    <col width="14.7109375" customWidth="1" style="794" min="10999" max="10999"/>
    <col width="9.7109375" customWidth="1" style="794" min="11000" max="11000"/>
    <col width="13.42578125" customWidth="1" style="794" min="11001" max="11001"/>
    <col width="14.85546875" customWidth="1" style="794" min="11002" max="11002"/>
    <col width="5.7109375" bestFit="1" customWidth="1" style="794" min="11249" max="11249"/>
    <col width="31.140625" customWidth="1" style="794" min="11250" max="11250"/>
    <col width="14.7109375" customWidth="1" style="794" min="11251" max="11251"/>
    <col width="9.7109375" customWidth="1" style="794" min="11252" max="11252"/>
    <col width="16.140625" customWidth="1" style="794" min="11253" max="11253"/>
    <col width="14.28515625" customWidth="1" style="794" min="11254" max="11254"/>
    <col width="14.7109375" customWidth="1" style="794" min="11255" max="11255"/>
    <col width="9.7109375" customWidth="1" style="794" min="11256" max="11256"/>
    <col width="13.42578125" customWidth="1" style="794" min="11257" max="11257"/>
    <col width="14.85546875" customWidth="1" style="794" min="11258" max="11258"/>
    <col width="5.7109375" bestFit="1" customWidth="1" style="794" min="11505" max="11505"/>
    <col width="31.140625" customWidth="1" style="794" min="11506" max="11506"/>
    <col width="14.7109375" customWidth="1" style="794" min="11507" max="11507"/>
    <col width="9.7109375" customWidth="1" style="794" min="11508" max="11508"/>
    <col width="16.140625" customWidth="1" style="794" min="11509" max="11509"/>
    <col width="14.28515625" customWidth="1" style="794" min="11510" max="11510"/>
    <col width="14.7109375" customWidth="1" style="794" min="11511" max="11511"/>
    <col width="9.7109375" customWidth="1" style="794" min="11512" max="11512"/>
    <col width="13.42578125" customWidth="1" style="794" min="11513" max="11513"/>
    <col width="14.85546875" customWidth="1" style="794" min="11514" max="11514"/>
    <col width="5.7109375" bestFit="1" customWidth="1" style="794" min="11761" max="11761"/>
    <col width="31.140625" customWidth="1" style="794" min="11762" max="11762"/>
    <col width="14.7109375" customWidth="1" style="794" min="11763" max="11763"/>
    <col width="9.7109375" customWidth="1" style="794" min="11764" max="11764"/>
    <col width="16.140625" customWidth="1" style="794" min="11765" max="11765"/>
    <col width="14.28515625" customWidth="1" style="794" min="11766" max="11766"/>
    <col width="14.7109375" customWidth="1" style="794" min="11767" max="11767"/>
    <col width="9.7109375" customWidth="1" style="794" min="11768" max="11768"/>
    <col width="13.42578125" customWidth="1" style="794" min="11769" max="11769"/>
    <col width="14.85546875" customWidth="1" style="794" min="11770" max="11770"/>
    <col width="5.7109375" bestFit="1" customWidth="1" style="794" min="12017" max="12017"/>
    <col width="31.140625" customWidth="1" style="794" min="12018" max="12018"/>
    <col width="14.7109375" customWidth="1" style="794" min="12019" max="12019"/>
    <col width="9.7109375" customWidth="1" style="794" min="12020" max="12020"/>
    <col width="16.140625" customWidth="1" style="794" min="12021" max="12021"/>
    <col width="14.28515625" customWidth="1" style="794" min="12022" max="12022"/>
    <col width="14.7109375" customWidth="1" style="794" min="12023" max="12023"/>
    <col width="9.7109375" customWidth="1" style="794" min="12024" max="12024"/>
    <col width="13.42578125" customWidth="1" style="794" min="12025" max="12025"/>
    <col width="14.85546875" customWidth="1" style="794" min="12026" max="12026"/>
    <col width="5.7109375" bestFit="1" customWidth="1" style="794" min="12273" max="12273"/>
    <col width="31.140625" customWidth="1" style="794" min="12274" max="12274"/>
    <col width="14.7109375" customWidth="1" style="794" min="12275" max="12275"/>
    <col width="9.7109375" customWidth="1" style="794" min="12276" max="12276"/>
    <col width="16.140625" customWidth="1" style="794" min="12277" max="12277"/>
    <col width="14.28515625" customWidth="1" style="794" min="12278" max="12278"/>
    <col width="14.7109375" customWidth="1" style="794" min="12279" max="12279"/>
    <col width="9.7109375" customWidth="1" style="794" min="12280" max="12280"/>
    <col width="13.42578125" customWidth="1" style="794" min="12281" max="12281"/>
    <col width="14.85546875" customWidth="1" style="794" min="12282" max="12282"/>
    <col width="5.7109375" bestFit="1" customWidth="1" style="794" min="12529" max="12529"/>
    <col width="31.140625" customWidth="1" style="794" min="12530" max="12530"/>
    <col width="14.7109375" customWidth="1" style="794" min="12531" max="12531"/>
    <col width="9.7109375" customWidth="1" style="794" min="12532" max="12532"/>
    <col width="16.140625" customWidth="1" style="794" min="12533" max="12533"/>
    <col width="14.28515625" customWidth="1" style="794" min="12534" max="12534"/>
    <col width="14.7109375" customWidth="1" style="794" min="12535" max="12535"/>
    <col width="9.7109375" customWidth="1" style="794" min="12536" max="12536"/>
    <col width="13.42578125" customWidth="1" style="794" min="12537" max="12537"/>
    <col width="14.85546875" customWidth="1" style="794" min="12538" max="12538"/>
    <col width="5.7109375" bestFit="1" customWidth="1" style="794" min="12785" max="12785"/>
    <col width="31.140625" customWidth="1" style="794" min="12786" max="12786"/>
    <col width="14.7109375" customWidth="1" style="794" min="12787" max="12787"/>
    <col width="9.7109375" customWidth="1" style="794" min="12788" max="12788"/>
    <col width="16.140625" customWidth="1" style="794" min="12789" max="12789"/>
    <col width="14.28515625" customWidth="1" style="794" min="12790" max="12790"/>
    <col width="14.7109375" customWidth="1" style="794" min="12791" max="12791"/>
    <col width="9.7109375" customWidth="1" style="794" min="12792" max="12792"/>
    <col width="13.42578125" customWidth="1" style="794" min="12793" max="12793"/>
    <col width="14.85546875" customWidth="1" style="794" min="12794" max="12794"/>
    <col width="5.7109375" bestFit="1" customWidth="1" style="794" min="13041" max="13041"/>
    <col width="31.140625" customWidth="1" style="794" min="13042" max="13042"/>
    <col width="14.7109375" customWidth="1" style="794" min="13043" max="13043"/>
    <col width="9.7109375" customWidth="1" style="794" min="13044" max="13044"/>
    <col width="16.140625" customWidth="1" style="794" min="13045" max="13045"/>
    <col width="14.28515625" customWidth="1" style="794" min="13046" max="13046"/>
    <col width="14.7109375" customWidth="1" style="794" min="13047" max="13047"/>
    <col width="9.7109375" customWidth="1" style="794" min="13048" max="13048"/>
    <col width="13.42578125" customWidth="1" style="794" min="13049" max="13049"/>
    <col width="14.85546875" customWidth="1" style="794" min="13050" max="13050"/>
    <col width="5.7109375" bestFit="1" customWidth="1" style="794" min="13297" max="13297"/>
    <col width="31.140625" customWidth="1" style="794" min="13298" max="13298"/>
    <col width="14.7109375" customWidth="1" style="794" min="13299" max="13299"/>
    <col width="9.7109375" customWidth="1" style="794" min="13300" max="13300"/>
    <col width="16.140625" customWidth="1" style="794" min="13301" max="13301"/>
    <col width="14.28515625" customWidth="1" style="794" min="13302" max="13302"/>
    <col width="14.7109375" customWidth="1" style="794" min="13303" max="13303"/>
    <col width="9.7109375" customWidth="1" style="794" min="13304" max="13304"/>
    <col width="13.42578125" customWidth="1" style="794" min="13305" max="13305"/>
    <col width="14.85546875" customWidth="1" style="794" min="13306" max="13306"/>
    <col width="5.7109375" bestFit="1" customWidth="1" style="794" min="13553" max="13553"/>
    <col width="31.140625" customWidth="1" style="794" min="13554" max="13554"/>
    <col width="14.7109375" customWidth="1" style="794" min="13555" max="13555"/>
    <col width="9.7109375" customWidth="1" style="794" min="13556" max="13556"/>
    <col width="16.140625" customWidth="1" style="794" min="13557" max="13557"/>
    <col width="14.28515625" customWidth="1" style="794" min="13558" max="13558"/>
    <col width="14.7109375" customWidth="1" style="794" min="13559" max="13559"/>
    <col width="9.7109375" customWidth="1" style="794" min="13560" max="13560"/>
    <col width="13.42578125" customWidth="1" style="794" min="13561" max="13561"/>
    <col width="14.85546875" customWidth="1" style="794" min="13562" max="13562"/>
    <col width="5.7109375" bestFit="1" customWidth="1" style="794" min="13809" max="13809"/>
    <col width="31.140625" customWidth="1" style="794" min="13810" max="13810"/>
    <col width="14.7109375" customWidth="1" style="794" min="13811" max="13811"/>
    <col width="9.7109375" customWidth="1" style="794" min="13812" max="13812"/>
    <col width="16.140625" customWidth="1" style="794" min="13813" max="13813"/>
    <col width="14.28515625" customWidth="1" style="794" min="13814" max="13814"/>
    <col width="14.7109375" customWidth="1" style="794" min="13815" max="13815"/>
    <col width="9.7109375" customWidth="1" style="794" min="13816" max="13816"/>
    <col width="13.42578125" customWidth="1" style="794" min="13817" max="13817"/>
    <col width="14.85546875" customWidth="1" style="794" min="13818" max="13818"/>
    <col width="5.7109375" bestFit="1" customWidth="1" style="794" min="14065" max="14065"/>
    <col width="31.140625" customWidth="1" style="794" min="14066" max="14066"/>
    <col width="14.7109375" customWidth="1" style="794" min="14067" max="14067"/>
    <col width="9.7109375" customWidth="1" style="794" min="14068" max="14068"/>
    <col width="16.140625" customWidth="1" style="794" min="14069" max="14069"/>
    <col width="14.28515625" customWidth="1" style="794" min="14070" max="14070"/>
    <col width="14.7109375" customWidth="1" style="794" min="14071" max="14071"/>
    <col width="9.7109375" customWidth="1" style="794" min="14072" max="14072"/>
    <col width="13.42578125" customWidth="1" style="794" min="14073" max="14073"/>
    <col width="14.85546875" customWidth="1" style="794" min="14074" max="14074"/>
    <col width="5.7109375" bestFit="1" customWidth="1" style="794" min="14321" max="14321"/>
    <col width="31.140625" customWidth="1" style="794" min="14322" max="14322"/>
    <col width="14.7109375" customWidth="1" style="794" min="14323" max="14323"/>
    <col width="9.7109375" customWidth="1" style="794" min="14324" max="14324"/>
    <col width="16.140625" customWidth="1" style="794" min="14325" max="14325"/>
    <col width="14.28515625" customWidth="1" style="794" min="14326" max="14326"/>
    <col width="14.7109375" customWidth="1" style="794" min="14327" max="14327"/>
    <col width="9.7109375" customWidth="1" style="794" min="14328" max="14328"/>
    <col width="13.42578125" customWidth="1" style="794" min="14329" max="14329"/>
    <col width="14.85546875" customWidth="1" style="794" min="14330" max="14330"/>
    <col width="5.7109375" bestFit="1" customWidth="1" style="794" min="14577" max="14577"/>
    <col width="31.140625" customWidth="1" style="794" min="14578" max="14578"/>
    <col width="14.7109375" customWidth="1" style="794" min="14579" max="14579"/>
    <col width="9.7109375" customWidth="1" style="794" min="14580" max="14580"/>
    <col width="16.140625" customWidth="1" style="794" min="14581" max="14581"/>
    <col width="14.28515625" customWidth="1" style="794" min="14582" max="14582"/>
    <col width="14.7109375" customWidth="1" style="794" min="14583" max="14583"/>
    <col width="9.7109375" customWidth="1" style="794" min="14584" max="14584"/>
    <col width="13.42578125" customWidth="1" style="794" min="14585" max="14585"/>
    <col width="14.85546875" customWidth="1" style="794" min="14586" max="14586"/>
    <col width="5.7109375" bestFit="1" customWidth="1" style="794" min="14833" max="14833"/>
    <col width="31.140625" customWidth="1" style="794" min="14834" max="14834"/>
    <col width="14.7109375" customWidth="1" style="794" min="14835" max="14835"/>
    <col width="9.7109375" customWidth="1" style="794" min="14836" max="14836"/>
    <col width="16.140625" customWidth="1" style="794" min="14837" max="14837"/>
    <col width="14.28515625" customWidth="1" style="794" min="14838" max="14838"/>
    <col width="14.7109375" customWidth="1" style="794" min="14839" max="14839"/>
    <col width="9.7109375" customWidth="1" style="794" min="14840" max="14840"/>
    <col width="13.42578125" customWidth="1" style="794" min="14841" max="14841"/>
    <col width="14.85546875" customWidth="1" style="794" min="14842" max="14842"/>
    <col width="5.7109375" bestFit="1" customWidth="1" style="794" min="15089" max="15089"/>
    <col width="31.140625" customWidth="1" style="794" min="15090" max="15090"/>
    <col width="14.7109375" customWidth="1" style="794" min="15091" max="15091"/>
    <col width="9.7109375" customWidth="1" style="794" min="15092" max="15092"/>
    <col width="16.140625" customWidth="1" style="794" min="15093" max="15093"/>
    <col width="14.28515625" customWidth="1" style="794" min="15094" max="15094"/>
    <col width="14.7109375" customWidth="1" style="794" min="15095" max="15095"/>
    <col width="9.7109375" customWidth="1" style="794" min="15096" max="15096"/>
    <col width="13.42578125" customWidth="1" style="794" min="15097" max="15097"/>
    <col width="14.85546875" customWidth="1" style="794" min="15098" max="15098"/>
    <col width="5.7109375" bestFit="1" customWidth="1" style="794" min="15345" max="15345"/>
    <col width="31.140625" customWidth="1" style="794" min="15346" max="15346"/>
    <col width="14.7109375" customWidth="1" style="794" min="15347" max="15347"/>
    <col width="9.7109375" customWidth="1" style="794" min="15348" max="15348"/>
    <col width="16.140625" customWidth="1" style="794" min="15349" max="15349"/>
    <col width="14.28515625" customWidth="1" style="794" min="15350" max="15350"/>
    <col width="14.7109375" customWidth="1" style="794" min="15351" max="15351"/>
    <col width="9.7109375" customWidth="1" style="794" min="15352" max="15352"/>
    <col width="13.42578125" customWidth="1" style="794" min="15353" max="15353"/>
    <col width="14.85546875" customWidth="1" style="794" min="15354" max="15354"/>
    <col width="5.7109375" bestFit="1" customWidth="1" style="794" min="15601" max="15601"/>
    <col width="31.140625" customWidth="1" style="794" min="15602" max="15602"/>
    <col width="14.7109375" customWidth="1" style="794" min="15603" max="15603"/>
    <col width="9.7109375" customWidth="1" style="794" min="15604" max="15604"/>
    <col width="16.140625" customWidth="1" style="794" min="15605" max="15605"/>
    <col width="14.28515625" customWidth="1" style="794" min="15606" max="15606"/>
    <col width="14.7109375" customWidth="1" style="794" min="15607" max="15607"/>
    <col width="9.7109375" customWidth="1" style="794" min="15608" max="15608"/>
    <col width="13.42578125" customWidth="1" style="794" min="15609" max="15609"/>
    <col width="14.85546875" customWidth="1" style="794" min="15610" max="15610"/>
    <col width="5.7109375" bestFit="1" customWidth="1" style="794" min="15857" max="15857"/>
    <col width="31.140625" customWidth="1" style="794" min="15858" max="15858"/>
    <col width="14.7109375" customWidth="1" style="794" min="15859" max="15859"/>
    <col width="9.7109375" customWidth="1" style="794" min="15860" max="15860"/>
    <col width="16.140625" customWidth="1" style="794" min="15861" max="15861"/>
    <col width="14.28515625" customWidth="1" style="794" min="15862" max="15862"/>
    <col width="14.7109375" customWidth="1" style="794" min="15863" max="15863"/>
    <col width="9.7109375" customWidth="1" style="794" min="15864" max="15864"/>
    <col width="13.42578125" customWidth="1" style="794" min="15865" max="15865"/>
    <col width="14.85546875" customWidth="1" style="794" min="15866" max="15866"/>
    <col width="5.7109375" bestFit="1" customWidth="1" style="794" min="16113" max="16113"/>
    <col width="31.140625" customWidth="1" style="794" min="16114" max="16114"/>
    <col width="14.7109375" customWidth="1" style="794" min="16115" max="16115"/>
    <col width="9.7109375" customWidth="1" style="794" min="16116" max="16116"/>
    <col width="16.140625" customWidth="1" style="794" min="16117" max="16117"/>
    <col width="14.28515625" customWidth="1" style="794" min="16118" max="16118"/>
    <col width="14.7109375" customWidth="1" style="794" min="16119" max="16119"/>
    <col width="9.7109375" customWidth="1" style="794" min="16120" max="16120"/>
    <col width="13.42578125" customWidth="1" style="794" min="16121" max="16121"/>
    <col width="14.85546875" customWidth="1" style="794" min="16122" max="16122"/>
  </cols>
  <sheetData>
    <row r="1" ht="15.75" customHeight="1" s="794">
      <c r="A1" s="28" t="n"/>
      <c r="B1" s="28" t="n"/>
      <c r="C1" s="28" t="n"/>
      <c r="D1" s="28" t="n"/>
      <c r="N1" s="289" t="inlineStr">
        <is>
          <t>Форма № 8 (8д)</t>
        </is>
      </c>
    </row>
    <row r="2" ht="37.5" customHeight="1" s="794">
      <c r="A2" s="28" t="n"/>
      <c r="B2" s="1159" t="inlineStr">
        <is>
          <t>Расчет-обоснование
норматива транспортно-заготовительных затрат</t>
        </is>
      </c>
    </row>
    <row r="3" ht="42.75" customHeight="1" s="794">
      <c r="B3" s="1160" t="inlineStr">
        <is>
          <t>ТЕМА</t>
        </is>
      </c>
      <c r="C3" s="1409" t="n"/>
      <c r="D3" s="1409" t="n"/>
      <c r="E3" s="1409" t="n"/>
      <c r="F3" s="1409" t="n"/>
      <c r="G3" s="1409" t="n"/>
      <c r="H3" s="1409" t="n"/>
      <c r="I3" s="1409" t="n"/>
      <c r="J3" s="1409" t="n"/>
      <c r="K3" s="1409" t="n"/>
      <c r="L3" s="1409" t="n"/>
      <c r="M3" s="1409" t="n"/>
      <c r="N3" s="522" t="n"/>
    </row>
    <row r="4" ht="15" customHeight="1" s="794">
      <c r="A4" s="35" t="n"/>
      <c r="B4" s="1162" t="inlineStr">
        <is>
          <t>(наименование, шифр товара, работы, услуги)</t>
        </is>
      </c>
    </row>
    <row r="5" ht="15" customHeight="1" s="794">
      <c r="A5" s="35" t="n"/>
      <c r="B5" s="35" t="n"/>
      <c r="C5" s="35" t="n"/>
      <c r="D5" s="35" t="n"/>
      <c r="E5" s="35" t="n"/>
      <c r="N5" s="37" t="inlineStr">
        <is>
          <t>(руб.)</t>
        </is>
      </c>
    </row>
    <row r="6" ht="33.75" customHeight="1" s="794">
      <c r="A6" s="1072" t="inlineStr">
        <is>
          <t>№ п/п</t>
        </is>
      </c>
      <c r="B6" s="1164" t="inlineStr">
        <is>
          <t>Вид транспортно-заготовительных затрат</t>
        </is>
      </c>
      <c r="C6" s="1164" t="inlineStr">
        <is>
          <t>Отчетный период / период, предшествующий планируемому (год ____)</t>
        </is>
      </c>
      <c r="D6" s="1412" t="n"/>
      <c r="E6" s="1412" t="n"/>
      <c r="F6" s="1410" t="n"/>
      <c r="G6" s="1164" t="inlineStr">
        <is>
          <t>Отчетный период / период, предшествующий планируемому (год ____)</t>
        </is>
      </c>
      <c r="H6" s="1412" t="n"/>
      <c r="I6" s="1412" t="n"/>
      <c r="J6" s="1410" t="n"/>
      <c r="K6" s="1165" t="inlineStr">
        <is>
          <t>Планируемый период (год ____)</t>
        </is>
      </c>
      <c r="L6" s="1412" t="n"/>
      <c r="M6" s="1412" t="n"/>
      <c r="N6" s="1410" t="n"/>
    </row>
    <row r="7" ht="27" customHeight="1" s="794">
      <c r="A7" s="1419" t="n"/>
      <c r="B7" s="1418" t="n"/>
      <c r="C7" s="1164" t="inlineStr">
        <is>
          <t>всего транспортно-заготовительных затрат3</t>
        </is>
      </c>
      <c r="D7" s="1164" t="inlineStr">
        <is>
          <t>из транспортно-заготовительных затрат на:</t>
        </is>
      </c>
      <c r="E7" s="1412" t="n"/>
      <c r="F7" s="1410" t="n"/>
      <c r="G7" s="1164" t="inlineStr">
        <is>
          <t>всего транспортно-заготовительных затрат</t>
        </is>
      </c>
      <c r="H7" s="1164" t="inlineStr">
        <is>
          <t>из транспортно-заготовительных затрат на:</t>
        </is>
      </c>
      <c r="I7" s="1412" t="n"/>
      <c r="J7" s="1410" t="n"/>
      <c r="K7" s="1164" t="inlineStr">
        <is>
          <t>всего транспортно-заготовительных затрат</t>
        </is>
      </c>
      <c r="L7" s="1164" t="inlineStr">
        <is>
          <t>из транспортно-заготовительных затрат на:</t>
        </is>
      </c>
      <c r="M7" s="1412" t="n"/>
      <c r="N7" s="1410" t="n"/>
    </row>
    <row r="8" ht="66.75" customHeight="1" s="794">
      <c r="A8" s="1414" t="n"/>
      <c r="B8" s="1413" t="n"/>
      <c r="C8" s="1413" t="n"/>
      <c r="D8" s="1164" t="inlineStr">
        <is>
          <t>сырье и материалы</t>
        </is>
      </c>
      <c r="E8" s="1164" t="inlineStr">
        <is>
          <t>покупные полуфабрикаты</t>
        </is>
      </c>
      <c r="F8" s="1164" t="inlineStr">
        <is>
          <t>покупные комплектующие изделия</t>
        </is>
      </c>
      <c r="G8" s="1413" t="n"/>
      <c r="H8" s="1164" t="inlineStr">
        <is>
          <t>сырье и материалы</t>
        </is>
      </c>
      <c r="I8" s="1164" t="inlineStr">
        <is>
          <t>покупные полуфабрикаты</t>
        </is>
      </c>
      <c r="J8" s="1164" t="inlineStr">
        <is>
          <t>покупные комплектующие изделия</t>
        </is>
      </c>
      <c r="K8" s="1413" t="n"/>
      <c r="L8" s="1164" t="inlineStr">
        <is>
          <t>сырье и материалы</t>
        </is>
      </c>
      <c r="M8" s="1164" t="inlineStr">
        <is>
          <t>покупные полуфабрикаты</t>
        </is>
      </c>
      <c r="N8" s="1164" t="inlineStr">
        <is>
          <t>покупные комплектующие изделия</t>
        </is>
      </c>
    </row>
    <row r="9" ht="12" customHeight="1" s="794">
      <c r="A9" s="25" t="n">
        <v>1</v>
      </c>
      <c r="B9" s="25" t="n">
        <v>2</v>
      </c>
      <c r="C9" s="25" t="n">
        <v>3</v>
      </c>
      <c r="D9" s="25" t="n">
        <v>4</v>
      </c>
      <c r="E9" s="38" t="n">
        <v>5</v>
      </c>
      <c r="F9" s="38" t="n">
        <v>6</v>
      </c>
      <c r="G9" s="38" t="n">
        <v>7</v>
      </c>
      <c r="H9" s="38" t="n">
        <v>8</v>
      </c>
      <c r="I9" s="38" t="n">
        <v>9</v>
      </c>
      <c r="J9" s="38" t="n">
        <v>10</v>
      </c>
      <c r="K9" s="38" t="n">
        <v>7</v>
      </c>
      <c r="L9" s="38" t="n">
        <v>8</v>
      </c>
      <c r="M9" s="38" t="n">
        <v>9</v>
      </c>
      <c r="N9" s="38" t="n">
        <v>10</v>
      </c>
    </row>
    <row r="10">
      <c r="A10" s="1062" t="inlineStr">
        <is>
          <t>1.</t>
        </is>
      </c>
      <c r="B10" s="517" t="inlineStr">
        <is>
          <t>-</t>
        </is>
      </c>
      <c r="C10" s="39" t="inlineStr">
        <is>
          <t>-</t>
        </is>
      </c>
      <c r="D10" s="39" t="inlineStr">
        <is>
          <t>-</t>
        </is>
      </c>
      <c r="E10" s="39" t="inlineStr">
        <is>
          <t>-</t>
        </is>
      </c>
      <c r="F10" s="39" t="inlineStr">
        <is>
          <t>-</t>
        </is>
      </c>
      <c r="G10" s="39" t="inlineStr">
        <is>
          <t>-</t>
        </is>
      </c>
      <c r="H10" s="39" t="inlineStr">
        <is>
          <t>-</t>
        </is>
      </c>
      <c r="I10" s="39" t="inlineStr">
        <is>
          <t>-</t>
        </is>
      </c>
      <c r="J10" s="39" t="inlineStr">
        <is>
          <t>-</t>
        </is>
      </c>
      <c r="K10" s="39" t="inlineStr">
        <is>
          <t>-</t>
        </is>
      </c>
      <c r="L10" s="39" t="inlineStr">
        <is>
          <t>-</t>
        </is>
      </c>
      <c r="M10" s="39" t="inlineStr">
        <is>
          <t>-</t>
        </is>
      </c>
      <c r="N10" s="39" t="inlineStr">
        <is>
          <t>-</t>
        </is>
      </c>
    </row>
    <row r="11" ht="15.75" customHeight="1" s="794" thickBot="1">
      <c r="A11" s="1083" t="n"/>
      <c r="B11" s="213" t="inlineStr">
        <is>
          <t>ИТОГО</t>
        </is>
      </c>
      <c r="C11" s="214" t="inlineStr">
        <is>
          <t>-</t>
        </is>
      </c>
      <c r="D11" s="214" t="inlineStr">
        <is>
          <t>-</t>
        </is>
      </c>
      <c r="E11" s="214" t="inlineStr">
        <is>
          <t>-</t>
        </is>
      </c>
      <c r="F11" s="214" t="inlineStr">
        <is>
          <t>-</t>
        </is>
      </c>
      <c r="G11" s="214" t="inlineStr">
        <is>
          <t>-</t>
        </is>
      </c>
      <c r="H11" s="214" t="inlineStr">
        <is>
          <t>-</t>
        </is>
      </c>
      <c r="I11" s="214" t="inlineStr">
        <is>
          <t>-</t>
        </is>
      </c>
      <c r="J11" s="214" t="inlineStr">
        <is>
          <t>-</t>
        </is>
      </c>
      <c r="K11" s="214" t="inlineStr">
        <is>
          <t>-</t>
        </is>
      </c>
      <c r="L11" s="214" t="inlineStr">
        <is>
          <t>-</t>
        </is>
      </c>
      <c r="M11" s="214" t="inlineStr">
        <is>
          <t>-</t>
        </is>
      </c>
      <c r="N11" s="214" t="inlineStr">
        <is>
          <t>-</t>
        </is>
      </c>
    </row>
    <row r="12" ht="20.25" customHeight="1" s="794">
      <c r="A12" s="215" t="n"/>
      <c r="B12" s="215" t="inlineStr">
        <is>
          <t>База распределения</t>
        </is>
      </c>
      <c r="C12" s="216" t="inlineStr">
        <is>
          <t>-</t>
        </is>
      </c>
      <c r="D12" s="216" t="inlineStr">
        <is>
          <t>-</t>
        </is>
      </c>
      <c r="E12" s="216" t="inlineStr">
        <is>
          <t>-</t>
        </is>
      </c>
      <c r="F12" s="216" t="inlineStr">
        <is>
          <t>-</t>
        </is>
      </c>
      <c r="G12" s="216" t="inlineStr">
        <is>
          <t>-</t>
        </is>
      </c>
      <c r="H12" s="216" t="inlineStr">
        <is>
          <t>-</t>
        </is>
      </c>
      <c r="I12" s="216" t="inlineStr">
        <is>
          <t>-</t>
        </is>
      </c>
      <c r="J12" s="216" t="inlineStr">
        <is>
          <t>-</t>
        </is>
      </c>
      <c r="K12" s="216" t="inlineStr">
        <is>
          <t>-</t>
        </is>
      </c>
      <c r="L12" s="216" t="inlineStr">
        <is>
          <t>-</t>
        </is>
      </c>
      <c r="M12" s="216" t="inlineStr">
        <is>
          <t>-</t>
        </is>
      </c>
      <c r="N12" s="216" t="inlineStr">
        <is>
          <t>-</t>
        </is>
      </c>
    </row>
    <row r="13" ht="26.25" customHeight="1" s="794">
      <c r="A13" s="40" t="n"/>
      <c r="B13" s="40" t="inlineStr">
        <is>
          <t>Отношение к базе распределения, %</t>
        </is>
      </c>
      <c r="C13" s="41" t="inlineStr">
        <is>
          <t>-</t>
        </is>
      </c>
      <c r="D13" s="41" t="inlineStr">
        <is>
          <t>-</t>
        </is>
      </c>
      <c r="E13" s="41" t="inlineStr">
        <is>
          <t>-</t>
        </is>
      </c>
      <c r="F13" s="41" t="inlineStr">
        <is>
          <t>-</t>
        </is>
      </c>
      <c r="G13" s="41" t="inlineStr">
        <is>
          <t>-</t>
        </is>
      </c>
      <c r="H13" s="41" t="inlineStr">
        <is>
          <t>-</t>
        </is>
      </c>
      <c r="I13" s="41" t="inlineStr">
        <is>
          <t>-</t>
        </is>
      </c>
      <c r="J13" s="41" t="inlineStr">
        <is>
          <t>-</t>
        </is>
      </c>
      <c r="K13" s="41" t="inlineStr">
        <is>
          <t>-</t>
        </is>
      </c>
      <c r="L13" s="41" t="inlineStr">
        <is>
          <t>-</t>
        </is>
      </c>
      <c r="M13" s="41" t="inlineStr">
        <is>
          <t>-</t>
        </is>
      </c>
      <c r="N13" s="41" t="inlineStr">
        <is>
          <t>-</t>
        </is>
      </c>
    </row>
    <row r="14" ht="12.75" customHeight="1" s="794">
      <c r="A14" s="217" t="n"/>
      <c r="B14" s="217" t="n"/>
      <c r="C14" s="219" t="n"/>
      <c r="D14" s="220" t="n"/>
      <c r="E14" s="218" t="n"/>
      <c r="F14" s="218" t="n"/>
    </row>
    <row r="15" ht="31.5" customFormat="1" customHeight="1" s="197">
      <c r="A15" s="523" t="n"/>
      <c r="B15" s="991" t="inlineStr">
        <is>
          <t>Начальник ОФЭиАУ НИОКР</t>
        </is>
      </c>
      <c r="H15" s="991" t="inlineStr">
        <is>
          <t>Руководитель договора</t>
        </is>
      </c>
    </row>
    <row r="16" ht="47.25" customFormat="1" customHeight="1" s="197">
      <c r="A16" s="523" t="n"/>
      <c r="B16" s="95" t="inlineStr">
        <is>
          <t>_____________________ Н.О. Васецкая</t>
        </is>
      </c>
      <c r="H16" s="837" t="inlineStr">
        <is>
          <t>_____________________ А.И. Боровков</t>
        </is>
      </c>
      <c r="I16" s="95" t="n"/>
      <c r="J16" s="95" t="n"/>
      <c r="K16" s="95" t="n"/>
    </row>
    <row r="17" ht="15.75" customHeight="1" s="794">
      <c r="A17" s="217" t="n"/>
      <c r="B17" s="63" t="inlineStr">
        <is>
          <t xml:space="preserve">  (подпись)                                     (Ф.И.О.)</t>
        </is>
      </c>
      <c r="H17" s="63" t="inlineStr">
        <is>
          <t xml:space="preserve">  (подпись)                                        (Ф.И.О.)</t>
        </is>
      </c>
      <c r="I17" s="190" t="n"/>
      <c r="J17" s="190" t="n"/>
      <c r="K17" s="190" t="n"/>
    </row>
    <row r="18" ht="21.75" customFormat="1" customHeight="1" s="197">
      <c r="A18" s="523" t="n"/>
      <c r="B18" s="107" t="inlineStr">
        <is>
          <t>«____» __________________ 2025 г.</t>
        </is>
      </c>
      <c r="H18" s="107" t="inlineStr">
        <is>
          <t>«____» __________________ 2025 г.</t>
        </is>
      </c>
      <c r="I18" s="95" t="n"/>
      <c r="J18" s="95" t="n"/>
      <c r="K18" s="95" t="n"/>
    </row>
    <row r="19" ht="12" customHeight="1" s="794">
      <c r="A19" s="217" t="n"/>
      <c r="B19" s="217" t="n"/>
      <c r="C19" s="218" t="n"/>
      <c r="D19" s="218" t="n"/>
      <c r="E19" s="218" t="n"/>
      <c r="H19" s="218" t="n"/>
    </row>
    <row r="20" ht="15" customHeight="1" s="794">
      <c r="A20" s="952" t="n"/>
    </row>
    <row r="21" ht="27" customHeight="1" s="794">
      <c r="A21" s="22" t="n"/>
      <c r="B21" s="22" t="n"/>
      <c r="H21" s="991" t="inlineStr">
        <is>
          <t>Ответственный исполнитель</t>
        </is>
      </c>
    </row>
    <row r="22" ht="48.75" customHeight="1" s="794">
      <c r="H22" s="837" t="inlineStr">
        <is>
          <t>_____________________ И.Б. Войнов</t>
        </is>
      </c>
      <c r="I22" s="95" t="n"/>
      <c r="J22" s="95" t="n"/>
      <c r="K22" s="95" t="n"/>
      <c r="L22" s="197" t="n"/>
      <c r="M22" s="197" t="n"/>
      <c r="N22" s="197" t="n"/>
    </row>
    <row r="23" ht="16.5" customHeight="1" s="794">
      <c r="H23" s="63" t="inlineStr">
        <is>
          <t xml:space="preserve">  (подпись)                                        (Ф.И.О.)</t>
        </is>
      </c>
      <c r="I23" s="190" t="n"/>
      <c r="J23" s="190" t="n"/>
      <c r="K23" s="190" t="n"/>
    </row>
    <row r="24" ht="20.25" customHeight="1" s="794">
      <c r="H24" s="107" t="inlineStr">
        <is>
          <t>«____» __________________ 2025 г.</t>
        </is>
      </c>
      <c r="I24" s="95" t="n"/>
      <c r="J24" s="95" t="n"/>
      <c r="K24" s="95" t="n"/>
      <c r="L24" s="197" t="n"/>
      <c r="M24" s="197" t="n"/>
      <c r="N24" s="197" t="n"/>
    </row>
    <row r="25" ht="15" customHeight="1" s="794"/>
    <row r="26">
      <c r="A26" s="22" t="n"/>
    </row>
    <row r="27">
      <c r="A27" s="479" t="n"/>
    </row>
    <row r="28" ht="12.75" customHeight="1" s="794">
      <c r="A28" s="481" t="n"/>
    </row>
    <row r="29" ht="25.5" customHeight="1" s="794">
      <c r="A29" s="28" t="n"/>
    </row>
    <row r="30" ht="18" customHeight="1" s="794">
      <c r="A30" s="28" t="n"/>
    </row>
    <row r="31">
      <c r="A31" s="28" t="n"/>
    </row>
    <row r="32">
      <c r="A32" s="28" t="n"/>
      <c r="B32" s="28" t="n"/>
      <c r="C32" s="28" t="n"/>
      <c r="D32" s="28" t="n"/>
      <c r="E32" s="28" t="n"/>
      <c r="F32" s="28" t="n"/>
    </row>
    <row r="33">
      <c r="A33" s="28" t="n"/>
      <c r="B33" s="28" t="n"/>
      <c r="C33" s="28" t="n"/>
      <c r="D33" s="28" t="n"/>
      <c r="E33" s="28" t="n"/>
      <c r="F33" s="28" t="n"/>
    </row>
    <row r="55" ht="222" customHeight="1" s="794"/>
  </sheetData>
  <mergeCells count="18">
    <mergeCell ref="G6:J6"/>
    <mergeCell ref="A20:B20"/>
    <mergeCell ref="B2:M2"/>
    <mergeCell ref="K6:N6"/>
    <mergeCell ref="B4:M4"/>
    <mergeCell ref="B15:C15"/>
    <mergeCell ref="B3:M3"/>
    <mergeCell ref="C6:F6"/>
    <mergeCell ref="C7:C8"/>
    <mergeCell ref="G7:G8"/>
    <mergeCell ref="H21:N21"/>
    <mergeCell ref="K7:K8"/>
    <mergeCell ref="H7:J7"/>
    <mergeCell ref="D7:F7"/>
    <mergeCell ref="H15:K15"/>
    <mergeCell ref="A6:A8"/>
    <mergeCell ref="B6:B8"/>
    <mergeCell ref="L7:N7"/>
  </mergeCells>
  <printOptions horizontalCentered="1"/>
  <pageMargins left="0.25" right="0.25" top="0.75" bottom="0.75" header="0.3" footer="0.3"/>
  <pageSetup orientation="landscape" paperSize="8"/>
</worksheet>
</file>

<file path=xl/worksheets/sheet20.xml><?xml version="1.0" encoding="utf-8"?>
<worksheet xmlns="http://schemas.openxmlformats.org/spreadsheetml/2006/main">
  <sheetPr>
    <tabColor theme="4" tint="0.7999816888943144"/>
    <outlinePr summaryBelow="1" summaryRight="1"/>
    <pageSetUpPr fitToPage="1"/>
  </sheetPr>
  <dimension ref="A1:U36"/>
  <sheetViews>
    <sheetView view="pageBreakPreview" zoomScale="70" zoomScaleNormal="100" zoomScaleSheetLayoutView="70" workbookViewId="0">
      <selection activeCell="B5" sqref="B5:L5"/>
    </sheetView>
  </sheetViews>
  <sheetFormatPr baseColWidth="8" defaultRowHeight="15"/>
  <cols>
    <col width="4.7109375" customWidth="1" style="28" min="1" max="1"/>
    <col width="40.7109375" customWidth="1" style="28" min="2" max="2"/>
    <col width="11.85546875" customWidth="1" style="28" min="3" max="3"/>
    <col width="19.42578125" customWidth="1" style="28" min="4" max="4"/>
    <col width="9.42578125" customWidth="1" style="28" min="5" max="5"/>
    <col width="19.5703125" customWidth="1" style="28" min="6" max="6"/>
    <col width="9.5703125" customWidth="1" style="28" min="7" max="7"/>
    <col width="19.5703125" customWidth="1" style="28" min="8" max="8"/>
    <col width="13" customWidth="1" style="28" min="9" max="9"/>
    <col width="19.5703125" customWidth="1" style="28" min="10" max="10"/>
    <col width="9.42578125" customWidth="1" style="28" min="11" max="11"/>
    <col width="17.28515625" customWidth="1" style="794" min="13" max="13"/>
    <col width="4.7109375" customWidth="1" style="794" min="248" max="248"/>
    <col width="40.7109375" customWidth="1" style="794" min="249" max="249"/>
    <col width="13.42578125" customWidth="1" style="794" min="250" max="250"/>
    <col width="19.42578125" customWidth="1" style="794" min="251" max="251"/>
    <col width="12.85546875" customWidth="1" style="794" min="252" max="252"/>
    <col width="19.5703125" customWidth="1" style="794" min="253" max="253"/>
    <col width="10" customWidth="1" style="794" min="254" max="254"/>
    <col width="12.28515625" customWidth="1" style="794" min="255" max="255"/>
    <col width="19.42578125" customWidth="1" style="794" min="256" max="256"/>
    <col width="10.140625" customWidth="1" style="794" min="257" max="257"/>
    <col width="16.42578125" customWidth="1" style="794" min="258" max="258"/>
    <col width="20.42578125" customWidth="1" style="794" min="259" max="259"/>
    <col width="4.7109375" customWidth="1" style="794" min="504" max="504"/>
    <col width="40.7109375" customWidth="1" style="794" min="505" max="505"/>
    <col width="13.42578125" customWidth="1" style="794" min="506" max="506"/>
    <col width="19.42578125" customWidth="1" style="794" min="507" max="507"/>
    <col width="12.85546875" customWidth="1" style="794" min="508" max="508"/>
    <col width="19.5703125" customWidth="1" style="794" min="509" max="509"/>
    <col width="10" customWidth="1" style="794" min="510" max="510"/>
    <col width="12.28515625" customWidth="1" style="794" min="511" max="511"/>
    <col width="19.42578125" customWidth="1" style="794" min="512" max="512"/>
    <col width="10.140625" customWidth="1" style="794" min="513" max="513"/>
    <col width="16.42578125" customWidth="1" style="794" min="514" max="514"/>
    <col width="20.42578125" customWidth="1" style="794" min="515" max="515"/>
    <col width="4.7109375" customWidth="1" style="794" min="760" max="760"/>
    <col width="40.7109375" customWidth="1" style="794" min="761" max="761"/>
    <col width="13.42578125" customWidth="1" style="794" min="762" max="762"/>
    <col width="19.42578125" customWidth="1" style="794" min="763" max="763"/>
    <col width="12.85546875" customWidth="1" style="794" min="764" max="764"/>
    <col width="19.5703125" customWidth="1" style="794" min="765" max="765"/>
    <col width="10" customWidth="1" style="794" min="766" max="766"/>
    <col width="12.28515625" customWidth="1" style="794" min="767" max="767"/>
    <col width="19.42578125" customWidth="1" style="794" min="768" max="768"/>
    <col width="10.140625" customWidth="1" style="794" min="769" max="769"/>
    <col width="16.42578125" customWidth="1" style="794" min="770" max="770"/>
    <col width="20.42578125" customWidth="1" style="794" min="771" max="771"/>
    <col width="4.7109375" customWidth="1" style="794" min="1016" max="1016"/>
    <col width="40.7109375" customWidth="1" style="794" min="1017" max="1017"/>
    <col width="13.42578125" customWidth="1" style="794" min="1018" max="1018"/>
    <col width="19.42578125" customWidth="1" style="794" min="1019" max="1019"/>
    <col width="12.85546875" customWidth="1" style="794" min="1020" max="1020"/>
    <col width="19.5703125" customWidth="1" style="794" min="1021" max="1021"/>
    <col width="10" customWidth="1" style="794" min="1022" max="1022"/>
    <col width="12.28515625" customWidth="1" style="794" min="1023" max="1023"/>
    <col width="19.42578125" customWidth="1" style="794" min="1024" max="1024"/>
    <col width="10.140625" customWidth="1" style="794" min="1025" max="1025"/>
    <col width="16.42578125" customWidth="1" style="794" min="1026" max="1026"/>
    <col width="20.42578125" customWidth="1" style="794" min="1027" max="1027"/>
    <col width="4.7109375" customWidth="1" style="794" min="1272" max="1272"/>
    <col width="40.7109375" customWidth="1" style="794" min="1273" max="1273"/>
    <col width="13.42578125" customWidth="1" style="794" min="1274" max="1274"/>
    <col width="19.42578125" customWidth="1" style="794" min="1275" max="1275"/>
    <col width="12.85546875" customWidth="1" style="794" min="1276" max="1276"/>
    <col width="19.5703125" customWidth="1" style="794" min="1277" max="1277"/>
    <col width="10" customWidth="1" style="794" min="1278" max="1278"/>
    <col width="12.28515625" customWidth="1" style="794" min="1279" max="1279"/>
    <col width="19.42578125" customWidth="1" style="794" min="1280" max="1280"/>
    <col width="10.140625" customWidth="1" style="794" min="1281" max="1281"/>
    <col width="16.42578125" customWidth="1" style="794" min="1282" max="1282"/>
    <col width="20.42578125" customWidth="1" style="794" min="1283" max="1283"/>
    <col width="4.7109375" customWidth="1" style="794" min="1528" max="1528"/>
    <col width="40.7109375" customWidth="1" style="794" min="1529" max="1529"/>
    <col width="13.42578125" customWidth="1" style="794" min="1530" max="1530"/>
    <col width="19.42578125" customWidth="1" style="794" min="1531" max="1531"/>
    <col width="12.85546875" customWidth="1" style="794" min="1532" max="1532"/>
    <col width="19.5703125" customWidth="1" style="794" min="1533" max="1533"/>
    <col width="10" customWidth="1" style="794" min="1534" max="1534"/>
    <col width="12.28515625" customWidth="1" style="794" min="1535" max="1535"/>
    <col width="19.42578125" customWidth="1" style="794" min="1536" max="1536"/>
    <col width="10.140625" customWidth="1" style="794" min="1537" max="1537"/>
    <col width="16.42578125" customWidth="1" style="794" min="1538" max="1538"/>
    <col width="20.42578125" customWidth="1" style="794" min="1539" max="1539"/>
    <col width="4.7109375" customWidth="1" style="794" min="1784" max="1784"/>
    <col width="40.7109375" customWidth="1" style="794" min="1785" max="1785"/>
    <col width="13.42578125" customWidth="1" style="794" min="1786" max="1786"/>
    <col width="19.42578125" customWidth="1" style="794" min="1787" max="1787"/>
    <col width="12.85546875" customWidth="1" style="794" min="1788" max="1788"/>
    <col width="19.5703125" customWidth="1" style="794" min="1789" max="1789"/>
    <col width="10" customWidth="1" style="794" min="1790" max="1790"/>
    <col width="12.28515625" customWidth="1" style="794" min="1791" max="1791"/>
    <col width="19.42578125" customWidth="1" style="794" min="1792" max="1792"/>
    <col width="10.140625" customWidth="1" style="794" min="1793" max="1793"/>
    <col width="16.42578125" customWidth="1" style="794" min="1794" max="1794"/>
    <col width="20.42578125" customWidth="1" style="794" min="1795" max="1795"/>
    <col width="4.7109375" customWidth="1" style="794" min="2040" max="2040"/>
    <col width="40.7109375" customWidth="1" style="794" min="2041" max="2041"/>
    <col width="13.42578125" customWidth="1" style="794" min="2042" max="2042"/>
    <col width="19.42578125" customWidth="1" style="794" min="2043" max="2043"/>
    <col width="12.85546875" customWidth="1" style="794" min="2044" max="2044"/>
    <col width="19.5703125" customWidth="1" style="794" min="2045" max="2045"/>
    <col width="10" customWidth="1" style="794" min="2046" max="2046"/>
    <col width="12.28515625" customWidth="1" style="794" min="2047" max="2047"/>
    <col width="19.42578125" customWidth="1" style="794" min="2048" max="2048"/>
    <col width="10.140625" customWidth="1" style="794" min="2049" max="2049"/>
    <col width="16.42578125" customWidth="1" style="794" min="2050" max="2050"/>
    <col width="20.42578125" customWidth="1" style="794" min="2051" max="2051"/>
    <col width="4.7109375" customWidth="1" style="794" min="2296" max="2296"/>
    <col width="40.7109375" customWidth="1" style="794" min="2297" max="2297"/>
    <col width="13.42578125" customWidth="1" style="794" min="2298" max="2298"/>
    <col width="19.42578125" customWidth="1" style="794" min="2299" max="2299"/>
    <col width="12.85546875" customWidth="1" style="794" min="2300" max="2300"/>
    <col width="19.5703125" customWidth="1" style="794" min="2301" max="2301"/>
    <col width="10" customWidth="1" style="794" min="2302" max="2302"/>
    <col width="12.28515625" customWidth="1" style="794" min="2303" max="2303"/>
    <col width="19.42578125" customWidth="1" style="794" min="2304" max="2304"/>
    <col width="10.140625" customWidth="1" style="794" min="2305" max="2305"/>
    <col width="16.42578125" customWidth="1" style="794" min="2306" max="2306"/>
    <col width="20.42578125" customWidth="1" style="794" min="2307" max="2307"/>
    <col width="4.7109375" customWidth="1" style="794" min="2552" max="2552"/>
    <col width="40.7109375" customWidth="1" style="794" min="2553" max="2553"/>
    <col width="13.42578125" customWidth="1" style="794" min="2554" max="2554"/>
    <col width="19.42578125" customWidth="1" style="794" min="2555" max="2555"/>
    <col width="12.85546875" customWidth="1" style="794" min="2556" max="2556"/>
    <col width="19.5703125" customWidth="1" style="794" min="2557" max="2557"/>
    <col width="10" customWidth="1" style="794" min="2558" max="2558"/>
    <col width="12.28515625" customWidth="1" style="794" min="2559" max="2559"/>
    <col width="19.42578125" customWidth="1" style="794" min="2560" max="2560"/>
    <col width="10.140625" customWidth="1" style="794" min="2561" max="2561"/>
    <col width="16.42578125" customWidth="1" style="794" min="2562" max="2562"/>
    <col width="20.42578125" customWidth="1" style="794" min="2563" max="2563"/>
    <col width="4.7109375" customWidth="1" style="794" min="2808" max="2808"/>
    <col width="40.7109375" customWidth="1" style="794" min="2809" max="2809"/>
    <col width="13.42578125" customWidth="1" style="794" min="2810" max="2810"/>
    <col width="19.42578125" customWidth="1" style="794" min="2811" max="2811"/>
    <col width="12.85546875" customWidth="1" style="794" min="2812" max="2812"/>
    <col width="19.5703125" customWidth="1" style="794" min="2813" max="2813"/>
    <col width="10" customWidth="1" style="794" min="2814" max="2814"/>
    <col width="12.28515625" customWidth="1" style="794" min="2815" max="2815"/>
    <col width="19.42578125" customWidth="1" style="794" min="2816" max="2816"/>
    <col width="10.140625" customWidth="1" style="794" min="2817" max="2817"/>
    <col width="16.42578125" customWidth="1" style="794" min="2818" max="2818"/>
    <col width="20.42578125" customWidth="1" style="794" min="2819" max="2819"/>
    <col width="4.7109375" customWidth="1" style="794" min="3064" max="3064"/>
    <col width="40.7109375" customWidth="1" style="794" min="3065" max="3065"/>
    <col width="13.42578125" customWidth="1" style="794" min="3066" max="3066"/>
    <col width="19.42578125" customWidth="1" style="794" min="3067" max="3067"/>
    <col width="12.85546875" customWidth="1" style="794" min="3068" max="3068"/>
    <col width="19.5703125" customWidth="1" style="794" min="3069" max="3069"/>
    <col width="10" customWidth="1" style="794" min="3070" max="3070"/>
    <col width="12.28515625" customWidth="1" style="794" min="3071" max="3071"/>
    <col width="19.42578125" customWidth="1" style="794" min="3072" max="3072"/>
    <col width="10.140625" customWidth="1" style="794" min="3073" max="3073"/>
    <col width="16.42578125" customWidth="1" style="794" min="3074" max="3074"/>
    <col width="20.42578125" customWidth="1" style="794" min="3075" max="3075"/>
    <col width="4.7109375" customWidth="1" style="794" min="3320" max="3320"/>
    <col width="40.7109375" customWidth="1" style="794" min="3321" max="3321"/>
    <col width="13.42578125" customWidth="1" style="794" min="3322" max="3322"/>
    <col width="19.42578125" customWidth="1" style="794" min="3323" max="3323"/>
    <col width="12.85546875" customWidth="1" style="794" min="3324" max="3324"/>
    <col width="19.5703125" customWidth="1" style="794" min="3325" max="3325"/>
    <col width="10" customWidth="1" style="794" min="3326" max="3326"/>
    <col width="12.28515625" customWidth="1" style="794" min="3327" max="3327"/>
    <col width="19.42578125" customWidth="1" style="794" min="3328" max="3328"/>
    <col width="10.140625" customWidth="1" style="794" min="3329" max="3329"/>
    <col width="16.42578125" customWidth="1" style="794" min="3330" max="3330"/>
    <col width="20.42578125" customWidth="1" style="794" min="3331" max="3331"/>
    <col width="4.7109375" customWidth="1" style="794" min="3576" max="3576"/>
    <col width="40.7109375" customWidth="1" style="794" min="3577" max="3577"/>
    <col width="13.42578125" customWidth="1" style="794" min="3578" max="3578"/>
    <col width="19.42578125" customWidth="1" style="794" min="3579" max="3579"/>
    <col width="12.85546875" customWidth="1" style="794" min="3580" max="3580"/>
    <col width="19.5703125" customWidth="1" style="794" min="3581" max="3581"/>
    <col width="10" customWidth="1" style="794" min="3582" max="3582"/>
    <col width="12.28515625" customWidth="1" style="794" min="3583" max="3583"/>
    <col width="19.42578125" customWidth="1" style="794" min="3584" max="3584"/>
    <col width="10.140625" customWidth="1" style="794" min="3585" max="3585"/>
    <col width="16.42578125" customWidth="1" style="794" min="3586" max="3586"/>
    <col width="20.42578125" customWidth="1" style="794" min="3587" max="3587"/>
    <col width="4.7109375" customWidth="1" style="794" min="3832" max="3832"/>
    <col width="40.7109375" customWidth="1" style="794" min="3833" max="3833"/>
    <col width="13.42578125" customWidth="1" style="794" min="3834" max="3834"/>
    <col width="19.42578125" customWidth="1" style="794" min="3835" max="3835"/>
    <col width="12.85546875" customWidth="1" style="794" min="3836" max="3836"/>
    <col width="19.5703125" customWidth="1" style="794" min="3837" max="3837"/>
    <col width="10" customWidth="1" style="794" min="3838" max="3838"/>
    <col width="12.28515625" customWidth="1" style="794" min="3839" max="3839"/>
    <col width="19.42578125" customWidth="1" style="794" min="3840" max="3840"/>
    <col width="10.140625" customWidth="1" style="794" min="3841" max="3841"/>
    <col width="16.42578125" customWidth="1" style="794" min="3842" max="3842"/>
    <col width="20.42578125" customWidth="1" style="794" min="3843" max="3843"/>
    <col width="4.7109375" customWidth="1" style="794" min="4088" max="4088"/>
    <col width="40.7109375" customWidth="1" style="794" min="4089" max="4089"/>
    <col width="13.42578125" customWidth="1" style="794" min="4090" max="4090"/>
    <col width="19.42578125" customWidth="1" style="794" min="4091" max="4091"/>
    <col width="12.85546875" customWidth="1" style="794" min="4092" max="4092"/>
    <col width="19.5703125" customWidth="1" style="794" min="4093" max="4093"/>
    <col width="10" customWidth="1" style="794" min="4094" max="4094"/>
    <col width="12.28515625" customWidth="1" style="794" min="4095" max="4095"/>
    <col width="19.42578125" customWidth="1" style="794" min="4096" max="4096"/>
    <col width="10.140625" customWidth="1" style="794" min="4097" max="4097"/>
    <col width="16.42578125" customWidth="1" style="794" min="4098" max="4098"/>
    <col width="20.42578125" customWidth="1" style="794" min="4099" max="4099"/>
    <col width="4.7109375" customWidth="1" style="794" min="4344" max="4344"/>
    <col width="40.7109375" customWidth="1" style="794" min="4345" max="4345"/>
    <col width="13.42578125" customWidth="1" style="794" min="4346" max="4346"/>
    <col width="19.42578125" customWidth="1" style="794" min="4347" max="4347"/>
    <col width="12.85546875" customWidth="1" style="794" min="4348" max="4348"/>
    <col width="19.5703125" customWidth="1" style="794" min="4349" max="4349"/>
    <col width="10" customWidth="1" style="794" min="4350" max="4350"/>
    <col width="12.28515625" customWidth="1" style="794" min="4351" max="4351"/>
    <col width="19.42578125" customWidth="1" style="794" min="4352" max="4352"/>
    <col width="10.140625" customWidth="1" style="794" min="4353" max="4353"/>
    <col width="16.42578125" customWidth="1" style="794" min="4354" max="4354"/>
    <col width="20.42578125" customWidth="1" style="794" min="4355" max="4355"/>
    <col width="4.7109375" customWidth="1" style="794" min="4600" max="4600"/>
    <col width="40.7109375" customWidth="1" style="794" min="4601" max="4601"/>
    <col width="13.42578125" customWidth="1" style="794" min="4602" max="4602"/>
    <col width="19.42578125" customWidth="1" style="794" min="4603" max="4603"/>
    <col width="12.85546875" customWidth="1" style="794" min="4604" max="4604"/>
    <col width="19.5703125" customWidth="1" style="794" min="4605" max="4605"/>
    <col width="10" customWidth="1" style="794" min="4606" max="4606"/>
    <col width="12.28515625" customWidth="1" style="794" min="4607" max="4607"/>
    <col width="19.42578125" customWidth="1" style="794" min="4608" max="4608"/>
    <col width="10.140625" customWidth="1" style="794" min="4609" max="4609"/>
    <col width="16.42578125" customWidth="1" style="794" min="4610" max="4610"/>
    <col width="20.42578125" customWidth="1" style="794" min="4611" max="4611"/>
    <col width="4.7109375" customWidth="1" style="794" min="4856" max="4856"/>
    <col width="40.7109375" customWidth="1" style="794" min="4857" max="4857"/>
    <col width="13.42578125" customWidth="1" style="794" min="4858" max="4858"/>
    <col width="19.42578125" customWidth="1" style="794" min="4859" max="4859"/>
    <col width="12.85546875" customWidth="1" style="794" min="4860" max="4860"/>
    <col width="19.5703125" customWidth="1" style="794" min="4861" max="4861"/>
    <col width="10" customWidth="1" style="794" min="4862" max="4862"/>
    <col width="12.28515625" customWidth="1" style="794" min="4863" max="4863"/>
    <col width="19.42578125" customWidth="1" style="794" min="4864" max="4864"/>
    <col width="10.140625" customWidth="1" style="794" min="4865" max="4865"/>
    <col width="16.42578125" customWidth="1" style="794" min="4866" max="4866"/>
    <col width="20.42578125" customWidth="1" style="794" min="4867" max="4867"/>
    <col width="4.7109375" customWidth="1" style="794" min="5112" max="5112"/>
    <col width="40.7109375" customWidth="1" style="794" min="5113" max="5113"/>
    <col width="13.42578125" customWidth="1" style="794" min="5114" max="5114"/>
    <col width="19.42578125" customWidth="1" style="794" min="5115" max="5115"/>
    <col width="12.85546875" customWidth="1" style="794" min="5116" max="5116"/>
    <col width="19.5703125" customWidth="1" style="794" min="5117" max="5117"/>
    <col width="10" customWidth="1" style="794" min="5118" max="5118"/>
    <col width="12.28515625" customWidth="1" style="794" min="5119" max="5119"/>
    <col width="19.42578125" customWidth="1" style="794" min="5120" max="5120"/>
    <col width="10.140625" customWidth="1" style="794" min="5121" max="5121"/>
    <col width="16.42578125" customWidth="1" style="794" min="5122" max="5122"/>
    <col width="20.42578125" customWidth="1" style="794" min="5123" max="5123"/>
    <col width="4.7109375" customWidth="1" style="794" min="5368" max="5368"/>
    <col width="40.7109375" customWidth="1" style="794" min="5369" max="5369"/>
    <col width="13.42578125" customWidth="1" style="794" min="5370" max="5370"/>
    <col width="19.42578125" customWidth="1" style="794" min="5371" max="5371"/>
    <col width="12.85546875" customWidth="1" style="794" min="5372" max="5372"/>
    <col width="19.5703125" customWidth="1" style="794" min="5373" max="5373"/>
    <col width="10" customWidth="1" style="794" min="5374" max="5374"/>
    <col width="12.28515625" customWidth="1" style="794" min="5375" max="5375"/>
    <col width="19.42578125" customWidth="1" style="794" min="5376" max="5376"/>
    <col width="10.140625" customWidth="1" style="794" min="5377" max="5377"/>
    <col width="16.42578125" customWidth="1" style="794" min="5378" max="5378"/>
    <col width="20.42578125" customWidth="1" style="794" min="5379" max="5379"/>
    <col width="4.7109375" customWidth="1" style="794" min="5624" max="5624"/>
    <col width="40.7109375" customWidth="1" style="794" min="5625" max="5625"/>
    <col width="13.42578125" customWidth="1" style="794" min="5626" max="5626"/>
    <col width="19.42578125" customWidth="1" style="794" min="5627" max="5627"/>
    <col width="12.85546875" customWidth="1" style="794" min="5628" max="5628"/>
    <col width="19.5703125" customWidth="1" style="794" min="5629" max="5629"/>
    <col width="10" customWidth="1" style="794" min="5630" max="5630"/>
    <col width="12.28515625" customWidth="1" style="794" min="5631" max="5631"/>
    <col width="19.42578125" customWidth="1" style="794" min="5632" max="5632"/>
    <col width="10.140625" customWidth="1" style="794" min="5633" max="5633"/>
    <col width="16.42578125" customWidth="1" style="794" min="5634" max="5634"/>
    <col width="20.42578125" customWidth="1" style="794" min="5635" max="5635"/>
    <col width="4.7109375" customWidth="1" style="794" min="5880" max="5880"/>
    <col width="40.7109375" customWidth="1" style="794" min="5881" max="5881"/>
    <col width="13.42578125" customWidth="1" style="794" min="5882" max="5882"/>
    <col width="19.42578125" customWidth="1" style="794" min="5883" max="5883"/>
    <col width="12.85546875" customWidth="1" style="794" min="5884" max="5884"/>
    <col width="19.5703125" customWidth="1" style="794" min="5885" max="5885"/>
    <col width="10" customWidth="1" style="794" min="5886" max="5886"/>
    <col width="12.28515625" customWidth="1" style="794" min="5887" max="5887"/>
    <col width="19.42578125" customWidth="1" style="794" min="5888" max="5888"/>
    <col width="10.140625" customWidth="1" style="794" min="5889" max="5889"/>
    <col width="16.42578125" customWidth="1" style="794" min="5890" max="5890"/>
    <col width="20.42578125" customWidth="1" style="794" min="5891" max="5891"/>
    <col width="4.7109375" customWidth="1" style="794" min="6136" max="6136"/>
    <col width="40.7109375" customWidth="1" style="794" min="6137" max="6137"/>
    <col width="13.42578125" customWidth="1" style="794" min="6138" max="6138"/>
    <col width="19.42578125" customWidth="1" style="794" min="6139" max="6139"/>
    <col width="12.85546875" customWidth="1" style="794" min="6140" max="6140"/>
    <col width="19.5703125" customWidth="1" style="794" min="6141" max="6141"/>
    <col width="10" customWidth="1" style="794" min="6142" max="6142"/>
    <col width="12.28515625" customWidth="1" style="794" min="6143" max="6143"/>
    <col width="19.42578125" customWidth="1" style="794" min="6144" max="6144"/>
    <col width="10.140625" customWidth="1" style="794" min="6145" max="6145"/>
    <col width="16.42578125" customWidth="1" style="794" min="6146" max="6146"/>
    <col width="20.42578125" customWidth="1" style="794" min="6147" max="6147"/>
    <col width="4.7109375" customWidth="1" style="794" min="6392" max="6392"/>
    <col width="40.7109375" customWidth="1" style="794" min="6393" max="6393"/>
    <col width="13.42578125" customWidth="1" style="794" min="6394" max="6394"/>
    <col width="19.42578125" customWidth="1" style="794" min="6395" max="6395"/>
    <col width="12.85546875" customWidth="1" style="794" min="6396" max="6396"/>
    <col width="19.5703125" customWidth="1" style="794" min="6397" max="6397"/>
    <col width="10" customWidth="1" style="794" min="6398" max="6398"/>
    <col width="12.28515625" customWidth="1" style="794" min="6399" max="6399"/>
    <col width="19.42578125" customWidth="1" style="794" min="6400" max="6400"/>
    <col width="10.140625" customWidth="1" style="794" min="6401" max="6401"/>
    <col width="16.42578125" customWidth="1" style="794" min="6402" max="6402"/>
    <col width="20.42578125" customWidth="1" style="794" min="6403" max="6403"/>
    <col width="4.7109375" customWidth="1" style="794" min="6648" max="6648"/>
    <col width="40.7109375" customWidth="1" style="794" min="6649" max="6649"/>
    <col width="13.42578125" customWidth="1" style="794" min="6650" max="6650"/>
    <col width="19.42578125" customWidth="1" style="794" min="6651" max="6651"/>
    <col width="12.85546875" customWidth="1" style="794" min="6652" max="6652"/>
    <col width="19.5703125" customWidth="1" style="794" min="6653" max="6653"/>
    <col width="10" customWidth="1" style="794" min="6654" max="6654"/>
    <col width="12.28515625" customWidth="1" style="794" min="6655" max="6655"/>
    <col width="19.42578125" customWidth="1" style="794" min="6656" max="6656"/>
    <col width="10.140625" customWidth="1" style="794" min="6657" max="6657"/>
    <col width="16.42578125" customWidth="1" style="794" min="6658" max="6658"/>
    <col width="20.42578125" customWidth="1" style="794" min="6659" max="6659"/>
    <col width="4.7109375" customWidth="1" style="794" min="6904" max="6904"/>
    <col width="40.7109375" customWidth="1" style="794" min="6905" max="6905"/>
    <col width="13.42578125" customWidth="1" style="794" min="6906" max="6906"/>
    <col width="19.42578125" customWidth="1" style="794" min="6907" max="6907"/>
    <col width="12.85546875" customWidth="1" style="794" min="6908" max="6908"/>
    <col width="19.5703125" customWidth="1" style="794" min="6909" max="6909"/>
    <col width="10" customWidth="1" style="794" min="6910" max="6910"/>
    <col width="12.28515625" customWidth="1" style="794" min="6911" max="6911"/>
    <col width="19.42578125" customWidth="1" style="794" min="6912" max="6912"/>
    <col width="10.140625" customWidth="1" style="794" min="6913" max="6913"/>
    <col width="16.42578125" customWidth="1" style="794" min="6914" max="6914"/>
    <col width="20.42578125" customWidth="1" style="794" min="6915" max="6915"/>
    <col width="4.7109375" customWidth="1" style="794" min="7160" max="7160"/>
    <col width="40.7109375" customWidth="1" style="794" min="7161" max="7161"/>
    <col width="13.42578125" customWidth="1" style="794" min="7162" max="7162"/>
    <col width="19.42578125" customWidth="1" style="794" min="7163" max="7163"/>
    <col width="12.85546875" customWidth="1" style="794" min="7164" max="7164"/>
    <col width="19.5703125" customWidth="1" style="794" min="7165" max="7165"/>
    <col width="10" customWidth="1" style="794" min="7166" max="7166"/>
    <col width="12.28515625" customWidth="1" style="794" min="7167" max="7167"/>
    <col width="19.42578125" customWidth="1" style="794" min="7168" max="7168"/>
    <col width="10.140625" customWidth="1" style="794" min="7169" max="7169"/>
    <col width="16.42578125" customWidth="1" style="794" min="7170" max="7170"/>
    <col width="20.42578125" customWidth="1" style="794" min="7171" max="7171"/>
    <col width="4.7109375" customWidth="1" style="794" min="7416" max="7416"/>
    <col width="40.7109375" customWidth="1" style="794" min="7417" max="7417"/>
    <col width="13.42578125" customWidth="1" style="794" min="7418" max="7418"/>
    <col width="19.42578125" customWidth="1" style="794" min="7419" max="7419"/>
    <col width="12.85546875" customWidth="1" style="794" min="7420" max="7420"/>
    <col width="19.5703125" customWidth="1" style="794" min="7421" max="7421"/>
    <col width="10" customWidth="1" style="794" min="7422" max="7422"/>
    <col width="12.28515625" customWidth="1" style="794" min="7423" max="7423"/>
    <col width="19.42578125" customWidth="1" style="794" min="7424" max="7424"/>
    <col width="10.140625" customWidth="1" style="794" min="7425" max="7425"/>
    <col width="16.42578125" customWidth="1" style="794" min="7426" max="7426"/>
    <col width="20.42578125" customWidth="1" style="794" min="7427" max="7427"/>
    <col width="4.7109375" customWidth="1" style="794" min="7672" max="7672"/>
    <col width="40.7109375" customWidth="1" style="794" min="7673" max="7673"/>
    <col width="13.42578125" customWidth="1" style="794" min="7674" max="7674"/>
    <col width="19.42578125" customWidth="1" style="794" min="7675" max="7675"/>
    <col width="12.85546875" customWidth="1" style="794" min="7676" max="7676"/>
    <col width="19.5703125" customWidth="1" style="794" min="7677" max="7677"/>
    <col width="10" customWidth="1" style="794" min="7678" max="7678"/>
    <col width="12.28515625" customWidth="1" style="794" min="7679" max="7679"/>
    <col width="19.42578125" customWidth="1" style="794" min="7680" max="7680"/>
    <col width="10.140625" customWidth="1" style="794" min="7681" max="7681"/>
    <col width="16.42578125" customWidth="1" style="794" min="7682" max="7682"/>
    <col width="20.42578125" customWidth="1" style="794" min="7683" max="7683"/>
    <col width="4.7109375" customWidth="1" style="794" min="7928" max="7928"/>
    <col width="40.7109375" customWidth="1" style="794" min="7929" max="7929"/>
    <col width="13.42578125" customWidth="1" style="794" min="7930" max="7930"/>
    <col width="19.42578125" customWidth="1" style="794" min="7931" max="7931"/>
    <col width="12.85546875" customWidth="1" style="794" min="7932" max="7932"/>
    <col width="19.5703125" customWidth="1" style="794" min="7933" max="7933"/>
    <col width="10" customWidth="1" style="794" min="7934" max="7934"/>
    <col width="12.28515625" customWidth="1" style="794" min="7935" max="7935"/>
    <col width="19.42578125" customWidth="1" style="794" min="7936" max="7936"/>
    <col width="10.140625" customWidth="1" style="794" min="7937" max="7937"/>
    <col width="16.42578125" customWidth="1" style="794" min="7938" max="7938"/>
    <col width="20.42578125" customWidth="1" style="794" min="7939" max="7939"/>
    <col width="4.7109375" customWidth="1" style="794" min="8184" max="8184"/>
    <col width="40.7109375" customWidth="1" style="794" min="8185" max="8185"/>
    <col width="13.42578125" customWidth="1" style="794" min="8186" max="8186"/>
    <col width="19.42578125" customWidth="1" style="794" min="8187" max="8187"/>
    <col width="12.85546875" customWidth="1" style="794" min="8188" max="8188"/>
    <col width="19.5703125" customWidth="1" style="794" min="8189" max="8189"/>
    <col width="10" customWidth="1" style="794" min="8190" max="8190"/>
    <col width="12.28515625" customWidth="1" style="794" min="8191" max="8191"/>
    <col width="19.42578125" customWidth="1" style="794" min="8192" max="8192"/>
    <col width="10.140625" customWidth="1" style="794" min="8193" max="8193"/>
    <col width="16.42578125" customWidth="1" style="794" min="8194" max="8194"/>
    <col width="20.42578125" customWidth="1" style="794" min="8195" max="8195"/>
    <col width="4.7109375" customWidth="1" style="794" min="8440" max="8440"/>
    <col width="40.7109375" customWidth="1" style="794" min="8441" max="8441"/>
    <col width="13.42578125" customWidth="1" style="794" min="8442" max="8442"/>
    <col width="19.42578125" customWidth="1" style="794" min="8443" max="8443"/>
    <col width="12.85546875" customWidth="1" style="794" min="8444" max="8444"/>
    <col width="19.5703125" customWidth="1" style="794" min="8445" max="8445"/>
    <col width="10" customWidth="1" style="794" min="8446" max="8446"/>
    <col width="12.28515625" customWidth="1" style="794" min="8447" max="8447"/>
    <col width="19.42578125" customWidth="1" style="794" min="8448" max="8448"/>
    <col width="10.140625" customWidth="1" style="794" min="8449" max="8449"/>
    <col width="16.42578125" customWidth="1" style="794" min="8450" max="8450"/>
    <col width="20.42578125" customWidth="1" style="794" min="8451" max="8451"/>
    <col width="4.7109375" customWidth="1" style="794" min="8696" max="8696"/>
    <col width="40.7109375" customWidth="1" style="794" min="8697" max="8697"/>
    <col width="13.42578125" customWidth="1" style="794" min="8698" max="8698"/>
    <col width="19.42578125" customWidth="1" style="794" min="8699" max="8699"/>
    <col width="12.85546875" customWidth="1" style="794" min="8700" max="8700"/>
    <col width="19.5703125" customWidth="1" style="794" min="8701" max="8701"/>
    <col width="10" customWidth="1" style="794" min="8702" max="8702"/>
    <col width="12.28515625" customWidth="1" style="794" min="8703" max="8703"/>
    <col width="19.42578125" customWidth="1" style="794" min="8704" max="8704"/>
    <col width="10.140625" customWidth="1" style="794" min="8705" max="8705"/>
    <col width="16.42578125" customWidth="1" style="794" min="8706" max="8706"/>
    <col width="20.42578125" customWidth="1" style="794" min="8707" max="8707"/>
    <col width="4.7109375" customWidth="1" style="794" min="8952" max="8952"/>
    <col width="40.7109375" customWidth="1" style="794" min="8953" max="8953"/>
    <col width="13.42578125" customWidth="1" style="794" min="8954" max="8954"/>
    <col width="19.42578125" customWidth="1" style="794" min="8955" max="8955"/>
    <col width="12.85546875" customWidth="1" style="794" min="8956" max="8956"/>
    <col width="19.5703125" customWidth="1" style="794" min="8957" max="8957"/>
    <col width="10" customWidth="1" style="794" min="8958" max="8958"/>
    <col width="12.28515625" customWidth="1" style="794" min="8959" max="8959"/>
    <col width="19.42578125" customWidth="1" style="794" min="8960" max="8960"/>
    <col width="10.140625" customWidth="1" style="794" min="8961" max="8961"/>
    <col width="16.42578125" customWidth="1" style="794" min="8962" max="8962"/>
    <col width="20.42578125" customWidth="1" style="794" min="8963" max="8963"/>
    <col width="4.7109375" customWidth="1" style="794" min="9208" max="9208"/>
    <col width="40.7109375" customWidth="1" style="794" min="9209" max="9209"/>
    <col width="13.42578125" customWidth="1" style="794" min="9210" max="9210"/>
    <col width="19.42578125" customWidth="1" style="794" min="9211" max="9211"/>
    <col width="12.85546875" customWidth="1" style="794" min="9212" max="9212"/>
    <col width="19.5703125" customWidth="1" style="794" min="9213" max="9213"/>
    <col width="10" customWidth="1" style="794" min="9214" max="9214"/>
    <col width="12.28515625" customWidth="1" style="794" min="9215" max="9215"/>
    <col width="19.42578125" customWidth="1" style="794" min="9216" max="9216"/>
    <col width="10.140625" customWidth="1" style="794" min="9217" max="9217"/>
    <col width="16.42578125" customWidth="1" style="794" min="9218" max="9218"/>
    <col width="20.42578125" customWidth="1" style="794" min="9219" max="9219"/>
    <col width="4.7109375" customWidth="1" style="794" min="9464" max="9464"/>
    <col width="40.7109375" customWidth="1" style="794" min="9465" max="9465"/>
    <col width="13.42578125" customWidth="1" style="794" min="9466" max="9466"/>
    <col width="19.42578125" customWidth="1" style="794" min="9467" max="9467"/>
    <col width="12.85546875" customWidth="1" style="794" min="9468" max="9468"/>
    <col width="19.5703125" customWidth="1" style="794" min="9469" max="9469"/>
    <col width="10" customWidth="1" style="794" min="9470" max="9470"/>
    <col width="12.28515625" customWidth="1" style="794" min="9471" max="9471"/>
    <col width="19.42578125" customWidth="1" style="794" min="9472" max="9472"/>
    <col width="10.140625" customWidth="1" style="794" min="9473" max="9473"/>
    <col width="16.42578125" customWidth="1" style="794" min="9474" max="9474"/>
    <col width="20.42578125" customWidth="1" style="794" min="9475" max="9475"/>
    <col width="4.7109375" customWidth="1" style="794" min="9720" max="9720"/>
    <col width="40.7109375" customWidth="1" style="794" min="9721" max="9721"/>
    <col width="13.42578125" customWidth="1" style="794" min="9722" max="9722"/>
    <col width="19.42578125" customWidth="1" style="794" min="9723" max="9723"/>
    <col width="12.85546875" customWidth="1" style="794" min="9724" max="9724"/>
    <col width="19.5703125" customWidth="1" style="794" min="9725" max="9725"/>
    <col width="10" customWidth="1" style="794" min="9726" max="9726"/>
    <col width="12.28515625" customWidth="1" style="794" min="9727" max="9727"/>
    <col width="19.42578125" customWidth="1" style="794" min="9728" max="9728"/>
    <col width="10.140625" customWidth="1" style="794" min="9729" max="9729"/>
    <col width="16.42578125" customWidth="1" style="794" min="9730" max="9730"/>
    <col width="20.42578125" customWidth="1" style="794" min="9731" max="9731"/>
    <col width="4.7109375" customWidth="1" style="794" min="9976" max="9976"/>
    <col width="40.7109375" customWidth="1" style="794" min="9977" max="9977"/>
    <col width="13.42578125" customWidth="1" style="794" min="9978" max="9978"/>
    <col width="19.42578125" customWidth="1" style="794" min="9979" max="9979"/>
    <col width="12.85546875" customWidth="1" style="794" min="9980" max="9980"/>
    <col width="19.5703125" customWidth="1" style="794" min="9981" max="9981"/>
    <col width="10" customWidth="1" style="794" min="9982" max="9982"/>
    <col width="12.28515625" customWidth="1" style="794" min="9983" max="9983"/>
    <col width="19.42578125" customWidth="1" style="794" min="9984" max="9984"/>
    <col width="10.140625" customWidth="1" style="794" min="9985" max="9985"/>
    <col width="16.42578125" customWidth="1" style="794" min="9986" max="9986"/>
    <col width="20.42578125" customWidth="1" style="794" min="9987" max="9987"/>
    <col width="4.7109375" customWidth="1" style="794" min="10232" max="10232"/>
    <col width="40.7109375" customWidth="1" style="794" min="10233" max="10233"/>
    <col width="13.42578125" customWidth="1" style="794" min="10234" max="10234"/>
    <col width="19.42578125" customWidth="1" style="794" min="10235" max="10235"/>
    <col width="12.85546875" customWidth="1" style="794" min="10236" max="10236"/>
    <col width="19.5703125" customWidth="1" style="794" min="10237" max="10237"/>
    <col width="10" customWidth="1" style="794" min="10238" max="10238"/>
    <col width="12.28515625" customWidth="1" style="794" min="10239" max="10239"/>
    <col width="19.42578125" customWidth="1" style="794" min="10240" max="10240"/>
    <col width="10.140625" customWidth="1" style="794" min="10241" max="10241"/>
    <col width="16.42578125" customWidth="1" style="794" min="10242" max="10242"/>
    <col width="20.42578125" customWidth="1" style="794" min="10243" max="10243"/>
    <col width="4.7109375" customWidth="1" style="794" min="10488" max="10488"/>
    <col width="40.7109375" customWidth="1" style="794" min="10489" max="10489"/>
    <col width="13.42578125" customWidth="1" style="794" min="10490" max="10490"/>
    <col width="19.42578125" customWidth="1" style="794" min="10491" max="10491"/>
    <col width="12.85546875" customWidth="1" style="794" min="10492" max="10492"/>
    <col width="19.5703125" customWidth="1" style="794" min="10493" max="10493"/>
    <col width="10" customWidth="1" style="794" min="10494" max="10494"/>
    <col width="12.28515625" customWidth="1" style="794" min="10495" max="10495"/>
    <col width="19.42578125" customWidth="1" style="794" min="10496" max="10496"/>
    <col width="10.140625" customWidth="1" style="794" min="10497" max="10497"/>
    <col width="16.42578125" customWidth="1" style="794" min="10498" max="10498"/>
    <col width="20.42578125" customWidth="1" style="794" min="10499" max="10499"/>
    <col width="4.7109375" customWidth="1" style="794" min="10744" max="10744"/>
    <col width="40.7109375" customWidth="1" style="794" min="10745" max="10745"/>
    <col width="13.42578125" customWidth="1" style="794" min="10746" max="10746"/>
    <col width="19.42578125" customWidth="1" style="794" min="10747" max="10747"/>
    <col width="12.85546875" customWidth="1" style="794" min="10748" max="10748"/>
    <col width="19.5703125" customWidth="1" style="794" min="10749" max="10749"/>
    <col width="10" customWidth="1" style="794" min="10750" max="10750"/>
    <col width="12.28515625" customWidth="1" style="794" min="10751" max="10751"/>
    <col width="19.42578125" customWidth="1" style="794" min="10752" max="10752"/>
    <col width="10.140625" customWidth="1" style="794" min="10753" max="10753"/>
    <col width="16.42578125" customWidth="1" style="794" min="10754" max="10754"/>
    <col width="20.42578125" customWidth="1" style="794" min="10755" max="10755"/>
    <col width="4.7109375" customWidth="1" style="794" min="11000" max="11000"/>
    <col width="40.7109375" customWidth="1" style="794" min="11001" max="11001"/>
    <col width="13.42578125" customWidth="1" style="794" min="11002" max="11002"/>
    <col width="19.42578125" customWidth="1" style="794" min="11003" max="11003"/>
    <col width="12.85546875" customWidth="1" style="794" min="11004" max="11004"/>
    <col width="19.5703125" customWidth="1" style="794" min="11005" max="11005"/>
    <col width="10" customWidth="1" style="794" min="11006" max="11006"/>
    <col width="12.28515625" customWidth="1" style="794" min="11007" max="11007"/>
    <col width="19.42578125" customWidth="1" style="794" min="11008" max="11008"/>
    <col width="10.140625" customWidth="1" style="794" min="11009" max="11009"/>
    <col width="16.42578125" customWidth="1" style="794" min="11010" max="11010"/>
    <col width="20.42578125" customWidth="1" style="794" min="11011" max="11011"/>
    <col width="4.7109375" customWidth="1" style="794" min="11256" max="11256"/>
    <col width="40.7109375" customWidth="1" style="794" min="11257" max="11257"/>
    <col width="13.42578125" customWidth="1" style="794" min="11258" max="11258"/>
    <col width="19.42578125" customWidth="1" style="794" min="11259" max="11259"/>
    <col width="12.85546875" customWidth="1" style="794" min="11260" max="11260"/>
    <col width="19.5703125" customWidth="1" style="794" min="11261" max="11261"/>
    <col width="10" customWidth="1" style="794" min="11262" max="11262"/>
    <col width="12.28515625" customWidth="1" style="794" min="11263" max="11263"/>
    <col width="19.42578125" customWidth="1" style="794" min="11264" max="11264"/>
    <col width="10.140625" customWidth="1" style="794" min="11265" max="11265"/>
    <col width="16.42578125" customWidth="1" style="794" min="11266" max="11266"/>
    <col width="20.42578125" customWidth="1" style="794" min="11267" max="11267"/>
    <col width="4.7109375" customWidth="1" style="794" min="11512" max="11512"/>
    <col width="40.7109375" customWidth="1" style="794" min="11513" max="11513"/>
    <col width="13.42578125" customWidth="1" style="794" min="11514" max="11514"/>
    <col width="19.42578125" customWidth="1" style="794" min="11515" max="11515"/>
    <col width="12.85546875" customWidth="1" style="794" min="11516" max="11516"/>
    <col width="19.5703125" customWidth="1" style="794" min="11517" max="11517"/>
    <col width="10" customWidth="1" style="794" min="11518" max="11518"/>
    <col width="12.28515625" customWidth="1" style="794" min="11519" max="11519"/>
    <col width="19.42578125" customWidth="1" style="794" min="11520" max="11520"/>
    <col width="10.140625" customWidth="1" style="794" min="11521" max="11521"/>
    <col width="16.42578125" customWidth="1" style="794" min="11522" max="11522"/>
    <col width="20.42578125" customWidth="1" style="794" min="11523" max="11523"/>
    <col width="4.7109375" customWidth="1" style="794" min="11768" max="11768"/>
    <col width="40.7109375" customWidth="1" style="794" min="11769" max="11769"/>
    <col width="13.42578125" customWidth="1" style="794" min="11770" max="11770"/>
    <col width="19.42578125" customWidth="1" style="794" min="11771" max="11771"/>
    <col width="12.85546875" customWidth="1" style="794" min="11772" max="11772"/>
    <col width="19.5703125" customWidth="1" style="794" min="11773" max="11773"/>
    <col width="10" customWidth="1" style="794" min="11774" max="11774"/>
    <col width="12.28515625" customWidth="1" style="794" min="11775" max="11775"/>
    <col width="19.42578125" customWidth="1" style="794" min="11776" max="11776"/>
    <col width="10.140625" customWidth="1" style="794" min="11777" max="11777"/>
    <col width="16.42578125" customWidth="1" style="794" min="11778" max="11778"/>
    <col width="20.42578125" customWidth="1" style="794" min="11779" max="11779"/>
    <col width="4.7109375" customWidth="1" style="794" min="12024" max="12024"/>
    <col width="40.7109375" customWidth="1" style="794" min="12025" max="12025"/>
    <col width="13.42578125" customWidth="1" style="794" min="12026" max="12026"/>
    <col width="19.42578125" customWidth="1" style="794" min="12027" max="12027"/>
    <col width="12.85546875" customWidth="1" style="794" min="12028" max="12028"/>
    <col width="19.5703125" customWidth="1" style="794" min="12029" max="12029"/>
    <col width="10" customWidth="1" style="794" min="12030" max="12030"/>
    <col width="12.28515625" customWidth="1" style="794" min="12031" max="12031"/>
    <col width="19.42578125" customWidth="1" style="794" min="12032" max="12032"/>
    <col width="10.140625" customWidth="1" style="794" min="12033" max="12033"/>
    <col width="16.42578125" customWidth="1" style="794" min="12034" max="12034"/>
    <col width="20.42578125" customWidth="1" style="794" min="12035" max="12035"/>
    <col width="4.7109375" customWidth="1" style="794" min="12280" max="12280"/>
    <col width="40.7109375" customWidth="1" style="794" min="12281" max="12281"/>
    <col width="13.42578125" customWidth="1" style="794" min="12282" max="12282"/>
    <col width="19.42578125" customWidth="1" style="794" min="12283" max="12283"/>
    <col width="12.85546875" customWidth="1" style="794" min="12284" max="12284"/>
    <col width="19.5703125" customWidth="1" style="794" min="12285" max="12285"/>
    <col width="10" customWidth="1" style="794" min="12286" max="12286"/>
    <col width="12.28515625" customWidth="1" style="794" min="12287" max="12287"/>
    <col width="19.42578125" customWidth="1" style="794" min="12288" max="12288"/>
    <col width="10.140625" customWidth="1" style="794" min="12289" max="12289"/>
    <col width="16.42578125" customWidth="1" style="794" min="12290" max="12290"/>
    <col width="20.42578125" customWidth="1" style="794" min="12291" max="12291"/>
    <col width="4.7109375" customWidth="1" style="794" min="12536" max="12536"/>
    <col width="40.7109375" customWidth="1" style="794" min="12537" max="12537"/>
    <col width="13.42578125" customWidth="1" style="794" min="12538" max="12538"/>
    <col width="19.42578125" customWidth="1" style="794" min="12539" max="12539"/>
    <col width="12.85546875" customWidth="1" style="794" min="12540" max="12540"/>
    <col width="19.5703125" customWidth="1" style="794" min="12541" max="12541"/>
    <col width="10" customWidth="1" style="794" min="12542" max="12542"/>
    <col width="12.28515625" customWidth="1" style="794" min="12543" max="12543"/>
    <col width="19.42578125" customWidth="1" style="794" min="12544" max="12544"/>
    <col width="10.140625" customWidth="1" style="794" min="12545" max="12545"/>
    <col width="16.42578125" customWidth="1" style="794" min="12546" max="12546"/>
    <col width="20.42578125" customWidth="1" style="794" min="12547" max="12547"/>
    <col width="4.7109375" customWidth="1" style="794" min="12792" max="12792"/>
    <col width="40.7109375" customWidth="1" style="794" min="12793" max="12793"/>
    <col width="13.42578125" customWidth="1" style="794" min="12794" max="12794"/>
    <col width="19.42578125" customWidth="1" style="794" min="12795" max="12795"/>
    <col width="12.85546875" customWidth="1" style="794" min="12796" max="12796"/>
    <col width="19.5703125" customWidth="1" style="794" min="12797" max="12797"/>
    <col width="10" customWidth="1" style="794" min="12798" max="12798"/>
    <col width="12.28515625" customWidth="1" style="794" min="12799" max="12799"/>
    <col width="19.42578125" customWidth="1" style="794" min="12800" max="12800"/>
    <col width="10.140625" customWidth="1" style="794" min="12801" max="12801"/>
    <col width="16.42578125" customWidth="1" style="794" min="12802" max="12802"/>
    <col width="20.42578125" customWidth="1" style="794" min="12803" max="12803"/>
    <col width="4.7109375" customWidth="1" style="794" min="13048" max="13048"/>
    <col width="40.7109375" customWidth="1" style="794" min="13049" max="13049"/>
    <col width="13.42578125" customWidth="1" style="794" min="13050" max="13050"/>
    <col width="19.42578125" customWidth="1" style="794" min="13051" max="13051"/>
    <col width="12.85546875" customWidth="1" style="794" min="13052" max="13052"/>
    <col width="19.5703125" customWidth="1" style="794" min="13053" max="13053"/>
    <col width="10" customWidth="1" style="794" min="13054" max="13054"/>
    <col width="12.28515625" customWidth="1" style="794" min="13055" max="13055"/>
    <col width="19.42578125" customWidth="1" style="794" min="13056" max="13056"/>
    <col width="10.140625" customWidth="1" style="794" min="13057" max="13057"/>
    <col width="16.42578125" customWidth="1" style="794" min="13058" max="13058"/>
    <col width="20.42578125" customWidth="1" style="794" min="13059" max="13059"/>
    <col width="4.7109375" customWidth="1" style="794" min="13304" max="13304"/>
    <col width="40.7109375" customWidth="1" style="794" min="13305" max="13305"/>
    <col width="13.42578125" customWidth="1" style="794" min="13306" max="13306"/>
    <col width="19.42578125" customWidth="1" style="794" min="13307" max="13307"/>
    <col width="12.85546875" customWidth="1" style="794" min="13308" max="13308"/>
    <col width="19.5703125" customWidth="1" style="794" min="13309" max="13309"/>
    <col width="10" customWidth="1" style="794" min="13310" max="13310"/>
    <col width="12.28515625" customWidth="1" style="794" min="13311" max="13311"/>
    <col width="19.42578125" customWidth="1" style="794" min="13312" max="13312"/>
    <col width="10.140625" customWidth="1" style="794" min="13313" max="13313"/>
    <col width="16.42578125" customWidth="1" style="794" min="13314" max="13314"/>
    <col width="20.42578125" customWidth="1" style="794" min="13315" max="13315"/>
    <col width="4.7109375" customWidth="1" style="794" min="13560" max="13560"/>
    <col width="40.7109375" customWidth="1" style="794" min="13561" max="13561"/>
    <col width="13.42578125" customWidth="1" style="794" min="13562" max="13562"/>
    <col width="19.42578125" customWidth="1" style="794" min="13563" max="13563"/>
    <col width="12.85546875" customWidth="1" style="794" min="13564" max="13564"/>
    <col width="19.5703125" customWidth="1" style="794" min="13565" max="13565"/>
    <col width="10" customWidth="1" style="794" min="13566" max="13566"/>
    <col width="12.28515625" customWidth="1" style="794" min="13567" max="13567"/>
    <col width="19.42578125" customWidth="1" style="794" min="13568" max="13568"/>
    <col width="10.140625" customWidth="1" style="794" min="13569" max="13569"/>
    <col width="16.42578125" customWidth="1" style="794" min="13570" max="13570"/>
    <col width="20.42578125" customWidth="1" style="794" min="13571" max="13571"/>
    <col width="4.7109375" customWidth="1" style="794" min="13816" max="13816"/>
    <col width="40.7109375" customWidth="1" style="794" min="13817" max="13817"/>
    <col width="13.42578125" customWidth="1" style="794" min="13818" max="13818"/>
    <col width="19.42578125" customWidth="1" style="794" min="13819" max="13819"/>
    <col width="12.85546875" customWidth="1" style="794" min="13820" max="13820"/>
    <col width="19.5703125" customWidth="1" style="794" min="13821" max="13821"/>
    <col width="10" customWidth="1" style="794" min="13822" max="13822"/>
    <col width="12.28515625" customWidth="1" style="794" min="13823" max="13823"/>
    <col width="19.42578125" customWidth="1" style="794" min="13824" max="13824"/>
    <col width="10.140625" customWidth="1" style="794" min="13825" max="13825"/>
    <col width="16.42578125" customWidth="1" style="794" min="13826" max="13826"/>
    <col width="20.42578125" customWidth="1" style="794" min="13827" max="13827"/>
    <col width="4.7109375" customWidth="1" style="794" min="14072" max="14072"/>
    <col width="40.7109375" customWidth="1" style="794" min="14073" max="14073"/>
    <col width="13.42578125" customWidth="1" style="794" min="14074" max="14074"/>
    <col width="19.42578125" customWidth="1" style="794" min="14075" max="14075"/>
    <col width="12.85546875" customWidth="1" style="794" min="14076" max="14076"/>
    <col width="19.5703125" customWidth="1" style="794" min="14077" max="14077"/>
    <col width="10" customWidth="1" style="794" min="14078" max="14078"/>
    <col width="12.28515625" customWidth="1" style="794" min="14079" max="14079"/>
    <col width="19.42578125" customWidth="1" style="794" min="14080" max="14080"/>
    <col width="10.140625" customWidth="1" style="794" min="14081" max="14081"/>
    <col width="16.42578125" customWidth="1" style="794" min="14082" max="14082"/>
    <col width="20.42578125" customWidth="1" style="794" min="14083" max="14083"/>
    <col width="4.7109375" customWidth="1" style="794" min="14328" max="14328"/>
    <col width="40.7109375" customWidth="1" style="794" min="14329" max="14329"/>
    <col width="13.42578125" customWidth="1" style="794" min="14330" max="14330"/>
    <col width="19.42578125" customWidth="1" style="794" min="14331" max="14331"/>
    <col width="12.85546875" customWidth="1" style="794" min="14332" max="14332"/>
    <col width="19.5703125" customWidth="1" style="794" min="14333" max="14333"/>
    <col width="10" customWidth="1" style="794" min="14334" max="14334"/>
    <col width="12.28515625" customWidth="1" style="794" min="14335" max="14335"/>
    <col width="19.42578125" customWidth="1" style="794" min="14336" max="14336"/>
    <col width="10.140625" customWidth="1" style="794" min="14337" max="14337"/>
    <col width="16.42578125" customWidth="1" style="794" min="14338" max="14338"/>
    <col width="20.42578125" customWidth="1" style="794" min="14339" max="14339"/>
    <col width="4.7109375" customWidth="1" style="794" min="14584" max="14584"/>
    <col width="40.7109375" customWidth="1" style="794" min="14585" max="14585"/>
    <col width="13.42578125" customWidth="1" style="794" min="14586" max="14586"/>
    <col width="19.42578125" customWidth="1" style="794" min="14587" max="14587"/>
    <col width="12.85546875" customWidth="1" style="794" min="14588" max="14588"/>
    <col width="19.5703125" customWidth="1" style="794" min="14589" max="14589"/>
    <col width="10" customWidth="1" style="794" min="14590" max="14590"/>
    <col width="12.28515625" customWidth="1" style="794" min="14591" max="14591"/>
    <col width="19.42578125" customWidth="1" style="794" min="14592" max="14592"/>
    <col width="10.140625" customWidth="1" style="794" min="14593" max="14593"/>
    <col width="16.42578125" customWidth="1" style="794" min="14594" max="14594"/>
    <col width="20.42578125" customWidth="1" style="794" min="14595" max="14595"/>
    <col width="4.7109375" customWidth="1" style="794" min="14840" max="14840"/>
    <col width="40.7109375" customWidth="1" style="794" min="14841" max="14841"/>
    <col width="13.42578125" customWidth="1" style="794" min="14842" max="14842"/>
    <col width="19.42578125" customWidth="1" style="794" min="14843" max="14843"/>
    <col width="12.85546875" customWidth="1" style="794" min="14844" max="14844"/>
    <col width="19.5703125" customWidth="1" style="794" min="14845" max="14845"/>
    <col width="10" customWidth="1" style="794" min="14846" max="14846"/>
    <col width="12.28515625" customWidth="1" style="794" min="14847" max="14847"/>
    <col width="19.42578125" customWidth="1" style="794" min="14848" max="14848"/>
    <col width="10.140625" customWidth="1" style="794" min="14849" max="14849"/>
    <col width="16.42578125" customWidth="1" style="794" min="14850" max="14850"/>
    <col width="20.42578125" customWidth="1" style="794" min="14851" max="14851"/>
    <col width="4.7109375" customWidth="1" style="794" min="15096" max="15096"/>
    <col width="40.7109375" customWidth="1" style="794" min="15097" max="15097"/>
    <col width="13.42578125" customWidth="1" style="794" min="15098" max="15098"/>
    <col width="19.42578125" customWidth="1" style="794" min="15099" max="15099"/>
    <col width="12.85546875" customWidth="1" style="794" min="15100" max="15100"/>
    <col width="19.5703125" customWidth="1" style="794" min="15101" max="15101"/>
    <col width="10" customWidth="1" style="794" min="15102" max="15102"/>
    <col width="12.28515625" customWidth="1" style="794" min="15103" max="15103"/>
    <col width="19.42578125" customWidth="1" style="794" min="15104" max="15104"/>
    <col width="10.140625" customWidth="1" style="794" min="15105" max="15105"/>
    <col width="16.42578125" customWidth="1" style="794" min="15106" max="15106"/>
    <col width="20.42578125" customWidth="1" style="794" min="15107" max="15107"/>
    <col width="4.7109375" customWidth="1" style="794" min="15352" max="15352"/>
    <col width="40.7109375" customWidth="1" style="794" min="15353" max="15353"/>
    <col width="13.42578125" customWidth="1" style="794" min="15354" max="15354"/>
    <col width="19.42578125" customWidth="1" style="794" min="15355" max="15355"/>
    <col width="12.85546875" customWidth="1" style="794" min="15356" max="15356"/>
    <col width="19.5703125" customWidth="1" style="794" min="15357" max="15357"/>
    <col width="10" customWidth="1" style="794" min="15358" max="15358"/>
    <col width="12.28515625" customWidth="1" style="794" min="15359" max="15359"/>
    <col width="19.42578125" customWidth="1" style="794" min="15360" max="15360"/>
    <col width="10.140625" customWidth="1" style="794" min="15361" max="15361"/>
    <col width="16.42578125" customWidth="1" style="794" min="15362" max="15362"/>
    <col width="20.42578125" customWidth="1" style="794" min="15363" max="15363"/>
    <col width="4.7109375" customWidth="1" style="794" min="15608" max="15608"/>
    <col width="40.7109375" customWidth="1" style="794" min="15609" max="15609"/>
    <col width="13.42578125" customWidth="1" style="794" min="15610" max="15610"/>
    <col width="19.42578125" customWidth="1" style="794" min="15611" max="15611"/>
    <col width="12.85546875" customWidth="1" style="794" min="15612" max="15612"/>
    <col width="19.5703125" customWidth="1" style="794" min="15613" max="15613"/>
    <col width="10" customWidth="1" style="794" min="15614" max="15614"/>
    <col width="12.28515625" customWidth="1" style="794" min="15615" max="15615"/>
    <col width="19.42578125" customWidth="1" style="794" min="15616" max="15616"/>
    <col width="10.140625" customWidth="1" style="794" min="15617" max="15617"/>
    <col width="16.42578125" customWidth="1" style="794" min="15618" max="15618"/>
    <col width="20.42578125" customWidth="1" style="794" min="15619" max="15619"/>
    <col width="4.7109375" customWidth="1" style="794" min="15864" max="15864"/>
    <col width="40.7109375" customWidth="1" style="794" min="15865" max="15865"/>
    <col width="13.42578125" customWidth="1" style="794" min="15866" max="15866"/>
    <col width="19.42578125" customWidth="1" style="794" min="15867" max="15867"/>
    <col width="12.85546875" customWidth="1" style="794" min="15868" max="15868"/>
    <col width="19.5703125" customWidth="1" style="794" min="15869" max="15869"/>
    <col width="10" customWidth="1" style="794" min="15870" max="15870"/>
    <col width="12.28515625" customWidth="1" style="794" min="15871" max="15871"/>
    <col width="19.42578125" customWidth="1" style="794" min="15872" max="15872"/>
    <col width="10.140625" customWidth="1" style="794" min="15873" max="15873"/>
    <col width="16.42578125" customWidth="1" style="794" min="15874" max="15874"/>
    <col width="20.42578125" customWidth="1" style="794" min="15875" max="15875"/>
    <col width="4.7109375" customWidth="1" style="794" min="16120" max="16120"/>
    <col width="40.7109375" customWidth="1" style="794" min="16121" max="16121"/>
    <col width="13.42578125" customWidth="1" style="794" min="16122" max="16122"/>
    <col width="19.42578125" customWidth="1" style="794" min="16123" max="16123"/>
    <col width="12.85546875" customWidth="1" style="794" min="16124" max="16124"/>
    <col width="19.5703125" customWidth="1" style="794" min="16125" max="16125"/>
    <col width="10" customWidth="1" style="794" min="16126" max="16126"/>
    <col width="12.28515625" customWidth="1" style="794" min="16127" max="16127"/>
    <col width="19.42578125" customWidth="1" style="794" min="16128" max="16128"/>
    <col width="10.140625" customWidth="1" style="794" min="16129" max="16129"/>
    <col width="16.42578125" customWidth="1" style="794" min="16130" max="16130"/>
    <col width="20.42578125" customWidth="1" style="794" min="16131" max="16131"/>
  </cols>
  <sheetData>
    <row r="1" ht="15.75" customHeight="1" s="794">
      <c r="K1" s="524" t="n"/>
      <c r="M1" s="524" t="inlineStr">
        <is>
          <t>Форма № 11д</t>
        </is>
      </c>
    </row>
    <row r="2" ht="9" customHeight="1" s="794">
      <c r="K2" s="525" t="n"/>
    </row>
    <row r="3" ht="44.25" customHeight="1" s="794">
      <c r="B3" s="1166" t="inlineStr">
        <is>
          <t>Смета и расчет
общепроизводственных затрат по ФГАОУ ВО "СПбПУ"</t>
        </is>
      </c>
      <c r="M3" s="526" t="n"/>
    </row>
    <row r="4" ht="43.5" customHeight="1" s="794">
      <c r="B4" s="1160" t="inlineStr">
        <is>
          <t>ТЕМА</t>
        </is>
      </c>
      <c r="C4" s="1409" t="n"/>
      <c r="D4" s="1409" t="n"/>
      <c r="E4" s="1409" t="n"/>
      <c r="F4" s="1409" t="n"/>
      <c r="G4" s="1409" t="n"/>
      <c r="H4" s="1409" t="n"/>
      <c r="I4" s="1409" t="n"/>
      <c r="J4" s="1409" t="n"/>
      <c r="K4" s="1409" t="n"/>
      <c r="L4" s="1409" t="n"/>
      <c r="M4" s="527" t="n"/>
    </row>
    <row r="5" ht="21" customHeight="1" s="794">
      <c r="A5" s="35" t="n"/>
      <c r="B5" s="1167" t="inlineStr">
        <is>
          <t>(наименование, шифр товара, работы, услуги)</t>
        </is>
      </c>
    </row>
    <row r="6" ht="14.25" customHeight="1" s="794">
      <c r="A6" s="35" t="n"/>
      <c r="B6" s="35" t="n"/>
      <c r="C6" s="35" t="n"/>
      <c r="D6" s="35" t="n"/>
      <c r="E6" s="35" t="n"/>
      <c r="F6" s="35" t="n"/>
      <c r="G6" s="35" t="n"/>
      <c r="H6" s="35" t="n"/>
      <c r="I6" s="35" t="n"/>
      <c r="J6" s="35" t="n"/>
      <c r="K6" s="528" t="n"/>
      <c r="M6" s="528" t="inlineStr">
        <is>
          <t>(руб.)</t>
        </is>
      </c>
    </row>
    <row r="7" ht="22.5" customHeight="1" s="794">
      <c r="A7" s="1164" t="inlineStr">
        <is>
          <t>№ п/п</t>
        </is>
      </c>
      <c r="B7" s="1165" t="inlineStr">
        <is>
          <t>Наименование статей</t>
        </is>
      </c>
      <c r="C7" s="1164" t="inlineStr">
        <is>
          <t xml:space="preserve">Отчетный период / период, предшествующий планируемому (год _____) </t>
        </is>
      </c>
      <c r="D7" s="1412" t="n"/>
      <c r="E7" s="1412" t="n"/>
      <c r="F7" s="1410" t="n"/>
      <c r="G7" s="1164" t="inlineStr">
        <is>
          <t xml:space="preserve">Отчетный период / период, предшествующий планируемому (год ____) </t>
        </is>
      </c>
      <c r="H7" s="1412" t="n"/>
      <c r="I7" s="1412" t="n"/>
      <c r="J7" s="1410" t="n"/>
      <c r="K7" s="1165" t="inlineStr">
        <is>
          <t>Планируемый период</t>
        </is>
      </c>
      <c r="L7" s="1412" t="n"/>
      <c r="M7" s="1410" t="n"/>
      <c r="N7" s="529" t="n"/>
      <c r="O7" s="529" t="n"/>
      <c r="P7" s="529" t="n"/>
      <c r="Q7" s="529" t="n"/>
      <c r="R7" s="529" t="n"/>
      <c r="S7" s="529" t="n"/>
      <c r="T7" s="529" t="n"/>
      <c r="U7" s="529" t="n"/>
    </row>
    <row r="8" ht="19.5" customHeight="1" s="794">
      <c r="A8" s="1418" t="n"/>
      <c r="B8" s="1418" t="n"/>
      <c r="C8" s="1173" t="inlineStr">
        <is>
          <t>план</t>
        </is>
      </c>
      <c r="D8" s="1421" t="n"/>
      <c r="E8" s="1173" t="inlineStr">
        <is>
          <t>факт</t>
        </is>
      </c>
      <c r="F8" s="1421" t="n"/>
      <c r="G8" s="1173" t="inlineStr">
        <is>
          <t>план</t>
        </is>
      </c>
      <c r="H8" s="1421" t="n"/>
      <c r="I8" s="1173" t="inlineStr">
        <is>
          <t>факт</t>
        </is>
      </c>
      <c r="J8" s="1421" t="n"/>
      <c r="K8" s="1179" t="inlineStr">
        <is>
          <t>применяе-мый индекс цен</t>
        </is>
      </c>
      <c r="L8" s="1164" t="inlineStr">
        <is>
          <t>год ____</t>
        </is>
      </c>
      <c r="M8" s="1410" t="n"/>
    </row>
    <row r="9" ht="39" customHeight="1" s="794">
      <c r="A9" s="1418" t="n"/>
      <c r="B9" s="1418" t="n"/>
      <c r="C9" s="1165" t="inlineStr">
        <is>
          <t>всего</t>
        </is>
      </c>
      <c r="D9" s="1176" t="inlineStr">
        <is>
          <t>в том числе по госконтрактам (контрактам) ГОЗ</t>
        </is>
      </c>
      <c r="E9" s="1165" t="inlineStr">
        <is>
          <t>всего</t>
        </is>
      </c>
      <c r="F9" s="1176" t="inlineStr">
        <is>
          <t>в том числе по госконтрактам (контрактам) ГОЗ</t>
        </is>
      </c>
      <c r="G9" s="1165" t="inlineStr">
        <is>
          <t>всего</t>
        </is>
      </c>
      <c r="H9" s="1176" t="inlineStr">
        <is>
          <t>в том числе по госконтрактам (контрактам) ГОЗ</t>
        </is>
      </c>
      <c r="I9" s="1165" t="inlineStr">
        <is>
          <t>всего</t>
        </is>
      </c>
      <c r="J9" s="1176" t="inlineStr">
        <is>
          <t>в том числе по госконтрактам (контрактам) ГОЗ</t>
        </is>
      </c>
      <c r="K9" s="1418" t="n"/>
      <c r="L9" s="1164" t="inlineStr">
        <is>
          <t>предложено организацией-поставщиком (подрядчиком, исполнителем)</t>
        </is>
      </c>
      <c r="M9" s="1410" t="n"/>
    </row>
    <row r="10" ht="42.75" customHeight="1" s="794">
      <c r="A10" s="1413" t="n"/>
      <c r="B10" s="1413" t="n"/>
      <c r="C10" s="1413" t="n"/>
      <c r="D10" s="1421" t="n"/>
      <c r="E10" s="1413" t="n"/>
      <c r="F10" s="1421" t="n"/>
      <c r="G10" s="1413" t="n"/>
      <c r="H10" s="1421" t="n"/>
      <c r="I10" s="1413" t="n"/>
      <c r="J10" s="1421" t="n"/>
      <c r="K10" s="1413" t="n"/>
      <c r="L10" s="1165" t="inlineStr">
        <is>
          <t>всего</t>
        </is>
      </c>
      <c r="M10" s="1164" t="inlineStr">
        <is>
          <t>в том числе по госконтрактам (контрактам) ГОЗ</t>
        </is>
      </c>
    </row>
    <row r="11">
      <c r="A11" s="38" t="n">
        <v>1</v>
      </c>
      <c r="B11" s="38" t="n">
        <v>2</v>
      </c>
      <c r="C11" s="38" t="n">
        <v>3</v>
      </c>
      <c r="D11" s="38" t="n">
        <v>4</v>
      </c>
      <c r="E11" s="38" t="n">
        <v>5</v>
      </c>
      <c r="F11" s="38" t="n">
        <v>6</v>
      </c>
      <c r="G11" s="38" t="n">
        <v>3</v>
      </c>
      <c r="H11" s="38" t="n">
        <v>4</v>
      </c>
      <c r="I11" s="38" t="n">
        <v>5</v>
      </c>
      <c r="J11" s="38" t="n">
        <v>6</v>
      </c>
      <c r="K11" s="38" t="n"/>
      <c r="L11" s="38" t="n">
        <v>11</v>
      </c>
      <c r="M11" s="38" t="n">
        <v>12</v>
      </c>
    </row>
    <row r="12" ht="42.75" customHeight="1" s="794">
      <c r="A12" s="1165" t="n">
        <v>1</v>
      </c>
      <c r="B12" s="40" t="inlineStr">
        <is>
          <t>Амортизация зданий, сооружений, производственного оборудования, транспортных средств (имущества)</t>
        </is>
      </c>
      <c r="C12" s="39" t="inlineStr">
        <is>
          <t>-</t>
        </is>
      </c>
      <c r="D12" s="39" t="inlineStr">
        <is>
          <t>-</t>
        </is>
      </c>
      <c r="E12" s="39" t="inlineStr">
        <is>
          <t>-</t>
        </is>
      </c>
      <c r="F12" s="39" t="inlineStr">
        <is>
          <t>-</t>
        </is>
      </c>
      <c r="G12" s="39" t="inlineStr">
        <is>
          <t>-</t>
        </is>
      </c>
      <c r="H12" s="39" t="inlineStr">
        <is>
          <t>-</t>
        </is>
      </c>
      <c r="I12" s="39" t="inlineStr">
        <is>
          <t>-</t>
        </is>
      </c>
      <c r="J12" s="39" t="inlineStr">
        <is>
          <t>-</t>
        </is>
      </c>
      <c r="K12" s="39" t="inlineStr">
        <is>
          <t>-</t>
        </is>
      </c>
      <c r="L12" s="39" t="inlineStr">
        <is>
          <t>-</t>
        </is>
      </c>
      <c r="M12" s="39" t="inlineStr">
        <is>
          <t>-</t>
        </is>
      </c>
    </row>
    <row r="13" ht="15.75" customHeight="1" s="794" thickBot="1">
      <c r="A13" s="1501" t="inlineStr">
        <is>
          <t>ИТОГО</t>
        </is>
      </c>
      <c r="B13" s="1466" t="n"/>
      <c r="C13" s="530" t="inlineStr">
        <is>
          <t>-</t>
        </is>
      </c>
      <c r="D13" s="530" t="inlineStr">
        <is>
          <t>-</t>
        </is>
      </c>
      <c r="E13" s="530" t="inlineStr">
        <is>
          <t>-</t>
        </is>
      </c>
      <c r="F13" s="530" t="inlineStr">
        <is>
          <t>-</t>
        </is>
      </c>
      <c r="G13" s="530" t="inlineStr">
        <is>
          <t>-</t>
        </is>
      </c>
      <c r="H13" s="530" t="inlineStr">
        <is>
          <t>-</t>
        </is>
      </c>
      <c r="I13" s="530" t="inlineStr">
        <is>
          <t>-</t>
        </is>
      </c>
      <c r="J13" s="530" t="inlineStr">
        <is>
          <t>-</t>
        </is>
      </c>
      <c r="K13" s="530" t="inlineStr">
        <is>
          <t>-</t>
        </is>
      </c>
      <c r="L13" s="530" t="inlineStr">
        <is>
          <t>-</t>
        </is>
      </c>
      <c r="M13" s="530" t="inlineStr">
        <is>
          <t>-</t>
        </is>
      </c>
    </row>
    <row r="14" ht="42.75" customHeight="1" s="794">
      <c r="A14" s="1502" t="inlineStr">
        <is>
          <t>База распределения общепроизводственных затрат
(______________________________________)</t>
        </is>
      </c>
      <c r="B14" s="1421" t="n"/>
      <c r="C14" s="531" t="inlineStr">
        <is>
          <t>-</t>
        </is>
      </c>
      <c r="D14" s="531" t="inlineStr">
        <is>
          <t>-</t>
        </is>
      </c>
      <c r="E14" s="531" t="inlineStr">
        <is>
          <t>-</t>
        </is>
      </c>
      <c r="F14" s="531" t="inlineStr">
        <is>
          <t>-</t>
        </is>
      </c>
      <c r="G14" s="531" t="inlineStr">
        <is>
          <t>-</t>
        </is>
      </c>
      <c r="H14" s="531" t="inlineStr">
        <is>
          <t>-</t>
        </is>
      </c>
      <c r="I14" s="531" t="inlineStr">
        <is>
          <t>-</t>
        </is>
      </c>
      <c r="J14" s="531" t="inlineStr">
        <is>
          <t>-</t>
        </is>
      </c>
      <c r="K14" s="531" t="inlineStr">
        <is>
          <t>-</t>
        </is>
      </c>
      <c r="L14" s="531" t="inlineStr">
        <is>
          <t>-</t>
        </is>
      </c>
      <c r="M14" s="531" t="inlineStr">
        <is>
          <t>-</t>
        </is>
      </c>
    </row>
    <row r="15" ht="28.5" customHeight="1" s="794">
      <c r="A15" s="40" t="inlineStr">
        <is>
          <t>Отношение общепроизводственных затрат к базе распределения, %</t>
        </is>
      </c>
      <c r="B15" s="1410" t="n"/>
      <c r="C15" s="41" t="inlineStr">
        <is>
          <t>-</t>
        </is>
      </c>
      <c r="D15" s="41" t="inlineStr">
        <is>
          <t>-</t>
        </is>
      </c>
      <c r="E15" s="41" t="inlineStr">
        <is>
          <t>-</t>
        </is>
      </c>
      <c r="F15" s="41" t="inlineStr">
        <is>
          <t>-</t>
        </is>
      </c>
      <c r="G15" s="41" t="inlineStr">
        <is>
          <t>-</t>
        </is>
      </c>
      <c r="H15" s="41" t="inlineStr">
        <is>
          <t>-</t>
        </is>
      </c>
      <c r="I15" s="41" t="inlineStr">
        <is>
          <t>-</t>
        </is>
      </c>
      <c r="J15" s="41" t="inlineStr">
        <is>
          <t>-</t>
        </is>
      </c>
      <c r="K15" s="41" t="inlineStr">
        <is>
          <t>-</t>
        </is>
      </c>
      <c r="L15" s="41" t="inlineStr">
        <is>
          <t>-</t>
        </is>
      </c>
      <c r="M15" s="41" t="inlineStr">
        <is>
          <t>-</t>
        </is>
      </c>
    </row>
    <row r="16" ht="23.25" customHeight="1" s="794">
      <c r="A16" s="217" t="n"/>
      <c r="B16" s="224" t="n"/>
      <c r="C16" s="218" t="n"/>
      <c r="D16" s="218" t="n"/>
      <c r="E16" s="218" t="n"/>
      <c r="F16" s="218" t="n"/>
      <c r="G16" s="218" t="n"/>
      <c r="H16" s="218" t="n"/>
      <c r="I16" s="218" t="n"/>
      <c r="J16" s="218" t="n"/>
      <c r="K16" s="218" t="n"/>
    </row>
    <row r="17" ht="32.25" customFormat="1" customHeight="1" s="197">
      <c r="A17" s="194" t="n"/>
      <c r="B17" s="991" t="inlineStr">
        <is>
          <t>Начальник ОФЭиАУ НИОКР</t>
        </is>
      </c>
      <c r="D17" s="194" t="n"/>
      <c r="E17" s="194" t="n"/>
      <c r="F17" s="194" t="n"/>
      <c r="G17" s="194" t="n"/>
      <c r="H17" s="194" t="n"/>
      <c r="I17" s="991" t="inlineStr">
        <is>
          <t>Руководитель договора</t>
        </is>
      </c>
    </row>
    <row r="18" ht="45.75" customFormat="1" customHeight="1" s="197">
      <c r="A18" s="304" t="n"/>
      <c r="B18" s="95" t="inlineStr">
        <is>
          <t>_____________________ Н.О. Васецкая</t>
        </is>
      </c>
      <c r="C18" s="207" t="n"/>
      <c r="D18" s="304" t="n"/>
      <c r="E18" s="532" t="n"/>
      <c r="F18" s="94" t="n"/>
      <c r="G18" s="94" t="n"/>
      <c r="H18" s="94" t="n"/>
      <c r="I18" s="837" t="inlineStr">
        <is>
          <t>_____________________ А.И. Боровков</t>
        </is>
      </c>
      <c r="J18" s="94" t="n"/>
      <c r="K18" s="533" t="n"/>
    </row>
    <row r="19" ht="15.75" customHeight="1" s="794">
      <c r="A19" s="30" t="n"/>
      <c r="B19" s="63" t="inlineStr">
        <is>
          <t xml:space="preserve">  (подпись)                                     (Ф.И.О.)</t>
        </is>
      </c>
      <c r="C19" s="31" t="n"/>
      <c r="D19" s="30" t="n"/>
      <c r="E19" s="30" t="n"/>
      <c r="F19" s="24" t="n"/>
      <c r="G19" s="24" t="n"/>
      <c r="H19" s="24" t="n"/>
      <c r="I19" s="63" t="inlineStr">
        <is>
          <t xml:space="preserve">  (подпись)                                        (Ф.И.О.)</t>
        </is>
      </c>
      <c r="J19" s="24" t="n"/>
    </row>
    <row r="20" ht="23.25" customFormat="1" customHeight="1" s="197">
      <c r="A20" s="95" t="n"/>
      <c r="B20" s="107" t="inlineStr">
        <is>
          <t>«____» __________________ 2025 г.</t>
        </is>
      </c>
      <c r="C20" s="95" t="n"/>
      <c r="D20" s="95" t="n"/>
      <c r="E20" s="95" t="n"/>
      <c r="F20" s="94" t="n"/>
      <c r="G20" s="94" t="n"/>
      <c r="H20" s="94" t="n"/>
      <c r="I20" s="107" t="inlineStr">
        <is>
          <t>«____» __________________ 2025 г.</t>
        </is>
      </c>
      <c r="J20" s="94" t="n"/>
      <c r="K20" s="534" t="n"/>
    </row>
    <row r="21" ht="22.5" customHeight="1" s="794">
      <c r="A21" s="217" t="n"/>
      <c r="B21" s="224" t="n"/>
      <c r="C21" s="218" t="n"/>
      <c r="D21" s="218" t="n"/>
      <c r="E21" s="218" t="n"/>
      <c r="F21" s="218" t="n"/>
      <c r="G21" s="218" t="n"/>
      <c r="H21" s="218" t="n"/>
      <c r="I21" s="218" t="n"/>
      <c r="J21" s="218" t="n"/>
      <c r="K21" s="218" t="n"/>
    </row>
    <row r="22" ht="18.75" customHeight="1" s="794">
      <c r="E22" s="221" t="n"/>
      <c r="F22" s="24" t="n"/>
      <c r="G22" s="24" t="n"/>
      <c r="H22" s="24" t="n"/>
      <c r="I22" s="991" t="inlineStr">
        <is>
          <t>Ответственный исполнитель</t>
        </is>
      </c>
    </row>
    <row r="23" ht="35.25" customHeight="1" s="794">
      <c r="E23" s="13" t="n"/>
      <c r="F23" s="24" t="n"/>
      <c r="G23" s="24" t="n"/>
      <c r="H23" s="24" t="n"/>
      <c r="I23" s="837" t="inlineStr">
        <is>
          <t>_____________________ И.О. Фамилия</t>
        </is>
      </c>
      <c r="J23" s="96" t="n"/>
      <c r="K23" s="534" t="n"/>
    </row>
    <row r="24" ht="19.5" customHeight="1" s="794">
      <c r="I24" s="63" t="inlineStr">
        <is>
          <t xml:space="preserve">  (подпись)                                        (Ф.И.О.)</t>
        </is>
      </c>
      <c r="J24" s="49" t="n"/>
    </row>
    <row r="25" ht="30" customHeight="1" s="794">
      <c r="I25" s="107" t="inlineStr">
        <is>
          <t>«____» __________________ 2025 г.</t>
        </is>
      </c>
      <c r="J25" s="95" t="n"/>
      <c r="K25" s="534" t="n"/>
    </row>
    <row r="27" ht="23.25" customHeight="1" s="794">
      <c r="C27" s="194" t="n"/>
      <c r="D27" s="194" t="n"/>
      <c r="E27" s="194" t="n"/>
      <c r="F27" s="194" t="n"/>
      <c r="G27" s="194" t="n"/>
      <c r="H27" s="194" t="n"/>
      <c r="I27" s="194" t="n"/>
      <c r="J27" s="194" t="n"/>
    </row>
    <row r="28" ht="23.25" customHeight="1" s="794">
      <c r="C28" s="96" t="n"/>
      <c r="D28" s="96" t="n"/>
      <c r="E28" s="197" t="n"/>
      <c r="F28" s="197" t="n"/>
      <c r="G28" s="197" t="n"/>
      <c r="H28" s="197" t="n"/>
      <c r="I28" s="197" t="n"/>
      <c r="J28" s="197" t="n"/>
    </row>
    <row r="29" ht="10.5" customHeight="1" s="794">
      <c r="C29" s="49" t="n"/>
      <c r="D29" s="49" t="n"/>
    </row>
    <row r="30" ht="23.25" customHeight="1" s="794">
      <c r="C30" s="95" t="n"/>
      <c r="D30" s="95" t="n"/>
      <c r="E30" s="197" t="n"/>
      <c r="F30" s="197" t="n"/>
      <c r="G30" s="197" t="n"/>
      <c r="H30" s="197" t="n"/>
      <c r="I30" s="197" t="n"/>
      <c r="J30" s="197" t="n"/>
    </row>
    <row r="36">
      <c r="B36" s="44" t="n"/>
    </row>
  </sheetData>
  <mergeCells count="29">
    <mergeCell ref="B4:L4"/>
    <mergeCell ref="A15:B15"/>
    <mergeCell ref="I17:L17"/>
    <mergeCell ref="H9:H10"/>
    <mergeCell ref="J9:J10"/>
    <mergeCell ref="B3:L3"/>
    <mergeCell ref="C7:F7"/>
    <mergeCell ref="G8:H8"/>
    <mergeCell ref="E8:F8"/>
    <mergeCell ref="C9:C10"/>
    <mergeCell ref="E9:E10"/>
    <mergeCell ref="A7:A10"/>
    <mergeCell ref="I22:M22"/>
    <mergeCell ref="B17:C17"/>
    <mergeCell ref="L8:M8"/>
    <mergeCell ref="K7:M7"/>
    <mergeCell ref="D9:D10"/>
    <mergeCell ref="F9:F10"/>
    <mergeCell ref="A14:B14"/>
    <mergeCell ref="G7:J7"/>
    <mergeCell ref="I8:J8"/>
    <mergeCell ref="C8:D8"/>
    <mergeCell ref="L9:M9"/>
    <mergeCell ref="G9:G10"/>
    <mergeCell ref="I9:I10"/>
    <mergeCell ref="B5:L5"/>
    <mergeCell ref="A13:B13"/>
    <mergeCell ref="K8:K10"/>
    <mergeCell ref="B7:B10"/>
  </mergeCells>
  <printOptions horizontalCentered="1"/>
  <pageMargins left="0.25" right="0.25" top="0.75" bottom="0.75" header="0.3" footer="0.3"/>
  <pageSetup orientation="landscape" paperSize="9" scale="70"/>
</worksheet>
</file>

<file path=xl/worksheets/sheet21.xml><?xml version="1.0" encoding="utf-8"?>
<worksheet xmlns="http://schemas.openxmlformats.org/spreadsheetml/2006/main">
  <sheetPr>
    <tabColor theme="4" tint="0.7999816888943144"/>
    <outlinePr summaryBelow="1" summaryRight="1"/>
    <pageSetUpPr fitToPage="1"/>
  </sheetPr>
  <dimension ref="A1:M33"/>
  <sheetViews>
    <sheetView view="pageBreakPreview" zoomScale="70" zoomScaleNormal="100" zoomScaleSheetLayoutView="70" workbookViewId="0">
      <selection activeCell="B5" sqref="B5:L5"/>
    </sheetView>
  </sheetViews>
  <sheetFormatPr baseColWidth="8" defaultRowHeight="15"/>
  <cols>
    <col width="4.5703125" customWidth="1" style="28" min="1" max="1"/>
    <col width="44.5703125" customWidth="1" style="28" min="2" max="2"/>
    <col width="11.5703125" customWidth="1" style="28" min="3" max="3"/>
    <col width="20" customWidth="1" style="28" min="4" max="4"/>
    <col width="11.28515625" customWidth="1" style="28" min="5" max="5"/>
    <col width="18.5703125" customWidth="1" style="28" min="6" max="6"/>
    <col width="10.42578125" customWidth="1" style="28" min="7" max="7"/>
    <col width="19.140625" customWidth="1" style="28" min="8" max="8"/>
    <col width="11" customWidth="1" style="28" min="9" max="9"/>
    <col width="20" customWidth="1" style="28" min="10" max="10"/>
    <col width="11.28515625" customWidth="1" style="28" min="11" max="11"/>
    <col width="12.42578125" customWidth="1" style="28" min="12" max="12"/>
    <col width="15.28515625" customWidth="1" style="28" min="13" max="13"/>
    <col width="4.5703125" customWidth="1" style="794" min="246" max="246"/>
    <col width="44.5703125" customWidth="1" style="794" min="247" max="247"/>
    <col width="11.5703125" customWidth="1" style="794" min="248" max="248"/>
    <col width="20" customWidth="1" style="794" min="249" max="249"/>
    <col width="11.28515625" customWidth="1" style="794" min="250" max="250"/>
    <col width="18.5703125" customWidth="1" style="794" min="251" max="251"/>
    <col width="11.28515625" customWidth="1" style="794" min="252" max="252"/>
    <col width="15.28515625" customWidth="1" style="794" min="253" max="253"/>
    <col width="18.7109375" customWidth="1" style="794" min="254" max="254"/>
    <col width="11" customWidth="1" style="794" min="255" max="255"/>
    <col width="14.5703125" customWidth="1" style="794" min="256" max="256"/>
    <col width="19.28515625" customWidth="1" style="794" min="257" max="257"/>
    <col width="4.5703125" customWidth="1" style="794" min="502" max="502"/>
    <col width="44.5703125" customWidth="1" style="794" min="503" max="503"/>
    <col width="11.5703125" customWidth="1" style="794" min="504" max="504"/>
    <col width="20" customWidth="1" style="794" min="505" max="505"/>
    <col width="11.28515625" customWidth="1" style="794" min="506" max="506"/>
    <col width="18.5703125" customWidth="1" style="794" min="507" max="507"/>
    <col width="11.28515625" customWidth="1" style="794" min="508" max="508"/>
    <col width="15.28515625" customWidth="1" style="794" min="509" max="509"/>
    <col width="18.7109375" customWidth="1" style="794" min="510" max="510"/>
    <col width="11" customWidth="1" style="794" min="511" max="511"/>
    <col width="14.5703125" customWidth="1" style="794" min="512" max="512"/>
    <col width="19.28515625" customWidth="1" style="794" min="513" max="513"/>
    <col width="4.5703125" customWidth="1" style="794" min="758" max="758"/>
    <col width="44.5703125" customWidth="1" style="794" min="759" max="759"/>
    <col width="11.5703125" customWidth="1" style="794" min="760" max="760"/>
    <col width="20" customWidth="1" style="794" min="761" max="761"/>
    <col width="11.28515625" customWidth="1" style="794" min="762" max="762"/>
    <col width="18.5703125" customWidth="1" style="794" min="763" max="763"/>
    <col width="11.28515625" customWidth="1" style="794" min="764" max="764"/>
    <col width="15.28515625" customWidth="1" style="794" min="765" max="765"/>
    <col width="18.7109375" customWidth="1" style="794" min="766" max="766"/>
    <col width="11" customWidth="1" style="794" min="767" max="767"/>
    <col width="14.5703125" customWidth="1" style="794" min="768" max="768"/>
    <col width="19.28515625" customWidth="1" style="794" min="769" max="769"/>
    <col width="4.5703125" customWidth="1" style="794" min="1014" max="1014"/>
    <col width="44.5703125" customWidth="1" style="794" min="1015" max="1015"/>
    <col width="11.5703125" customWidth="1" style="794" min="1016" max="1016"/>
    <col width="20" customWidth="1" style="794" min="1017" max="1017"/>
    <col width="11.28515625" customWidth="1" style="794" min="1018" max="1018"/>
    <col width="18.5703125" customWidth="1" style="794" min="1019" max="1019"/>
    <col width="11.28515625" customWidth="1" style="794" min="1020" max="1020"/>
    <col width="15.28515625" customWidth="1" style="794" min="1021" max="1021"/>
    <col width="18.7109375" customWidth="1" style="794" min="1022" max="1022"/>
    <col width="11" customWidth="1" style="794" min="1023" max="1023"/>
    <col width="14.5703125" customWidth="1" style="794" min="1024" max="1024"/>
    <col width="19.28515625" customWidth="1" style="794" min="1025" max="1025"/>
    <col width="4.5703125" customWidth="1" style="794" min="1270" max="1270"/>
    <col width="44.5703125" customWidth="1" style="794" min="1271" max="1271"/>
    <col width="11.5703125" customWidth="1" style="794" min="1272" max="1272"/>
    <col width="20" customWidth="1" style="794" min="1273" max="1273"/>
    <col width="11.28515625" customWidth="1" style="794" min="1274" max="1274"/>
    <col width="18.5703125" customWidth="1" style="794" min="1275" max="1275"/>
    <col width="11.28515625" customWidth="1" style="794" min="1276" max="1276"/>
    <col width="15.28515625" customWidth="1" style="794" min="1277" max="1277"/>
    <col width="18.7109375" customWidth="1" style="794" min="1278" max="1278"/>
    <col width="11" customWidth="1" style="794" min="1279" max="1279"/>
    <col width="14.5703125" customWidth="1" style="794" min="1280" max="1280"/>
    <col width="19.28515625" customWidth="1" style="794" min="1281" max="1281"/>
    <col width="4.5703125" customWidth="1" style="794" min="1526" max="1526"/>
    <col width="44.5703125" customWidth="1" style="794" min="1527" max="1527"/>
    <col width="11.5703125" customWidth="1" style="794" min="1528" max="1528"/>
    <col width="20" customWidth="1" style="794" min="1529" max="1529"/>
    <col width="11.28515625" customWidth="1" style="794" min="1530" max="1530"/>
    <col width="18.5703125" customWidth="1" style="794" min="1531" max="1531"/>
    <col width="11.28515625" customWidth="1" style="794" min="1532" max="1532"/>
    <col width="15.28515625" customWidth="1" style="794" min="1533" max="1533"/>
    <col width="18.7109375" customWidth="1" style="794" min="1534" max="1534"/>
    <col width="11" customWidth="1" style="794" min="1535" max="1535"/>
    <col width="14.5703125" customWidth="1" style="794" min="1536" max="1536"/>
    <col width="19.28515625" customWidth="1" style="794" min="1537" max="1537"/>
    <col width="4.5703125" customWidth="1" style="794" min="1782" max="1782"/>
    <col width="44.5703125" customWidth="1" style="794" min="1783" max="1783"/>
    <col width="11.5703125" customWidth="1" style="794" min="1784" max="1784"/>
    <col width="20" customWidth="1" style="794" min="1785" max="1785"/>
    <col width="11.28515625" customWidth="1" style="794" min="1786" max="1786"/>
    <col width="18.5703125" customWidth="1" style="794" min="1787" max="1787"/>
    <col width="11.28515625" customWidth="1" style="794" min="1788" max="1788"/>
    <col width="15.28515625" customWidth="1" style="794" min="1789" max="1789"/>
    <col width="18.7109375" customWidth="1" style="794" min="1790" max="1790"/>
    <col width="11" customWidth="1" style="794" min="1791" max="1791"/>
    <col width="14.5703125" customWidth="1" style="794" min="1792" max="1792"/>
    <col width="19.28515625" customWidth="1" style="794" min="1793" max="1793"/>
    <col width="4.5703125" customWidth="1" style="794" min="2038" max="2038"/>
    <col width="44.5703125" customWidth="1" style="794" min="2039" max="2039"/>
    <col width="11.5703125" customWidth="1" style="794" min="2040" max="2040"/>
    <col width="20" customWidth="1" style="794" min="2041" max="2041"/>
    <col width="11.28515625" customWidth="1" style="794" min="2042" max="2042"/>
    <col width="18.5703125" customWidth="1" style="794" min="2043" max="2043"/>
    <col width="11.28515625" customWidth="1" style="794" min="2044" max="2044"/>
    <col width="15.28515625" customWidth="1" style="794" min="2045" max="2045"/>
    <col width="18.7109375" customWidth="1" style="794" min="2046" max="2046"/>
    <col width="11" customWidth="1" style="794" min="2047" max="2047"/>
    <col width="14.5703125" customWidth="1" style="794" min="2048" max="2048"/>
    <col width="19.28515625" customWidth="1" style="794" min="2049" max="2049"/>
    <col width="4.5703125" customWidth="1" style="794" min="2294" max="2294"/>
    <col width="44.5703125" customWidth="1" style="794" min="2295" max="2295"/>
    <col width="11.5703125" customWidth="1" style="794" min="2296" max="2296"/>
    <col width="20" customWidth="1" style="794" min="2297" max="2297"/>
    <col width="11.28515625" customWidth="1" style="794" min="2298" max="2298"/>
    <col width="18.5703125" customWidth="1" style="794" min="2299" max="2299"/>
    <col width="11.28515625" customWidth="1" style="794" min="2300" max="2300"/>
    <col width="15.28515625" customWidth="1" style="794" min="2301" max="2301"/>
    <col width="18.7109375" customWidth="1" style="794" min="2302" max="2302"/>
    <col width="11" customWidth="1" style="794" min="2303" max="2303"/>
    <col width="14.5703125" customWidth="1" style="794" min="2304" max="2304"/>
    <col width="19.28515625" customWidth="1" style="794" min="2305" max="2305"/>
    <col width="4.5703125" customWidth="1" style="794" min="2550" max="2550"/>
    <col width="44.5703125" customWidth="1" style="794" min="2551" max="2551"/>
    <col width="11.5703125" customWidth="1" style="794" min="2552" max="2552"/>
    <col width="20" customWidth="1" style="794" min="2553" max="2553"/>
    <col width="11.28515625" customWidth="1" style="794" min="2554" max="2554"/>
    <col width="18.5703125" customWidth="1" style="794" min="2555" max="2555"/>
    <col width="11.28515625" customWidth="1" style="794" min="2556" max="2556"/>
    <col width="15.28515625" customWidth="1" style="794" min="2557" max="2557"/>
    <col width="18.7109375" customWidth="1" style="794" min="2558" max="2558"/>
    <col width="11" customWidth="1" style="794" min="2559" max="2559"/>
    <col width="14.5703125" customWidth="1" style="794" min="2560" max="2560"/>
    <col width="19.28515625" customWidth="1" style="794" min="2561" max="2561"/>
    <col width="4.5703125" customWidth="1" style="794" min="2806" max="2806"/>
    <col width="44.5703125" customWidth="1" style="794" min="2807" max="2807"/>
    <col width="11.5703125" customWidth="1" style="794" min="2808" max="2808"/>
    <col width="20" customWidth="1" style="794" min="2809" max="2809"/>
    <col width="11.28515625" customWidth="1" style="794" min="2810" max="2810"/>
    <col width="18.5703125" customWidth="1" style="794" min="2811" max="2811"/>
    <col width="11.28515625" customWidth="1" style="794" min="2812" max="2812"/>
    <col width="15.28515625" customWidth="1" style="794" min="2813" max="2813"/>
    <col width="18.7109375" customWidth="1" style="794" min="2814" max="2814"/>
    <col width="11" customWidth="1" style="794" min="2815" max="2815"/>
    <col width="14.5703125" customWidth="1" style="794" min="2816" max="2816"/>
    <col width="19.28515625" customWidth="1" style="794" min="2817" max="2817"/>
    <col width="4.5703125" customWidth="1" style="794" min="3062" max="3062"/>
    <col width="44.5703125" customWidth="1" style="794" min="3063" max="3063"/>
    <col width="11.5703125" customWidth="1" style="794" min="3064" max="3064"/>
    <col width="20" customWidth="1" style="794" min="3065" max="3065"/>
    <col width="11.28515625" customWidth="1" style="794" min="3066" max="3066"/>
    <col width="18.5703125" customWidth="1" style="794" min="3067" max="3067"/>
    <col width="11.28515625" customWidth="1" style="794" min="3068" max="3068"/>
    <col width="15.28515625" customWidth="1" style="794" min="3069" max="3069"/>
    <col width="18.7109375" customWidth="1" style="794" min="3070" max="3070"/>
    <col width="11" customWidth="1" style="794" min="3071" max="3071"/>
    <col width="14.5703125" customWidth="1" style="794" min="3072" max="3072"/>
    <col width="19.28515625" customWidth="1" style="794" min="3073" max="3073"/>
    <col width="4.5703125" customWidth="1" style="794" min="3318" max="3318"/>
    <col width="44.5703125" customWidth="1" style="794" min="3319" max="3319"/>
    <col width="11.5703125" customWidth="1" style="794" min="3320" max="3320"/>
    <col width="20" customWidth="1" style="794" min="3321" max="3321"/>
    <col width="11.28515625" customWidth="1" style="794" min="3322" max="3322"/>
    <col width="18.5703125" customWidth="1" style="794" min="3323" max="3323"/>
    <col width="11.28515625" customWidth="1" style="794" min="3324" max="3324"/>
    <col width="15.28515625" customWidth="1" style="794" min="3325" max="3325"/>
    <col width="18.7109375" customWidth="1" style="794" min="3326" max="3326"/>
    <col width="11" customWidth="1" style="794" min="3327" max="3327"/>
    <col width="14.5703125" customWidth="1" style="794" min="3328" max="3328"/>
    <col width="19.28515625" customWidth="1" style="794" min="3329" max="3329"/>
    <col width="4.5703125" customWidth="1" style="794" min="3574" max="3574"/>
    <col width="44.5703125" customWidth="1" style="794" min="3575" max="3575"/>
    <col width="11.5703125" customWidth="1" style="794" min="3576" max="3576"/>
    <col width="20" customWidth="1" style="794" min="3577" max="3577"/>
    <col width="11.28515625" customWidth="1" style="794" min="3578" max="3578"/>
    <col width="18.5703125" customWidth="1" style="794" min="3579" max="3579"/>
    <col width="11.28515625" customWidth="1" style="794" min="3580" max="3580"/>
    <col width="15.28515625" customWidth="1" style="794" min="3581" max="3581"/>
    <col width="18.7109375" customWidth="1" style="794" min="3582" max="3582"/>
    <col width="11" customWidth="1" style="794" min="3583" max="3583"/>
    <col width="14.5703125" customWidth="1" style="794" min="3584" max="3584"/>
    <col width="19.28515625" customWidth="1" style="794" min="3585" max="3585"/>
    <col width="4.5703125" customWidth="1" style="794" min="3830" max="3830"/>
    <col width="44.5703125" customWidth="1" style="794" min="3831" max="3831"/>
    <col width="11.5703125" customWidth="1" style="794" min="3832" max="3832"/>
    <col width="20" customWidth="1" style="794" min="3833" max="3833"/>
    <col width="11.28515625" customWidth="1" style="794" min="3834" max="3834"/>
    <col width="18.5703125" customWidth="1" style="794" min="3835" max="3835"/>
    <col width="11.28515625" customWidth="1" style="794" min="3836" max="3836"/>
    <col width="15.28515625" customWidth="1" style="794" min="3837" max="3837"/>
    <col width="18.7109375" customWidth="1" style="794" min="3838" max="3838"/>
    <col width="11" customWidth="1" style="794" min="3839" max="3839"/>
    <col width="14.5703125" customWidth="1" style="794" min="3840" max="3840"/>
    <col width="19.28515625" customWidth="1" style="794" min="3841" max="3841"/>
    <col width="4.5703125" customWidth="1" style="794" min="4086" max="4086"/>
    <col width="44.5703125" customWidth="1" style="794" min="4087" max="4087"/>
    <col width="11.5703125" customWidth="1" style="794" min="4088" max="4088"/>
    <col width="20" customWidth="1" style="794" min="4089" max="4089"/>
    <col width="11.28515625" customWidth="1" style="794" min="4090" max="4090"/>
    <col width="18.5703125" customWidth="1" style="794" min="4091" max="4091"/>
    <col width="11.28515625" customWidth="1" style="794" min="4092" max="4092"/>
    <col width="15.28515625" customWidth="1" style="794" min="4093" max="4093"/>
    <col width="18.7109375" customWidth="1" style="794" min="4094" max="4094"/>
    <col width="11" customWidth="1" style="794" min="4095" max="4095"/>
    <col width="14.5703125" customWidth="1" style="794" min="4096" max="4096"/>
    <col width="19.28515625" customWidth="1" style="794" min="4097" max="4097"/>
    <col width="4.5703125" customWidth="1" style="794" min="4342" max="4342"/>
    <col width="44.5703125" customWidth="1" style="794" min="4343" max="4343"/>
    <col width="11.5703125" customWidth="1" style="794" min="4344" max="4344"/>
    <col width="20" customWidth="1" style="794" min="4345" max="4345"/>
    <col width="11.28515625" customWidth="1" style="794" min="4346" max="4346"/>
    <col width="18.5703125" customWidth="1" style="794" min="4347" max="4347"/>
    <col width="11.28515625" customWidth="1" style="794" min="4348" max="4348"/>
    <col width="15.28515625" customWidth="1" style="794" min="4349" max="4349"/>
    <col width="18.7109375" customWidth="1" style="794" min="4350" max="4350"/>
    <col width="11" customWidth="1" style="794" min="4351" max="4351"/>
    <col width="14.5703125" customWidth="1" style="794" min="4352" max="4352"/>
    <col width="19.28515625" customWidth="1" style="794" min="4353" max="4353"/>
    <col width="4.5703125" customWidth="1" style="794" min="4598" max="4598"/>
    <col width="44.5703125" customWidth="1" style="794" min="4599" max="4599"/>
    <col width="11.5703125" customWidth="1" style="794" min="4600" max="4600"/>
    <col width="20" customWidth="1" style="794" min="4601" max="4601"/>
    <col width="11.28515625" customWidth="1" style="794" min="4602" max="4602"/>
    <col width="18.5703125" customWidth="1" style="794" min="4603" max="4603"/>
    <col width="11.28515625" customWidth="1" style="794" min="4604" max="4604"/>
    <col width="15.28515625" customWidth="1" style="794" min="4605" max="4605"/>
    <col width="18.7109375" customWidth="1" style="794" min="4606" max="4606"/>
    <col width="11" customWidth="1" style="794" min="4607" max="4607"/>
    <col width="14.5703125" customWidth="1" style="794" min="4608" max="4608"/>
    <col width="19.28515625" customWidth="1" style="794" min="4609" max="4609"/>
    <col width="4.5703125" customWidth="1" style="794" min="4854" max="4854"/>
    <col width="44.5703125" customWidth="1" style="794" min="4855" max="4855"/>
    <col width="11.5703125" customWidth="1" style="794" min="4856" max="4856"/>
    <col width="20" customWidth="1" style="794" min="4857" max="4857"/>
    <col width="11.28515625" customWidth="1" style="794" min="4858" max="4858"/>
    <col width="18.5703125" customWidth="1" style="794" min="4859" max="4859"/>
    <col width="11.28515625" customWidth="1" style="794" min="4860" max="4860"/>
    <col width="15.28515625" customWidth="1" style="794" min="4861" max="4861"/>
    <col width="18.7109375" customWidth="1" style="794" min="4862" max="4862"/>
    <col width="11" customWidth="1" style="794" min="4863" max="4863"/>
    <col width="14.5703125" customWidth="1" style="794" min="4864" max="4864"/>
    <col width="19.28515625" customWidth="1" style="794" min="4865" max="4865"/>
    <col width="4.5703125" customWidth="1" style="794" min="5110" max="5110"/>
    <col width="44.5703125" customWidth="1" style="794" min="5111" max="5111"/>
    <col width="11.5703125" customWidth="1" style="794" min="5112" max="5112"/>
    <col width="20" customWidth="1" style="794" min="5113" max="5113"/>
    <col width="11.28515625" customWidth="1" style="794" min="5114" max="5114"/>
    <col width="18.5703125" customWidth="1" style="794" min="5115" max="5115"/>
    <col width="11.28515625" customWidth="1" style="794" min="5116" max="5116"/>
    <col width="15.28515625" customWidth="1" style="794" min="5117" max="5117"/>
    <col width="18.7109375" customWidth="1" style="794" min="5118" max="5118"/>
    <col width="11" customWidth="1" style="794" min="5119" max="5119"/>
    <col width="14.5703125" customWidth="1" style="794" min="5120" max="5120"/>
    <col width="19.28515625" customWidth="1" style="794" min="5121" max="5121"/>
    <col width="4.5703125" customWidth="1" style="794" min="5366" max="5366"/>
    <col width="44.5703125" customWidth="1" style="794" min="5367" max="5367"/>
    <col width="11.5703125" customWidth="1" style="794" min="5368" max="5368"/>
    <col width="20" customWidth="1" style="794" min="5369" max="5369"/>
    <col width="11.28515625" customWidth="1" style="794" min="5370" max="5370"/>
    <col width="18.5703125" customWidth="1" style="794" min="5371" max="5371"/>
    <col width="11.28515625" customWidth="1" style="794" min="5372" max="5372"/>
    <col width="15.28515625" customWidth="1" style="794" min="5373" max="5373"/>
    <col width="18.7109375" customWidth="1" style="794" min="5374" max="5374"/>
    <col width="11" customWidth="1" style="794" min="5375" max="5375"/>
    <col width="14.5703125" customWidth="1" style="794" min="5376" max="5376"/>
    <col width="19.28515625" customWidth="1" style="794" min="5377" max="5377"/>
    <col width="4.5703125" customWidth="1" style="794" min="5622" max="5622"/>
    <col width="44.5703125" customWidth="1" style="794" min="5623" max="5623"/>
    <col width="11.5703125" customWidth="1" style="794" min="5624" max="5624"/>
    <col width="20" customWidth="1" style="794" min="5625" max="5625"/>
    <col width="11.28515625" customWidth="1" style="794" min="5626" max="5626"/>
    <col width="18.5703125" customWidth="1" style="794" min="5627" max="5627"/>
    <col width="11.28515625" customWidth="1" style="794" min="5628" max="5628"/>
    <col width="15.28515625" customWidth="1" style="794" min="5629" max="5629"/>
    <col width="18.7109375" customWidth="1" style="794" min="5630" max="5630"/>
    <col width="11" customWidth="1" style="794" min="5631" max="5631"/>
    <col width="14.5703125" customWidth="1" style="794" min="5632" max="5632"/>
    <col width="19.28515625" customWidth="1" style="794" min="5633" max="5633"/>
    <col width="4.5703125" customWidth="1" style="794" min="5878" max="5878"/>
    <col width="44.5703125" customWidth="1" style="794" min="5879" max="5879"/>
    <col width="11.5703125" customWidth="1" style="794" min="5880" max="5880"/>
    <col width="20" customWidth="1" style="794" min="5881" max="5881"/>
    <col width="11.28515625" customWidth="1" style="794" min="5882" max="5882"/>
    <col width="18.5703125" customWidth="1" style="794" min="5883" max="5883"/>
    <col width="11.28515625" customWidth="1" style="794" min="5884" max="5884"/>
    <col width="15.28515625" customWidth="1" style="794" min="5885" max="5885"/>
    <col width="18.7109375" customWidth="1" style="794" min="5886" max="5886"/>
    <col width="11" customWidth="1" style="794" min="5887" max="5887"/>
    <col width="14.5703125" customWidth="1" style="794" min="5888" max="5888"/>
    <col width="19.28515625" customWidth="1" style="794" min="5889" max="5889"/>
    <col width="4.5703125" customWidth="1" style="794" min="6134" max="6134"/>
    <col width="44.5703125" customWidth="1" style="794" min="6135" max="6135"/>
    <col width="11.5703125" customWidth="1" style="794" min="6136" max="6136"/>
    <col width="20" customWidth="1" style="794" min="6137" max="6137"/>
    <col width="11.28515625" customWidth="1" style="794" min="6138" max="6138"/>
    <col width="18.5703125" customWidth="1" style="794" min="6139" max="6139"/>
    <col width="11.28515625" customWidth="1" style="794" min="6140" max="6140"/>
    <col width="15.28515625" customWidth="1" style="794" min="6141" max="6141"/>
    <col width="18.7109375" customWidth="1" style="794" min="6142" max="6142"/>
    <col width="11" customWidth="1" style="794" min="6143" max="6143"/>
    <col width="14.5703125" customWidth="1" style="794" min="6144" max="6144"/>
    <col width="19.28515625" customWidth="1" style="794" min="6145" max="6145"/>
    <col width="4.5703125" customWidth="1" style="794" min="6390" max="6390"/>
    <col width="44.5703125" customWidth="1" style="794" min="6391" max="6391"/>
    <col width="11.5703125" customWidth="1" style="794" min="6392" max="6392"/>
    <col width="20" customWidth="1" style="794" min="6393" max="6393"/>
    <col width="11.28515625" customWidth="1" style="794" min="6394" max="6394"/>
    <col width="18.5703125" customWidth="1" style="794" min="6395" max="6395"/>
    <col width="11.28515625" customWidth="1" style="794" min="6396" max="6396"/>
    <col width="15.28515625" customWidth="1" style="794" min="6397" max="6397"/>
    <col width="18.7109375" customWidth="1" style="794" min="6398" max="6398"/>
    <col width="11" customWidth="1" style="794" min="6399" max="6399"/>
    <col width="14.5703125" customWidth="1" style="794" min="6400" max="6400"/>
    <col width="19.28515625" customWidth="1" style="794" min="6401" max="6401"/>
    <col width="4.5703125" customWidth="1" style="794" min="6646" max="6646"/>
    <col width="44.5703125" customWidth="1" style="794" min="6647" max="6647"/>
    <col width="11.5703125" customWidth="1" style="794" min="6648" max="6648"/>
    <col width="20" customWidth="1" style="794" min="6649" max="6649"/>
    <col width="11.28515625" customWidth="1" style="794" min="6650" max="6650"/>
    <col width="18.5703125" customWidth="1" style="794" min="6651" max="6651"/>
    <col width="11.28515625" customWidth="1" style="794" min="6652" max="6652"/>
    <col width="15.28515625" customWidth="1" style="794" min="6653" max="6653"/>
    <col width="18.7109375" customWidth="1" style="794" min="6654" max="6654"/>
    <col width="11" customWidth="1" style="794" min="6655" max="6655"/>
    <col width="14.5703125" customWidth="1" style="794" min="6656" max="6656"/>
    <col width="19.28515625" customWidth="1" style="794" min="6657" max="6657"/>
    <col width="4.5703125" customWidth="1" style="794" min="6902" max="6902"/>
    <col width="44.5703125" customWidth="1" style="794" min="6903" max="6903"/>
    <col width="11.5703125" customWidth="1" style="794" min="6904" max="6904"/>
    <col width="20" customWidth="1" style="794" min="6905" max="6905"/>
    <col width="11.28515625" customWidth="1" style="794" min="6906" max="6906"/>
    <col width="18.5703125" customWidth="1" style="794" min="6907" max="6907"/>
    <col width="11.28515625" customWidth="1" style="794" min="6908" max="6908"/>
    <col width="15.28515625" customWidth="1" style="794" min="6909" max="6909"/>
    <col width="18.7109375" customWidth="1" style="794" min="6910" max="6910"/>
    <col width="11" customWidth="1" style="794" min="6911" max="6911"/>
    <col width="14.5703125" customWidth="1" style="794" min="6912" max="6912"/>
    <col width="19.28515625" customWidth="1" style="794" min="6913" max="6913"/>
    <col width="4.5703125" customWidth="1" style="794" min="7158" max="7158"/>
    <col width="44.5703125" customWidth="1" style="794" min="7159" max="7159"/>
    <col width="11.5703125" customWidth="1" style="794" min="7160" max="7160"/>
    <col width="20" customWidth="1" style="794" min="7161" max="7161"/>
    <col width="11.28515625" customWidth="1" style="794" min="7162" max="7162"/>
    <col width="18.5703125" customWidth="1" style="794" min="7163" max="7163"/>
    <col width="11.28515625" customWidth="1" style="794" min="7164" max="7164"/>
    <col width="15.28515625" customWidth="1" style="794" min="7165" max="7165"/>
    <col width="18.7109375" customWidth="1" style="794" min="7166" max="7166"/>
    <col width="11" customWidth="1" style="794" min="7167" max="7167"/>
    <col width="14.5703125" customWidth="1" style="794" min="7168" max="7168"/>
    <col width="19.28515625" customWidth="1" style="794" min="7169" max="7169"/>
    <col width="4.5703125" customWidth="1" style="794" min="7414" max="7414"/>
    <col width="44.5703125" customWidth="1" style="794" min="7415" max="7415"/>
    <col width="11.5703125" customWidth="1" style="794" min="7416" max="7416"/>
    <col width="20" customWidth="1" style="794" min="7417" max="7417"/>
    <col width="11.28515625" customWidth="1" style="794" min="7418" max="7418"/>
    <col width="18.5703125" customWidth="1" style="794" min="7419" max="7419"/>
    <col width="11.28515625" customWidth="1" style="794" min="7420" max="7420"/>
    <col width="15.28515625" customWidth="1" style="794" min="7421" max="7421"/>
    <col width="18.7109375" customWidth="1" style="794" min="7422" max="7422"/>
    <col width="11" customWidth="1" style="794" min="7423" max="7423"/>
    <col width="14.5703125" customWidth="1" style="794" min="7424" max="7424"/>
    <col width="19.28515625" customWidth="1" style="794" min="7425" max="7425"/>
    <col width="4.5703125" customWidth="1" style="794" min="7670" max="7670"/>
    <col width="44.5703125" customWidth="1" style="794" min="7671" max="7671"/>
    <col width="11.5703125" customWidth="1" style="794" min="7672" max="7672"/>
    <col width="20" customWidth="1" style="794" min="7673" max="7673"/>
    <col width="11.28515625" customWidth="1" style="794" min="7674" max="7674"/>
    <col width="18.5703125" customWidth="1" style="794" min="7675" max="7675"/>
    <col width="11.28515625" customWidth="1" style="794" min="7676" max="7676"/>
    <col width="15.28515625" customWidth="1" style="794" min="7677" max="7677"/>
    <col width="18.7109375" customWidth="1" style="794" min="7678" max="7678"/>
    <col width="11" customWidth="1" style="794" min="7679" max="7679"/>
    <col width="14.5703125" customWidth="1" style="794" min="7680" max="7680"/>
    <col width="19.28515625" customWidth="1" style="794" min="7681" max="7681"/>
    <col width="4.5703125" customWidth="1" style="794" min="7926" max="7926"/>
    <col width="44.5703125" customWidth="1" style="794" min="7927" max="7927"/>
    <col width="11.5703125" customWidth="1" style="794" min="7928" max="7928"/>
    <col width="20" customWidth="1" style="794" min="7929" max="7929"/>
    <col width="11.28515625" customWidth="1" style="794" min="7930" max="7930"/>
    <col width="18.5703125" customWidth="1" style="794" min="7931" max="7931"/>
    <col width="11.28515625" customWidth="1" style="794" min="7932" max="7932"/>
    <col width="15.28515625" customWidth="1" style="794" min="7933" max="7933"/>
    <col width="18.7109375" customWidth="1" style="794" min="7934" max="7934"/>
    <col width="11" customWidth="1" style="794" min="7935" max="7935"/>
    <col width="14.5703125" customWidth="1" style="794" min="7936" max="7936"/>
    <col width="19.28515625" customWidth="1" style="794" min="7937" max="7937"/>
    <col width="4.5703125" customWidth="1" style="794" min="8182" max="8182"/>
    <col width="44.5703125" customWidth="1" style="794" min="8183" max="8183"/>
    <col width="11.5703125" customWidth="1" style="794" min="8184" max="8184"/>
    <col width="20" customWidth="1" style="794" min="8185" max="8185"/>
    <col width="11.28515625" customWidth="1" style="794" min="8186" max="8186"/>
    <col width="18.5703125" customWidth="1" style="794" min="8187" max="8187"/>
    <col width="11.28515625" customWidth="1" style="794" min="8188" max="8188"/>
    <col width="15.28515625" customWidth="1" style="794" min="8189" max="8189"/>
    <col width="18.7109375" customWidth="1" style="794" min="8190" max="8190"/>
    <col width="11" customWidth="1" style="794" min="8191" max="8191"/>
    <col width="14.5703125" customWidth="1" style="794" min="8192" max="8192"/>
    <col width="19.28515625" customWidth="1" style="794" min="8193" max="8193"/>
    <col width="4.5703125" customWidth="1" style="794" min="8438" max="8438"/>
    <col width="44.5703125" customWidth="1" style="794" min="8439" max="8439"/>
    <col width="11.5703125" customWidth="1" style="794" min="8440" max="8440"/>
    <col width="20" customWidth="1" style="794" min="8441" max="8441"/>
    <col width="11.28515625" customWidth="1" style="794" min="8442" max="8442"/>
    <col width="18.5703125" customWidth="1" style="794" min="8443" max="8443"/>
    <col width="11.28515625" customWidth="1" style="794" min="8444" max="8444"/>
    <col width="15.28515625" customWidth="1" style="794" min="8445" max="8445"/>
    <col width="18.7109375" customWidth="1" style="794" min="8446" max="8446"/>
    <col width="11" customWidth="1" style="794" min="8447" max="8447"/>
    <col width="14.5703125" customWidth="1" style="794" min="8448" max="8448"/>
    <col width="19.28515625" customWidth="1" style="794" min="8449" max="8449"/>
    <col width="4.5703125" customWidth="1" style="794" min="8694" max="8694"/>
    <col width="44.5703125" customWidth="1" style="794" min="8695" max="8695"/>
    <col width="11.5703125" customWidth="1" style="794" min="8696" max="8696"/>
    <col width="20" customWidth="1" style="794" min="8697" max="8697"/>
    <col width="11.28515625" customWidth="1" style="794" min="8698" max="8698"/>
    <col width="18.5703125" customWidth="1" style="794" min="8699" max="8699"/>
    <col width="11.28515625" customWidth="1" style="794" min="8700" max="8700"/>
    <col width="15.28515625" customWidth="1" style="794" min="8701" max="8701"/>
    <col width="18.7109375" customWidth="1" style="794" min="8702" max="8702"/>
    <col width="11" customWidth="1" style="794" min="8703" max="8703"/>
    <col width="14.5703125" customWidth="1" style="794" min="8704" max="8704"/>
    <col width="19.28515625" customWidth="1" style="794" min="8705" max="8705"/>
    <col width="4.5703125" customWidth="1" style="794" min="8950" max="8950"/>
    <col width="44.5703125" customWidth="1" style="794" min="8951" max="8951"/>
    <col width="11.5703125" customWidth="1" style="794" min="8952" max="8952"/>
    <col width="20" customWidth="1" style="794" min="8953" max="8953"/>
    <col width="11.28515625" customWidth="1" style="794" min="8954" max="8954"/>
    <col width="18.5703125" customWidth="1" style="794" min="8955" max="8955"/>
    <col width="11.28515625" customWidth="1" style="794" min="8956" max="8956"/>
    <col width="15.28515625" customWidth="1" style="794" min="8957" max="8957"/>
    <col width="18.7109375" customWidth="1" style="794" min="8958" max="8958"/>
    <col width="11" customWidth="1" style="794" min="8959" max="8959"/>
    <col width="14.5703125" customWidth="1" style="794" min="8960" max="8960"/>
    <col width="19.28515625" customWidth="1" style="794" min="8961" max="8961"/>
    <col width="4.5703125" customWidth="1" style="794" min="9206" max="9206"/>
    <col width="44.5703125" customWidth="1" style="794" min="9207" max="9207"/>
    <col width="11.5703125" customWidth="1" style="794" min="9208" max="9208"/>
    <col width="20" customWidth="1" style="794" min="9209" max="9209"/>
    <col width="11.28515625" customWidth="1" style="794" min="9210" max="9210"/>
    <col width="18.5703125" customWidth="1" style="794" min="9211" max="9211"/>
    <col width="11.28515625" customWidth="1" style="794" min="9212" max="9212"/>
    <col width="15.28515625" customWidth="1" style="794" min="9213" max="9213"/>
    <col width="18.7109375" customWidth="1" style="794" min="9214" max="9214"/>
    <col width="11" customWidth="1" style="794" min="9215" max="9215"/>
    <col width="14.5703125" customWidth="1" style="794" min="9216" max="9216"/>
    <col width="19.28515625" customWidth="1" style="794" min="9217" max="9217"/>
    <col width="4.5703125" customWidth="1" style="794" min="9462" max="9462"/>
    <col width="44.5703125" customWidth="1" style="794" min="9463" max="9463"/>
    <col width="11.5703125" customWidth="1" style="794" min="9464" max="9464"/>
    <col width="20" customWidth="1" style="794" min="9465" max="9465"/>
    <col width="11.28515625" customWidth="1" style="794" min="9466" max="9466"/>
    <col width="18.5703125" customWidth="1" style="794" min="9467" max="9467"/>
    <col width="11.28515625" customWidth="1" style="794" min="9468" max="9468"/>
    <col width="15.28515625" customWidth="1" style="794" min="9469" max="9469"/>
    <col width="18.7109375" customWidth="1" style="794" min="9470" max="9470"/>
    <col width="11" customWidth="1" style="794" min="9471" max="9471"/>
    <col width="14.5703125" customWidth="1" style="794" min="9472" max="9472"/>
    <col width="19.28515625" customWidth="1" style="794" min="9473" max="9473"/>
    <col width="4.5703125" customWidth="1" style="794" min="9718" max="9718"/>
    <col width="44.5703125" customWidth="1" style="794" min="9719" max="9719"/>
    <col width="11.5703125" customWidth="1" style="794" min="9720" max="9720"/>
    <col width="20" customWidth="1" style="794" min="9721" max="9721"/>
    <col width="11.28515625" customWidth="1" style="794" min="9722" max="9722"/>
    <col width="18.5703125" customWidth="1" style="794" min="9723" max="9723"/>
    <col width="11.28515625" customWidth="1" style="794" min="9724" max="9724"/>
    <col width="15.28515625" customWidth="1" style="794" min="9725" max="9725"/>
    <col width="18.7109375" customWidth="1" style="794" min="9726" max="9726"/>
    <col width="11" customWidth="1" style="794" min="9727" max="9727"/>
    <col width="14.5703125" customWidth="1" style="794" min="9728" max="9728"/>
    <col width="19.28515625" customWidth="1" style="794" min="9729" max="9729"/>
    <col width="4.5703125" customWidth="1" style="794" min="9974" max="9974"/>
    <col width="44.5703125" customWidth="1" style="794" min="9975" max="9975"/>
    <col width="11.5703125" customWidth="1" style="794" min="9976" max="9976"/>
    <col width="20" customWidth="1" style="794" min="9977" max="9977"/>
    <col width="11.28515625" customWidth="1" style="794" min="9978" max="9978"/>
    <col width="18.5703125" customWidth="1" style="794" min="9979" max="9979"/>
    <col width="11.28515625" customWidth="1" style="794" min="9980" max="9980"/>
    <col width="15.28515625" customWidth="1" style="794" min="9981" max="9981"/>
    <col width="18.7109375" customWidth="1" style="794" min="9982" max="9982"/>
    <col width="11" customWidth="1" style="794" min="9983" max="9983"/>
    <col width="14.5703125" customWidth="1" style="794" min="9984" max="9984"/>
    <col width="19.28515625" customWidth="1" style="794" min="9985" max="9985"/>
    <col width="4.5703125" customWidth="1" style="794" min="10230" max="10230"/>
    <col width="44.5703125" customWidth="1" style="794" min="10231" max="10231"/>
    <col width="11.5703125" customWidth="1" style="794" min="10232" max="10232"/>
    <col width="20" customWidth="1" style="794" min="10233" max="10233"/>
    <col width="11.28515625" customWidth="1" style="794" min="10234" max="10234"/>
    <col width="18.5703125" customWidth="1" style="794" min="10235" max="10235"/>
    <col width="11.28515625" customWidth="1" style="794" min="10236" max="10236"/>
    <col width="15.28515625" customWidth="1" style="794" min="10237" max="10237"/>
    <col width="18.7109375" customWidth="1" style="794" min="10238" max="10238"/>
    <col width="11" customWidth="1" style="794" min="10239" max="10239"/>
    <col width="14.5703125" customWidth="1" style="794" min="10240" max="10240"/>
    <col width="19.28515625" customWidth="1" style="794" min="10241" max="10241"/>
    <col width="4.5703125" customWidth="1" style="794" min="10486" max="10486"/>
    <col width="44.5703125" customWidth="1" style="794" min="10487" max="10487"/>
    <col width="11.5703125" customWidth="1" style="794" min="10488" max="10488"/>
    <col width="20" customWidth="1" style="794" min="10489" max="10489"/>
    <col width="11.28515625" customWidth="1" style="794" min="10490" max="10490"/>
    <col width="18.5703125" customWidth="1" style="794" min="10491" max="10491"/>
    <col width="11.28515625" customWidth="1" style="794" min="10492" max="10492"/>
    <col width="15.28515625" customWidth="1" style="794" min="10493" max="10493"/>
    <col width="18.7109375" customWidth="1" style="794" min="10494" max="10494"/>
    <col width="11" customWidth="1" style="794" min="10495" max="10495"/>
    <col width="14.5703125" customWidth="1" style="794" min="10496" max="10496"/>
    <col width="19.28515625" customWidth="1" style="794" min="10497" max="10497"/>
    <col width="4.5703125" customWidth="1" style="794" min="10742" max="10742"/>
    <col width="44.5703125" customWidth="1" style="794" min="10743" max="10743"/>
    <col width="11.5703125" customWidth="1" style="794" min="10744" max="10744"/>
    <col width="20" customWidth="1" style="794" min="10745" max="10745"/>
    <col width="11.28515625" customWidth="1" style="794" min="10746" max="10746"/>
    <col width="18.5703125" customWidth="1" style="794" min="10747" max="10747"/>
    <col width="11.28515625" customWidth="1" style="794" min="10748" max="10748"/>
    <col width="15.28515625" customWidth="1" style="794" min="10749" max="10749"/>
    <col width="18.7109375" customWidth="1" style="794" min="10750" max="10750"/>
    <col width="11" customWidth="1" style="794" min="10751" max="10751"/>
    <col width="14.5703125" customWidth="1" style="794" min="10752" max="10752"/>
    <col width="19.28515625" customWidth="1" style="794" min="10753" max="10753"/>
    <col width="4.5703125" customWidth="1" style="794" min="10998" max="10998"/>
    <col width="44.5703125" customWidth="1" style="794" min="10999" max="10999"/>
    <col width="11.5703125" customWidth="1" style="794" min="11000" max="11000"/>
    <col width="20" customWidth="1" style="794" min="11001" max="11001"/>
    <col width="11.28515625" customWidth="1" style="794" min="11002" max="11002"/>
    <col width="18.5703125" customWidth="1" style="794" min="11003" max="11003"/>
    <col width="11.28515625" customWidth="1" style="794" min="11004" max="11004"/>
    <col width="15.28515625" customWidth="1" style="794" min="11005" max="11005"/>
    <col width="18.7109375" customWidth="1" style="794" min="11006" max="11006"/>
    <col width="11" customWidth="1" style="794" min="11007" max="11007"/>
    <col width="14.5703125" customWidth="1" style="794" min="11008" max="11008"/>
    <col width="19.28515625" customWidth="1" style="794" min="11009" max="11009"/>
    <col width="4.5703125" customWidth="1" style="794" min="11254" max="11254"/>
    <col width="44.5703125" customWidth="1" style="794" min="11255" max="11255"/>
    <col width="11.5703125" customWidth="1" style="794" min="11256" max="11256"/>
    <col width="20" customWidth="1" style="794" min="11257" max="11257"/>
    <col width="11.28515625" customWidth="1" style="794" min="11258" max="11258"/>
    <col width="18.5703125" customWidth="1" style="794" min="11259" max="11259"/>
    <col width="11.28515625" customWidth="1" style="794" min="11260" max="11260"/>
    <col width="15.28515625" customWidth="1" style="794" min="11261" max="11261"/>
    <col width="18.7109375" customWidth="1" style="794" min="11262" max="11262"/>
    <col width="11" customWidth="1" style="794" min="11263" max="11263"/>
    <col width="14.5703125" customWidth="1" style="794" min="11264" max="11264"/>
    <col width="19.28515625" customWidth="1" style="794" min="11265" max="11265"/>
    <col width="4.5703125" customWidth="1" style="794" min="11510" max="11510"/>
    <col width="44.5703125" customWidth="1" style="794" min="11511" max="11511"/>
    <col width="11.5703125" customWidth="1" style="794" min="11512" max="11512"/>
    <col width="20" customWidth="1" style="794" min="11513" max="11513"/>
    <col width="11.28515625" customWidth="1" style="794" min="11514" max="11514"/>
    <col width="18.5703125" customWidth="1" style="794" min="11515" max="11515"/>
    <col width="11.28515625" customWidth="1" style="794" min="11516" max="11516"/>
    <col width="15.28515625" customWidth="1" style="794" min="11517" max="11517"/>
    <col width="18.7109375" customWidth="1" style="794" min="11518" max="11518"/>
    <col width="11" customWidth="1" style="794" min="11519" max="11519"/>
    <col width="14.5703125" customWidth="1" style="794" min="11520" max="11520"/>
    <col width="19.28515625" customWidth="1" style="794" min="11521" max="11521"/>
    <col width="4.5703125" customWidth="1" style="794" min="11766" max="11766"/>
    <col width="44.5703125" customWidth="1" style="794" min="11767" max="11767"/>
    <col width="11.5703125" customWidth="1" style="794" min="11768" max="11768"/>
    <col width="20" customWidth="1" style="794" min="11769" max="11769"/>
    <col width="11.28515625" customWidth="1" style="794" min="11770" max="11770"/>
    <col width="18.5703125" customWidth="1" style="794" min="11771" max="11771"/>
    <col width="11.28515625" customWidth="1" style="794" min="11772" max="11772"/>
    <col width="15.28515625" customWidth="1" style="794" min="11773" max="11773"/>
    <col width="18.7109375" customWidth="1" style="794" min="11774" max="11774"/>
    <col width="11" customWidth="1" style="794" min="11775" max="11775"/>
    <col width="14.5703125" customWidth="1" style="794" min="11776" max="11776"/>
    <col width="19.28515625" customWidth="1" style="794" min="11777" max="11777"/>
    <col width="4.5703125" customWidth="1" style="794" min="12022" max="12022"/>
    <col width="44.5703125" customWidth="1" style="794" min="12023" max="12023"/>
    <col width="11.5703125" customWidth="1" style="794" min="12024" max="12024"/>
    <col width="20" customWidth="1" style="794" min="12025" max="12025"/>
    <col width="11.28515625" customWidth="1" style="794" min="12026" max="12026"/>
    <col width="18.5703125" customWidth="1" style="794" min="12027" max="12027"/>
    <col width="11.28515625" customWidth="1" style="794" min="12028" max="12028"/>
    <col width="15.28515625" customWidth="1" style="794" min="12029" max="12029"/>
    <col width="18.7109375" customWidth="1" style="794" min="12030" max="12030"/>
    <col width="11" customWidth="1" style="794" min="12031" max="12031"/>
    <col width="14.5703125" customWidth="1" style="794" min="12032" max="12032"/>
    <col width="19.28515625" customWidth="1" style="794" min="12033" max="12033"/>
    <col width="4.5703125" customWidth="1" style="794" min="12278" max="12278"/>
    <col width="44.5703125" customWidth="1" style="794" min="12279" max="12279"/>
    <col width="11.5703125" customWidth="1" style="794" min="12280" max="12280"/>
    <col width="20" customWidth="1" style="794" min="12281" max="12281"/>
    <col width="11.28515625" customWidth="1" style="794" min="12282" max="12282"/>
    <col width="18.5703125" customWidth="1" style="794" min="12283" max="12283"/>
    <col width="11.28515625" customWidth="1" style="794" min="12284" max="12284"/>
    <col width="15.28515625" customWidth="1" style="794" min="12285" max="12285"/>
    <col width="18.7109375" customWidth="1" style="794" min="12286" max="12286"/>
    <col width="11" customWidth="1" style="794" min="12287" max="12287"/>
    <col width="14.5703125" customWidth="1" style="794" min="12288" max="12288"/>
    <col width="19.28515625" customWidth="1" style="794" min="12289" max="12289"/>
    <col width="4.5703125" customWidth="1" style="794" min="12534" max="12534"/>
    <col width="44.5703125" customWidth="1" style="794" min="12535" max="12535"/>
    <col width="11.5703125" customWidth="1" style="794" min="12536" max="12536"/>
    <col width="20" customWidth="1" style="794" min="12537" max="12537"/>
    <col width="11.28515625" customWidth="1" style="794" min="12538" max="12538"/>
    <col width="18.5703125" customWidth="1" style="794" min="12539" max="12539"/>
    <col width="11.28515625" customWidth="1" style="794" min="12540" max="12540"/>
    <col width="15.28515625" customWidth="1" style="794" min="12541" max="12541"/>
    <col width="18.7109375" customWidth="1" style="794" min="12542" max="12542"/>
    <col width="11" customWidth="1" style="794" min="12543" max="12543"/>
    <col width="14.5703125" customWidth="1" style="794" min="12544" max="12544"/>
    <col width="19.28515625" customWidth="1" style="794" min="12545" max="12545"/>
    <col width="4.5703125" customWidth="1" style="794" min="12790" max="12790"/>
    <col width="44.5703125" customWidth="1" style="794" min="12791" max="12791"/>
    <col width="11.5703125" customWidth="1" style="794" min="12792" max="12792"/>
    <col width="20" customWidth="1" style="794" min="12793" max="12793"/>
    <col width="11.28515625" customWidth="1" style="794" min="12794" max="12794"/>
    <col width="18.5703125" customWidth="1" style="794" min="12795" max="12795"/>
    <col width="11.28515625" customWidth="1" style="794" min="12796" max="12796"/>
    <col width="15.28515625" customWidth="1" style="794" min="12797" max="12797"/>
    <col width="18.7109375" customWidth="1" style="794" min="12798" max="12798"/>
    <col width="11" customWidth="1" style="794" min="12799" max="12799"/>
    <col width="14.5703125" customWidth="1" style="794" min="12800" max="12800"/>
    <col width="19.28515625" customWidth="1" style="794" min="12801" max="12801"/>
    <col width="4.5703125" customWidth="1" style="794" min="13046" max="13046"/>
    <col width="44.5703125" customWidth="1" style="794" min="13047" max="13047"/>
    <col width="11.5703125" customWidth="1" style="794" min="13048" max="13048"/>
    <col width="20" customWidth="1" style="794" min="13049" max="13049"/>
    <col width="11.28515625" customWidth="1" style="794" min="13050" max="13050"/>
    <col width="18.5703125" customWidth="1" style="794" min="13051" max="13051"/>
    <col width="11.28515625" customWidth="1" style="794" min="13052" max="13052"/>
    <col width="15.28515625" customWidth="1" style="794" min="13053" max="13053"/>
    <col width="18.7109375" customWidth="1" style="794" min="13054" max="13054"/>
    <col width="11" customWidth="1" style="794" min="13055" max="13055"/>
    <col width="14.5703125" customWidth="1" style="794" min="13056" max="13056"/>
    <col width="19.28515625" customWidth="1" style="794" min="13057" max="13057"/>
    <col width="4.5703125" customWidth="1" style="794" min="13302" max="13302"/>
    <col width="44.5703125" customWidth="1" style="794" min="13303" max="13303"/>
    <col width="11.5703125" customWidth="1" style="794" min="13304" max="13304"/>
    <col width="20" customWidth="1" style="794" min="13305" max="13305"/>
    <col width="11.28515625" customWidth="1" style="794" min="13306" max="13306"/>
    <col width="18.5703125" customWidth="1" style="794" min="13307" max="13307"/>
    <col width="11.28515625" customWidth="1" style="794" min="13308" max="13308"/>
    <col width="15.28515625" customWidth="1" style="794" min="13309" max="13309"/>
    <col width="18.7109375" customWidth="1" style="794" min="13310" max="13310"/>
    <col width="11" customWidth="1" style="794" min="13311" max="13311"/>
    <col width="14.5703125" customWidth="1" style="794" min="13312" max="13312"/>
    <col width="19.28515625" customWidth="1" style="794" min="13313" max="13313"/>
    <col width="4.5703125" customWidth="1" style="794" min="13558" max="13558"/>
    <col width="44.5703125" customWidth="1" style="794" min="13559" max="13559"/>
    <col width="11.5703125" customWidth="1" style="794" min="13560" max="13560"/>
    <col width="20" customWidth="1" style="794" min="13561" max="13561"/>
    <col width="11.28515625" customWidth="1" style="794" min="13562" max="13562"/>
    <col width="18.5703125" customWidth="1" style="794" min="13563" max="13563"/>
    <col width="11.28515625" customWidth="1" style="794" min="13564" max="13564"/>
    <col width="15.28515625" customWidth="1" style="794" min="13565" max="13565"/>
    <col width="18.7109375" customWidth="1" style="794" min="13566" max="13566"/>
    <col width="11" customWidth="1" style="794" min="13567" max="13567"/>
    <col width="14.5703125" customWidth="1" style="794" min="13568" max="13568"/>
    <col width="19.28515625" customWidth="1" style="794" min="13569" max="13569"/>
    <col width="4.5703125" customWidth="1" style="794" min="13814" max="13814"/>
    <col width="44.5703125" customWidth="1" style="794" min="13815" max="13815"/>
    <col width="11.5703125" customWidth="1" style="794" min="13816" max="13816"/>
    <col width="20" customWidth="1" style="794" min="13817" max="13817"/>
    <col width="11.28515625" customWidth="1" style="794" min="13818" max="13818"/>
    <col width="18.5703125" customWidth="1" style="794" min="13819" max="13819"/>
    <col width="11.28515625" customWidth="1" style="794" min="13820" max="13820"/>
    <col width="15.28515625" customWidth="1" style="794" min="13821" max="13821"/>
    <col width="18.7109375" customWidth="1" style="794" min="13822" max="13822"/>
    <col width="11" customWidth="1" style="794" min="13823" max="13823"/>
    <col width="14.5703125" customWidth="1" style="794" min="13824" max="13824"/>
    <col width="19.28515625" customWidth="1" style="794" min="13825" max="13825"/>
    <col width="4.5703125" customWidth="1" style="794" min="14070" max="14070"/>
    <col width="44.5703125" customWidth="1" style="794" min="14071" max="14071"/>
    <col width="11.5703125" customWidth="1" style="794" min="14072" max="14072"/>
    <col width="20" customWidth="1" style="794" min="14073" max="14073"/>
    <col width="11.28515625" customWidth="1" style="794" min="14074" max="14074"/>
    <col width="18.5703125" customWidth="1" style="794" min="14075" max="14075"/>
    <col width="11.28515625" customWidth="1" style="794" min="14076" max="14076"/>
    <col width="15.28515625" customWidth="1" style="794" min="14077" max="14077"/>
    <col width="18.7109375" customWidth="1" style="794" min="14078" max="14078"/>
    <col width="11" customWidth="1" style="794" min="14079" max="14079"/>
    <col width="14.5703125" customWidth="1" style="794" min="14080" max="14080"/>
    <col width="19.28515625" customWidth="1" style="794" min="14081" max="14081"/>
    <col width="4.5703125" customWidth="1" style="794" min="14326" max="14326"/>
    <col width="44.5703125" customWidth="1" style="794" min="14327" max="14327"/>
    <col width="11.5703125" customWidth="1" style="794" min="14328" max="14328"/>
    <col width="20" customWidth="1" style="794" min="14329" max="14329"/>
    <col width="11.28515625" customWidth="1" style="794" min="14330" max="14330"/>
    <col width="18.5703125" customWidth="1" style="794" min="14331" max="14331"/>
    <col width="11.28515625" customWidth="1" style="794" min="14332" max="14332"/>
    <col width="15.28515625" customWidth="1" style="794" min="14333" max="14333"/>
    <col width="18.7109375" customWidth="1" style="794" min="14334" max="14334"/>
    <col width="11" customWidth="1" style="794" min="14335" max="14335"/>
    <col width="14.5703125" customWidth="1" style="794" min="14336" max="14336"/>
    <col width="19.28515625" customWidth="1" style="794" min="14337" max="14337"/>
    <col width="4.5703125" customWidth="1" style="794" min="14582" max="14582"/>
    <col width="44.5703125" customWidth="1" style="794" min="14583" max="14583"/>
    <col width="11.5703125" customWidth="1" style="794" min="14584" max="14584"/>
    <col width="20" customWidth="1" style="794" min="14585" max="14585"/>
    <col width="11.28515625" customWidth="1" style="794" min="14586" max="14586"/>
    <col width="18.5703125" customWidth="1" style="794" min="14587" max="14587"/>
    <col width="11.28515625" customWidth="1" style="794" min="14588" max="14588"/>
    <col width="15.28515625" customWidth="1" style="794" min="14589" max="14589"/>
    <col width="18.7109375" customWidth="1" style="794" min="14590" max="14590"/>
    <col width="11" customWidth="1" style="794" min="14591" max="14591"/>
    <col width="14.5703125" customWidth="1" style="794" min="14592" max="14592"/>
    <col width="19.28515625" customWidth="1" style="794" min="14593" max="14593"/>
    <col width="4.5703125" customWidth="1" style="794" min="14838" max="14838"/>
    <col width="44.5703125" customWidth="1" style="794" min="14839" max="14839"/>
    <col width="11.5703125" customWidth="1" style="794" min="14840" max="14840"/>
    <col width="20" customWidth="1" style="794" min="14841" max="14841"/>
    <col width="11.28515625" customWidth="1" style="794" min="14842" max="14842"/>
    <col width="18.5703125" customWidth="1" style="794" min="14843" max="14843"/>
    <col width="11.28515625" customWidth="1" style="794" min="14844" max="14844"/>
    <col width="15.28515625" customWidth="1" style="794" min="14845" max="14845"/>
    <col width="18.7109375" customWidth="1" style="794" min="14846" max="14846"/>
    <col width="11" customWidth="1" style="794" min="14847" max="14847"/>
    <col width="14.5703125" customWidth="1" style="794" min="14848" max="14848"/>
    <col width="19.28515625" customWidth="1" style="794" min="14849" max="14849"/>
    <col width="4.5703125" customWidth="1" style="794" min="15094" max="15094"/>
    <col width="44.5703125" customWidth="1" style="794" min="15095" max="15095"/>
    <col width="11.5703125" customWidth="1" style="794" min="15096" max="15096"/>
    <col width="20" customWidth="1" style="794" min="15097" max="15097"/>
    <col width="11.28515625" customWidth="1" style="794" min="15098" max="15098"/>
    <col width="18.5703125" customWidth="1" style="794" min="15099" max="15099"/>
    <col width="11.28515625" customWidth="1" style="794" min="15100" max="15100"/>
    <col width="15.28515625" customWidth="1" style="794" min="15101" max="15101"/>
    <col width="18.7109375" customWidth="1" style="794" min="15102" max="15102"/>
    <col width="11" customWidth="1" style="794" min="15103" max="15103"/>
    <col width="14.5703125" customWidth="1" style="794" min="15104" max="15104"/>
    <col width="19.28515625" customWidth="1" style="794" min="15105" max="15105"/>
    <col width="4.5703125" customWidth="1" style="794" min="15350" max="15350"/>
    <col width="44.5703125" customWidth="1" style="794" min="15351" max="15351"/>
    <col width="11.5703125" customWidth="1" style="794" min="15352" max="15352"/>
    <col width="20" customWidth="1" style="794" min="15353" max="15353"/>
    <col width="11.28515625" customWidth="1" style="794" min="15354" max="15354"/>
    <col width="18.5703125" customWidth="1" style="794" min="15355" max="15355"/>
    <col width="11.28515625" customWidth="1" style="794" min="15356" max="15356"/>
    <col width="15.28515625" customWidth="1" style="794" min="15357" max="15357"/>
    <col width="18.7109375" customWidth="1" style="794" min="15358" max="15358"/>
    <col width="11" customWidth="1" style="794" min="15359" max="15359"/>
    <col width="14.5703125" customWidth="1" style="794" min="15360" max="15360"/>
    <col width="19.28515625" customWidth="1" style="794" min="15361" max="15361"/>
    <col width="4.5703125" customWidth="1" style="794" min="15606" max="15606"/>
    <col width="44.5703125" customWidth="1" style="794" min="15607" max="15607"/>
    <col width="11.5703125" customWidth="1" style="794" min="15608" max="15608"/>
    <col width="20" customWidth="1" style="794" min="15609" max="15609"/>
    <col width="11.28515625" customWidth="1" style="794" min="15610" max="15610"/>
    <col width="18.5703125" customWidth="1" style="794" min="15611" max="15611"/>
    <col width="11.28515625" customWidth="1" style="794" min="15612" max="15612"/>
    <col width="15.28515625" customWidth="1" style="794" min="15613" max="15613"/>
    <col width="18.7109375" customWidth="1" style="794" min="15614" max="15614"/>
    <col width="11" customWidth="1" style="794" min="15615" max="15615"/>
    <col width="14.5703125" customWidth="1" style="794" min="15616" max="15616"/>
    <col width="19.28515625" customWidth="1" style="794" min="15617" max="15617"/>
    <col width="4.5703125" customWidth="1" style="794" min="15862" max="15862"/>
    <col width="44.5703125" customWidth="1" style="794" min="15863" max="15863"/>
    <col width="11.5703125" customWidth="1" style="794" min="15864" max="15864"/>
    <col width="20" customWidth="1" style="794" min="15865" max="15865"/>
    <col width="11.28515625" customWidth="1" style="794" min="15866" max="15866"/>
    <col width="18.5703125" customWidth="1" style="794" min="15867" max="15867"/>
    <col width="11.28515625" customWidth="1" style="794" min="15868" max="15868"/>
    <col width="15.28515625" customWidth="1" style="794" min="15869" max="15869"/>
    <col width="18.7109375" customWidth="1" style="794" min="15870" max="15870"/>
    <col width="11" customWidth="1" style="794" min="15871" max="15871"/>
    <col width="14.5703125" customWidth="1" style="794" min="15872" max="15872"/>
    <col width="19.28515625" customWidth="1" style="794" min="15873" max="15873"/>
    <col width="4.5703125" customWidth="1" style="794" min="16118" max="16118"/>
    <col width="44.5703125" customWidth="1" style="794" min="16119" max="16119"/>
    <col width="11.5703125" customWidth="1" style="794" min="16120" max="16120"/>
    <col width="20" customWidth="1" style="794" min="16121" max="16121"/>
    <col width="11.28515625" customWidth="1" style="794" min="16122" max="16122"/>
    <col width="18.5703125" customWidth="1" style="794" min="16123" max="16123"/>
    <col width="11.28515625" customWidth="1" style="794" min="16124" max="16124"/>
    <col width="15.28515625" customWidth="1" style="794" min="16125" max="16125"/>
    <col width="18.7109375" customWidth="1" style="794" min="16126" max="16126"/>
    <col width="11" customWidth="1" style="794" min="16127" max="16127"/>
    <col width="14.5703125" customWidth="1" style="794" min="16128" max="16128"/>
    <col width="19.28515625" customWidth="1" style="794" min="16129" max="16129"/>
  </cols>
  <sheetData>
    <row r="1" ht="15.75" customHeight="1" s="794">
      <c r="E1" s="535" t="n"/>
      <c r="M1" s="289" t="inlineStr">
        <is>
          <t>Форма № 13д</t>
        </is>
      </c>
    </row>
    <row r="3" ht="40.5" customHeight="1" s="794">
      <c r="B3" s="1166" t="inlineStr">
        <is>
          <t>Смета и расчет 
коммерческих (внепроизводственных) затрат</t>
        </is>
      </c>
      <c r="M3" s="536" t="n"/>
    </row>
    <row r="4" ht="39" customHeight="1" s="794">
      <c r="B4" s="1188" t="inlineStr">
        <is>
          <t>ТЕМА</t>
        </is>
      </c>
      <c r="C4" s="1409" t="n"/>
      <c r="D4" s="1409" t="n"/>
      <c r="E4" s="1409" t="n"/>
      <c r="F4" s="1409" t="n"/>
      <c r="G4" s="1409" t="n"/>
      <c r="H4" s="1409" t="n"/>
      <c r="I4" s="1409" t="n"/>
      <c r="J4" s="1409" t="n"/>
      <c r="K4" s="1409" t="n"/>
      <c r="L4" s="1409" t="n"/>
      <c r="M4" s="522" t="n"/>
    </row>
    <row r="5" ht="12.75" customHeight="1" s="794">
      <c r="A5" s="35" t="n"/>
      <c r="B5" s="1047" t="inlineStr">
        <is>
          <t>(наименование, шифр товара, работы, услуги)</t>
        </is>
      </c>
      <c r="C5" s="1416" t="n"/>
      <c r="D5" s="1416" t="n"/>
      <c r="E5" s="1416" t="n"/>
      <c r="F5" s="1416" t="n"/>
      <c r="G5" s="1416" t="n"/>
      <c r="H5" s="1416" t="n"/>
      <c r="I5" s="1416" t="n"/>
      <c r="J5" s="1416" t="n"/>
      <c r="K5" s="1416" t="n"/>
      <c r="L5" s="1416" t="n"/>
      <c r="M5" s="36" t="n"/>
    </row>
    <row r="6">
      <c r="A6" s="35" t="n"/>
      <c r="B6" s="35" t="n"/>
      <c r="C6" s="35" t="n"/>
      <c r="D6" s="35" t="n"/>
      <c r="E6" s="35" t="n"/>
      <c r="F6" s="35" t="n"/>
      <c r="G6" s="35" t="n"/>
      <c r="H6" s="35" t="n"/>
      <c r="I6" s="35" t="n"/>
      <c r="J6" s="35" t="n"/>
      <c r="K6" s="35" t="n"/>
      <c r="L6" s="35" t="n"/>
      <c r="M6" s="37" t="inlineStr">
        <is>
          <t>(руб.)</t>
        </is>
      </c>
    </row>
    <row r="7" ht="24" customHeight="1" s="794">
      <c r="A7" s="1164" t="inlineStr">
        <is>
          <t>№ п/п</t>
        </is>
      </c>
      <c r="B7" s="1165" t="inlineStr">
        <is>
          <t>Наименование статей</t>
        </is>
      </c>
      <c r="C7" s="1164" t="inlineStr">
        <is>
          <t>Отчетный период / период, предшествующий планируемому (год ____)</t>
        </is>
      </c>
      <c r="D7" s="1412" t="n"/>
      <c r="E7" s="1412" t="n"/>
      <c r="F7" s="1410" t="n"/>
      <c r="G7" s="1164" t="inlineStr">
        <is>
          <t>Отчетный период / период, предшествующий планируемому (год ____)</t>
        </is>
      </c>
      <c r="H7" s="1412" t="n"/>
      <c r="I7" s="1412" t="n"/>
      <c r="J7" s="1410" t="n"/>
      <c r="K7" s="1165" t="inlineStr">
        <is>
          <t>Планируемый период</t>
        </is>
      </c>
      <c r="L7" s="1412" t="n"/>
      <c r="M7" s="1410" t="n"/>
    </row>
    <row r="8" ht="18.75" customHeight="1" s="794">
      <c r="A8" s="1418" t="n"/>
      <c r="B8" s="1418" t="n"/>
      <c r="C8" s="1165" t="inlineStr">
        <is>
          <t>план</t>
        </is>
      </c>
      <c r="D8" s="1410" t="n"/>
      <c r="E8" s="1165" t="inlineStr">
        <is>
          <t>факт</t>
        </is>
      </c>
      <c r="F8" s="1410" t="n"/>
      <c r="G8" s="1165" t="inlineStr">
        <is>
          <t>план</t>
        </is>
      </c>
      <c r="H8" s="1410" t="n"/>
      <c r="I8" s="1165" t="inlineStr">
        <is>
          <t>факт</t>
        </is>
      </c>
      <c r="J8" s="1410" t="n"/>
      <c r="K8" s="1179" t="inlineStr">
        <is>
          <t>применяе-мый индекс цен</t>
        </is>
      </c>
      <c r="L8" s="1165" t="inlineStr">
        <is>
          <t>год _____</t>
        </is>
      </c>
      <c r="M8" s="1410" t="n"/>
    </row>
    <row r="9" ht="27" customHeight="1" s="794">
      <c r="A9" s="1418" t="n"/>
      <c r="B9" s="1418" t="n"/>
      <c r="C9" s="1165" t="inlineStr">
        <is>
          <t>всего</t>
        </is>
      </c>
      <c r="D9" s="1164" t="inlineStr">
        <is>
          <t>в том числе по госконтрактам (контрактам) ГОЗ</t>
        </is>
      </c>
      <c r="E9" s="1165" t="inlineStr">
        <is>
          <t>всего</t>
        </is>
      </c>
      <c r="F9" s="1164" t="inlineStr">
        <is>
          <t>в том числе по госконтрактам (контрактам) ГОЗ</t>
        </is>
      </c>
      <c r="G9" s="1165" t="inlineStr">
        <is>
          <t>всего</t>
        </is>
      </c>
      <c r="H9" s="1164" t="inlineStr">
        <is>
          <t>в том числе по госконтрактам (контрактам) ГОЗ</t>
        </is>
      </c>
      <c r="I9" s="1165" t="inlineStr">
        <is>
          <t>всего</t>
        </is>
      </c>
      <c r="J9" s="1164" t="inlineStr">
        <is>
          <t>в том числе по госконтрактам (контрактам) ГОЗ</t>
        </is>
      </c>
      <c r="K9" s="1418" t="n"/>
      <c r="L9" s="1164" t="inlineStr">
        <is>
          <t>предложено организацией-поставщиком (подрядчиком, исполнителем)</t>
        </is>
      </c>
      <c r="M9" s="1410" t="n"/>
    </row>
    <row r="10" ht="45" customHeight="1" s="794">
      <c r="A10" s="1413" t="n"/>
      <c r="B10" s="1413" t="n"/>
      <c r="C10" s="1413" t="n"/>
      <c r="D10" s="1413" t="n"/>
      <c r="E10" s="1413" t="n"/>
      <c r="F10" s="1413" t="n"/>
      <c r="G10" s="1413" t="n"/>
      <c r="H10" s="1413" t="n"/>
      <c r="I10" s="1413" t="n"/>
      <c r="J10" s="1413" t="n"/>
      <c r="K10" s="1413" t="n"/>
      <c r="L10" s="1165" t="inlineStr">
        <is>
          <t>всего</t>
        </is>
      </c>
      <c r="M10" s="1164" t="inlineStr">
        <is>
          <t>в том числе по госконтрактам (контрактам) ГОЗ</t>
        </is>
      </c>
    </row>
    <row r="11">
      <c r="A11" s="38" t="n">
        <v>1</v>
      </c>
      <c r="B11" s="38" t="n">
        <v>2</v>
      </c>
      <c r="C11" s="38" t="n">
        <v>3</v>
      </c>
      <c r="D11" s="38" t="n">
        <v>4</v>
      </c>
      <c r="E11" s="38" t="n">
        <v>5</v>
      </c>
      <c r="F11" s="38" t="n">
        <v>6</v>
      </c>
      <c r="G11" s="38" t="n">
        <v>3</v>
      </c>
      <c r="H11" s="38" t="n">
        <v>4</v>
      </c>
      <c r="I11" s="38" t="n">
        <v>5</v>
      </c>
      <c r="J11" s="38" t="n">
        <v>6</v>
      </c>
      <c r="K11" s="38" t="n">
        <v>7</v>
      </c>
      <c r="L11" s="38" t="n">
        <v>8</v>
      </c>
      <c r="M11" s="38" t="n">
        <v>9</v>
      </c>
    </row>
    <row r="12">
      <c r="A12" s="1165" t="inlineStr">
        <is>
          <t>1.</t>
        </is>
      </c>
      <c r="B12" s="537" t="inlineStr">
        <is>
          <t>-</t>
        </is>
      </c>
      <c r="C12" s="39" t="inlineStr">
        <is>
          <t>-</t>
        </is>
      </c>
      <c r="D12" s="39" t="inlineStr">
        <is>
          <t>-</t>
        </is>
      </c>
      <c r="E12" s="39" t="inlineStr">
        <is>
          <t>-</t>
        </is>
      </c>
      <c r="F12" s="39" t="inlineStr">
        <is>
          <t>-</t>
        </is>
      </c>
      <c r="G12" s="39" t="inlineStr">
        <is>
          <t>-</t>
        </is>
      </c>
      <c r="H12" s="39" t="inlineStr">
        <is>
          <t>-</t>
        </is>
      </c>
      <c r="I12" s="39" t="inlineStr">
        <is>
          <t>-</t>
        </is>
      </c>
      <c r="J12" s="39" t="inlineStr">
        <is>
          <t>-</t>
        </is>
      </c>
      <c r="K12" s="39" t="inlineStr">
        <is>
          <t>-</t>
        </is>
      </c>
      <c r="L12" s="39" t="inlineStr">
        <is>
          <t>-</t>
        </is>
      </c>
      <c r="M12" s="39" t="inlineStr">
        <is>
          <t>-</t>
        </is>
      </c>
    </row>
    <row r="13" ht="15.75" customHeight="1" s="794" thickBot="1">
      <c r="A13" s="1501" t="inlineStr">
        <is>
          <t>ИТОГО</t>
        </is>
      </c>
      <c r="B13" s="1466" t="n"/>
      <c r="C13" s="530" t="inlineStr">
        <is>
          <t>-</t>
        </is>
      </c>
      <c r="D13" s="530" t="inlineStr">
        <is>
          <t>-</t>
        </is>
      </c>
      <c r="E13" s="530" t="inlineStr">
        <is>
          <t>-</t>
        </is>
      </c>
      <c r="F13" s="530" t="inlineStr">
        <is>
          <t>-</t>
        </is>
      </c>
      <c r="G13" s="530" t="inlineStr">
        <is>
          <t>-</t>
        </is>
      </c>
      <c r="H13" s="530" t="inlineStr">
        <is>
          <t>-</t>
        </is>
      </c>
      <c r="I13" s="530" t="inlineStr">
        <is>
          <t>-</t>
        </is>
      </c>
      <c r="J13" s="530" t="inlineStr">
        <is>
          <t>-</t>
        </is>
      </c>
      <c r="K13" s="530" t="inlineStr">
        <is>
          <t>-</t>
        </is>
      </c>
      <c r="L13" s="530" t="inlineStr">
        <is>
          <t>-</t>
        </is>
      </c>
      <c r="M13" s="530" t="inlineStr">
        <is>
          <t>-</t>
        </is>
      </c>
    </row>
    <row r="14" ht="33" customHeight="1" s="794">
      <c r="A14" s="1502" t="inlineStr">
        <is>
          <t>База распределения коммерческих (внепроизводственных) затрат (______________________________________)</t>
        </is>
      </c>
      <c r="B14" s="1421" t="n"/>
      <c r="C14" s="531" t="inlineStr">
        <is>
          <t>-</t>
        </is>
      </c>
      <c r="D14" s="531" t="inlineStr">
        <is>
          <t>-</t>
        </is>
      </c>
      <c r="E14" s="531" t="inlineStr">
        <is>
          <t>-</t>
        </is>
      </c>
      <c r="F14" s="531" t="inlineStr">
        <is>
          <t>-</t>
        </is>
      </c>
      <c r="G14" s="531" t="inlineStr">
        <is>
          <t>-</t>
        </is>
      </c>
      <c r="H14" s="531" t="inlineStr">
        <is>
          <t>-</t>
        </is>
      </c>
      <c r="I14" s="531" t="inlineStr">
        <is>
          <t>-</t>
        </is>
      </c>
      <c r="J14" s="531" t="inlineStr">
        <is>
          <t>-</t>
        </is>
      </c>
      <c r="K14" s="531" t="inlineStr">
        <is>
          <t>-</t>
        </is>
      </c>
      <c r="L14" s="531" t="inlineStr">
        <is>
          <t>-</t>
        </is>
      </c>
      <c r="M14" s="531" t="inlineStr">
        <is>
          <t>-</t>
        </is>
      </c>
    </row>
    <row r="15" ht="27.75" customHeight="1" s="794">
      <c r="A15" s="40" t="inlineStr">
        <is>
          <t>Отношение коммерческих (внепроизводственных) затрат к базе распределения, %</t>
        </is>
      </c>
      <c r="B15" s="1410" t="n"/>
      <c r="C15" s="41" t="inlineStr">
        <is>
          <t>-</t>
        </is>
      </c>
      <c r="D15" s="41" t="inlineStr">
        <is>
          <t>-</t>
        </is>
      </c>
      <c r="E15" s="41" t="inlineStr">
        <is>
          <t>-</t>
        </is>
      </c>
      <c r="F15" s="41" t="inlineStr">
        <is>
          <t>-</t>
        </is>
      </c>
      <c r="G15" s="41" t="inlineStr">
        <is>
          <t>-</t>
        </is>
      </c>
      <c r="H15" s="41" t="inlineStr">
        <is>
          <t>-</t>
        </is>
      </c>
      <c r="I15" s="41" t="inlineStr">
        <is>
          <t>-</t>
        </is>
      </c>
      <c r="J15" s="41" t="inlineStr">
        <is>
          <t>-</t>
        </is>
      </c>
      <c r="K15" s="41" t="inlineStr">
        <is>
          <t>-</t>
        </is>
      </c>
      <c r="L15" s="41" t="inlineStr">
        <is>
          <t>-</t>
        </is>
      </c>
      <c r="M15" s="41" t="inlineStr">
        <is>
          <t>-</t>
        </is>
      </c>
    </row>
    <row r="16" ht="14.25" customHeight="1" s="794">
      <c r="A16" s="538" t="n"/>
      <c r="B16" s="1193" t="n"/>
    </row>
    <row r="17">
      <c r="B17" s="479" t="n"/>
      <c r="C17" s="225" t="n"/>
      <c r="D17" s="24" t="n"/>
      <c r="E17" s="24" t="n"/>
      <c r="F17" s="24" t="n"/>
      <c r="G17" s="24" t="n"/>
      <c r="H17" s="24" t="n"/>
      <c r="I17" s="24" t="n"/>
      <c r="J17" s="24" t="n"/>
    </row>
    <row r="18" ht="23.25" customFormat="1" customHeight="1" s="197">
      <c r="A18" s="534" t="n"/>
      <c r="B18" s="991" t="inlineStr">
        <is>
          <t>Начальник ОФЭиАУ НИОКР</t>
        </is>
      </c>
      <c r="D18" s="194" t="n"/>
      <c r="E18" s="194" t="n"/>
      <c r="F18" s="194" t="n"/>
      <c r="G18" s="194" t="n"/>
      <c r="H18" s="194" t="n"/>
      <c r="I18" s="991" t="inlineStr">
        <is>
          <t>Руководитель договора</t>
        </is>
      </c>
      <c r="M18" s="534" t="n"/>
    </row>
    <row r="19" ht="43.5" customFormat="1" customHeight="1" s="534">
      <c r="B19" s="95" t="inlineStr">
        <is>
          <t>_____________________ Н.О. Васецкая</t>
        </is>
      </c>
      <c r="C19" s="207" t="n"/>
      <c r="D19" s="207" t="n"/>
      <c r="E19" s="207" t="n"/>
      <c r="F19" s="207" t="n"/>
      <c r="G19" s="207" t="n"/>
      <c r="H19" s="207" t="n"/>
      <c r="I19" s="837" t="inlineStr">
        <is>
          <t>_____________________ А.И. Боровков</t>
        </is>
      </c>
      <c r="J19" s="95" t="n"/>
      <c r="K19" s="95" t="n"/>
      <c r="L19" s="95" t="n"/>
    </row>
    <row r="20" ht="23.25" customFormat="1" customHeight="1" s="28">
      <c r="B20" s="63" t="inlineStr">
        <is>
          <t xml:space="preserve">  (подпись)                                     (Ф.И.О.)</t>
        </is>
      </c>
      <c r="C20" s="31" t="n"/>
      <c r="D20" s="31" t="n"/>
      <c r="E20" s="31" t="n"/>
      <c r="F20" s="31" t="n"/>
      <c r="G20" s="31" t="n"/>
      <c r="H20" s="31" t="n"/>
      <c r="I20" s="63" t="inlineStr">
        <is>
          <t xml:space="preserve">  (подпись)                                        (Ф.И.О.)</t>
        </is>
      </c>
      <c r="J20" s="190" t="n"/>
      <c r="K20" s="190" t="n"/>
      <c r="L20" s="190" t="n"/>
    </row>
    <row r="21" ht="23.25" customFormat="1" customHeight="1" s="534">
      <c r="B21" s="107" t="inlineStr">
        <is>
          <t>«____» __________________ 2025 г.</t>
        </is>
      </c>
      <c r="C21" s="95" t="n"/>
      <c r="D21" s="95" t="n"/>
      <c r="E21" s="95" t="n"/>
      <c r="F21" s="95" t="n"/>
      <c r="G21" s="95" t="n"/>
      <c r="H21" s="95" t="n"/>
      <c r="I21" s="107" t="inlineStr">
        <is>
          <t>«____» __________________ 2025 г.</t>
        </is>
      </c>
      <c r="J21" s="95" t="n"/>
      <c r="K21" s="95" t="n"/>
      <c r="L21" s="95" t="n"/>
    </row>
    <row r="22" ht="12.75" customFormat="1" customHeight="1" s="28">
      <c r="D22" s="222" t="n"/>
      <c r="E22" s="223" t="n"/>
      <c r="F22" s="43" t="n"/>
      <c r="G22" s="43" t="n"/>
      <c r="H22" s="43" t="n"/>
      <c r="I22" s="43" t="n"/>
      <c r="J22" s="43" t="n"/>
    </row>
    <row r="23" ht="12.75" customFormat="1" customHeight="1" s="28">
      <c r="D23" s="222" t="n"/>
      <c r="E23" s="223" t="n"/>
    </row>
    <row r="24" ht="23.25" customHeight="1" s="794">
      <c r="I24" s="991" t="inlineStr">
        <is>
          <t>Ответственный исполнитель</t>
        </is>
      </c>
    </row>
    <row r="25" ht="33.75" customHeight="1" s="794">
      <c r="I25" s="837" t="inlineStr">
        <is>
          <t>_____________________ И.О. Фамилия</t>
        </is>
      </c>
      <c r="J25" s="95" t="n"/>
      <c r="K25" s="95" t="n"/>
      <c r="L25" s="95" t="n"/>
    </row>
    <row r="26" ht="15.75" customHeight="1" s="794">
      <c r="I26" s="63" t="inlineStr">
        <is>
          <t xml:space="preserve">  (подпись)                                        (Ф.И.О.)</t>
        </is>
      </c>
      <c r="J26" s="190" t="n"/>
      <c r="K26" s="190" t="n"/>
      <c r="L26" s="190" t="n"/>
    </row>
    <row r="27" ht="23.25" customHeight="1" s="794">
      <c r="I27" s="107" t="inlineStr">
        <is>
          <t>«____» __________________ 2025 г.</t>
        </is>
      </c>
      <c r="J27" s="95" t="n"/>
      <c r="K27" s="95" t="n"/>
      <c r="L27" s="95" t="n"/>
    </row>
    <row r="33">
      <c r="B33" s="44" t="n"/>
    </row>
  </sheetData>
  <mergeCells count="30">
    <mergeCell ref="B4:L4"/>
    <mergeCell ref="A15:B15"/>
    <mergeCell ref="H9:H10"/>
    <mergeCell ref="J9:J10"/>
    <mergeCell ref="B3:L3"/>
    <mergeCell ref="C7:F7"/>
    <mergeCell ref="G8:H8"/>
    <mergeCell ref="B18:C18"/>
    <mergeCell ref="E8:F8"/>
    <mergeCell ref="C9:C10"/>
    <mergeCell ref="E9:E10"/>
    <mergeCell ref="A7:A10"/>
    <mergeCell ref="L8:M8"/>
    <mergeCell ref="K7:M7"/>
    <mergeCell ref="D9:D10"/>
    <mergeCell ref="F9:F10"/>
    <mergeCell ref="A14:B14"/>
    <mergeCell ref="G7:J7"/>
    <mergeCell ref="I8:J8"/>
    <mergeCell ref="C8:D8"/>
    <mergeCell ref="L9:M9"/>
    <mergeCell ref="B16:M16"/>
    <mergeCell ref="G9:G10"/>
    <mergeCell ref="I9:I10"/>
    <mergeCell ref="I18:L18"/>
    <mergeCell ref="B5:L5"/>
    <mergeCell ref="A13:B13"/>
    <mergeCell ref="K8:K10"/>
    <mergeCell ref="I24:L24"/>
    <mergeCell ref="B7:B10"/>
  </mergeCells>
  <printOptions horizontalCentered="1"/>
  <pageMargins left="0.5905511811023623" right="0.5905511811023623" top="0.5511811023622047" bottom="0.5511811023622047" header="0.3149606299212598" footer="0.3149606299212598"/>
  <pageSetup orientation="landscape" paperSize="9" scale="63"/>
</worksheet>
</file>

<file path=xl/worksheets/sheet22.xml><?xml version="1.0" encoding="utf-8"?>
<worksheet xmlns="http://schemas.openxmlformats.org/spreadsheetml/2006/main">
  <sheetPr>
    <tabColor theme="4" tint="0.7999816888943144"/>
    <outlinePr summaryBelow="1" summaryRight="1"/>
    <pageSetUpPr fitToPage="1"/>
  </sheetPr>
  <dimension ref="A1:K33"/>
  <sheetViews>
    <sheetView view="pageBreakPreview" zoomScale="70" zoomScaleNormal="100" zoomScaleSheetLayoutView="70" workbookViewId="0">
      <selection activeCell="B4" sqref="B4:J4"/>
    </sheetView>
  </sheetViews>
  <sheetFormatPr baseColWidth="8" defaultRowHeight="15"/>
  <cols>
    <col width="3.7109375" customWidth="1" style="227" min="1" max="1"/>
    <col width="40.28515625" customWidth="1" style="227" min="2" max="2"/>
    <col width="27.5703125" customWidth="1" style="227" min="3" max="3"/>
    <col width="16.140625" customWidth="1" style="227" min="4" max="4"/>
    <col width="16.42578125" customWidth="1" style="227" min="5" max="5"/>
    <col width="14.7109375" customWidth="1" style="227" min="6" max="6"/>
    <col width="12.85546875" customWidth="1" style="227" min="7" max="7"/>
    <col width="23.85546875" customWidth="1" style="227" min="8" max="8"/>
    <col width="13.5703125" customWidth="1" style="227" min="9" max="9"/>
    <col width="18.5703125" customWidth="1" style="539" min="10" max="10"/>
    <col width="13" customWidth="1" style="227" min="11" max="11"/>
    <col width="13.85546875" customWidth="1" style="794" min="12" max="12"/>
    <col width="3.7109375" customWidth="1" style="794" min="257" max="257"/>
    <col width="43.140625" customWidth="1" style="794" min="258" max="258"/>
    <col width="27.5703125" customWidth="1" style="794" min="259" max="259"/>
    <col width="16.140625" customWidth="1" style="794" min="260" max="260"/>
    <col width="23" customWidth="1" style="794" min="261" max="261"/>
    <col width="15.7109375" customWidth="1" style="794" min="262" max="262"/>
    <col width="14.7109375" customWidth="1" style="794" min="263" max="263"/>
    <col width="23.85546875" customWidth="1" style="794" min="264" max="264"/>
    <col width="13.5703125" customWidth="1" style="794" min="265" max="265"/>
    <col width="18.5703125" customWidth="1" style="794" min="266" max="266"/>
    <col width="16.140625" customWidth="1" style="794" min="267" max="267"/>
    <col width="13.85546875" customWidth="1" style="794" min="268" max="268"/>
    <col width="3.7109375" customWidth="1" style="794" min="513" max="513"/>
    <col width="43.140625" customWidth="1" style="794" min="514" max="514"/>
    <col width="27.5703125" customWidth="1" style="794" min="515" max="515"/>
    <col width="16.140625" customWidth="1" style="794" min="516" max="516"/>
    <col width="23" customWidth="1" style="794" min="517" max="517"/>
    <col width="15.7109375" customWidth="1" style="794" min="518" max="518"/>
    <col width="14.7109375" customWidth="1" style="794" min="519" max="519"/>
    <col width="23.85546875" customWidth="1" style="794" min="520" max="520"/>
    <col width="13.5703125" customWidth="1" style="794" min="521" max="521"/>
    <col width="18.5703125" customWidth="1" style="794" min="522" max="522"/>
    <col width="16.140625" customWidth="1" style="794" min="523" max="523"/>
    <col width="13.85546875" customWidth="1" style="794" min="524" max="524"/>
    <col width="3.7109375" customWidth="1" style="794" min="769" max="769"/>
    <col width="43.140625" customWidth="1" style="794" min="770" max="770"/>
    <col width="27.5703125" customWidth="1" style="794" min="771" max="771"/>
    <col width="16.140625" customWidth="1" style="794" min="772" max="772"/>
    <col width="23" customWidth="1" style="794" min="773" max="773"/>
    <col width="15.7109375" customWidth="1" style="794" min="774" max="774"/>
    <col width="14.7109375" customWidth="1" style="794" min="775" max="775"/>
    <col width="23.85546875" customWidth="1" style="794" min="776" max="776"/>
    <col width="13.5703125" customWidth="1" style="794" min="777" max="777"/>
    <col width="18.5703125" customWidth="1" style="794" min="778" max="778"/>
    <col width="16.140625" customWidth="1" style="794" min="779" max="779"/>
    <col width="13.85546875" customWidth="1" style="794" min="780" max="780"/>
    <col width="3.7109375" customWidth="1" style="794" min="1025" max="1025"/>
    <col width="43.140625" customWidth="1" style="794" min="1026" max="1026"/>
    <col width="27.5703125" customWidth="1" style="794" min="1027" max="1027"/>
    <col width="16.140625" customWidth="1" style="794" min="1028" max="1028"/>
    <col width="23" customWidth="1" style="794" min="1029" max="1029"/>
    <col width="15.7109375" customWidth="1" style="794" min="1030" max="1030"/>
    <col width="14.7109375" customWidth="1" style="794" min="1031" max="1031"/>
    <col width="23.85546875" customWidth="1" style="794" min="1032" max="1032"/>
    <col width="13.5703125" customWidth="1" style="794" min="1033" max="1033"/>
    <col width="18.5703125" customWidth="1" style="794" min="1034" max="1034"/>
    <col width="16.140625" customWidth="1" style="794" min="1035" max="1035"/>
    <col width="13.85546875" customWidth="1" style="794" min="1036" max="1036"/>
    <col width="3.7109375" customWidth="1" style="794" min="1281" max="1281"/>
    <col width="43.140625" customWidth="1" style="794" min="1282" max="1282"/>
    <col width="27.5703125" customWidth="1" style="794" min="1283" max="1283"/>
    <col width="16.140625" customWidth="1" style="794" min="1284" max="1284"/>
    <col width="23" customWidth="1" style="794" min="1285" max="1285"/>
    <col width="15.7109375" customWidth="1" style="794" min="1286" max="1286"/>
    <col width="14.7109375" customWidth="1" style="794" min="1287" max="1287"/>
    <col width="23.85546875" customWidth="1" style="794" min="1288" max="1288"/>
    <col width="13.5703125" customWidth="1" style="794" min="1289" max="1289"/>
    <col width="18.5703125" customWidth="1" style="794" min="1290" max="1290"/>
    <col width="16.140625" customWidth="1" style="794" min="1291" max="1291"/>
    <col width="13.85546875" customWidth="1" style="794" min="1292" max="1292"/>
    <col width="3.7109375" customWidth="1" style="794" min="1537" max="1537"/>
    <col width="43.140625" customWidth="1" style="794" min="1538" max="1538"/>
    <col width="27.5703125" customWidth="1" style="794" min="1539" max="1539"/>
    <col width="16.140625" customWidth="1" style="794" min="1540" max="1540"/>
    <col width="23" customWidth="1" style="794" min="1541" max="1541"/>
    <col width="15.7109375" customWidth="1" style="794" min="1542" max="1542"/>
    <col width="14.7109375" customWidth="1" style="794" min="1543" max="1543"/>
    <col width="23.85546875" customWidth="1" style="794" min="1544" max="1544"/>
    <col width="13.5703125" customWidth="1" style="794" min="1545" max="1545"/>
    <col width="18.5703125" customWidth="1" style="794" min="1546" max="1546"/>
    <col width="16.140625" customWidth="1" style="794" min="1547" max="1547"/>
    <col width="13.85546875" customWidth="1" style="794" min="1548" max="1548"/>
    <col width="3.7109375" customWidth="1" style="794" min="1793" max="1793"/>
    <col width="43.140625" customWidth="1" style="794" min="1794" max="1794"/>
    <col width="27.5703125" customWidth="1" style="794" min="1795" max="1795"/>
    <col width="16.140625" customWidth="1" style="794" min="1796" max="1796"/>
    <col width="23" customWidth="1" style="794" min="1797" max="1797"/>
    <col width="15.7109375" customWidth="1" style="794" min="1798" max="1798"/>
    <col width="14.7109375" customWidth="1" style="794" min="1799" max="1799"/>
    <col width="23.85546875" customWidth="1" style="794" min="1800" max="1800"/>
    <col width="13.5703125" customWidth="1" style="794" min="1801" max="1801"/>
    <col width="18.5703125" customWidth="1" style="794" min="1802" max="1802"/>
    <col width="16.140625" customWidth="1" style="794" min="1803" max="1803"/>
    <col width="13.85546875" customWidth="1" style="794" min="1804" max="1804"/>
    <col width="3.7109375" customWidth="1" style="794" min="2049" max="2049"/>
    <col width="43.140625" customWidth="1" style="794" min="2050" max="2050"/>
    <col width="27.5703125" customWidth="1" style="794" min="2051" max="2051"/>
    <col width="16.140625" customWidth="1" style="794" min="2052" max="2052"/>
    <col width="23" customWidth="1" style="794" min="2053" max="2053"/>
    <col width="15.7109375" customWidth="1" style="794" min="2054" max="2054"/>
    <col width="14.7109375" customWidth="1" style="794" min="2055" max="2055"/>
    <col width="23.85546875" customWidth="1" style="794" min="2056" max="2056"/>
    <col width="13.5703125" customWidth="1" style="794" min="2057" max="2057"/>
    <col width="18.5703125" customWidth="1" style="794" min="2058" max="2058"/>
    <col width="16.140625" customWidth="1" style="794" min="2059" max="2059"/>
    <col width="13.85546875" customWidth="1" style="794" min="2060" max="2060"/>
    <col width="3.7109375" customWidth="1" style="794" min="2305" max="2305"/>
    <col width="43.140625" customWidth="1" style="794" min="2306" max="2306"/>
    <col width="27.5703125" customWidth="1" style="794" min="2307" max="2307"/>
    <col width="16.140625" customWidth="1" style="794" min="2308" max="2308"/>
    <col width="23" customWidth="1" style="794" min="2309" max="2309"/>
    <col width="15.7109375" customWidth="1" style="794" min="2310" max="2310"/>
    <col width="14.7109375" customWidth="1" style="794" min="2311" max="2311"/>
    <col width="23.85546875" customWidth="1" style="794" min="2312" max="2312"/>
    <col width="13.5703125" customWidth="1" style="794" min="2313" max="2313"/>
    <col width="18.5703125" customWidth="1" style="794" min="2314" max="2314"/>
    <col width="16.140625" customWidth="1" style="794" min="2315" max="2315"/>
    <col width="13.85546875" customWidth="1" style="794" min="2316" max="2316"/>
    <col width="3.7109375" customWidth="1" style="794" min="2561" max="2561"/>
    <col width="43.140625" customWidth="1" style="794" min="2562" max="2562"/>
    <col width="27.5703125" customWidth="1" style="794" min="2563" max="2563"/>
    <col width="16.140625" customWidth="1" style="794" min="2564" max="2564"/>
    <col width="23" customWidth="1" style="794" min="2565" max="2565"/>
    <col width="15.7109375" customWidth="1" style="794" min="2566" max="2566"/>
    <col width="14.7109375" customWidth="1" style="794" min="2567" max="2567"/>
    <col width="23.85546875" customWidth="1" style="794" min="2568" max="2568"/>
    <col width="13.5703125" customWidth="1" style="794" min="2569" max="2569"/>
    <col width="18.5703125" customWidth="1" style="794" min="2570" max="2570"/>
    <col width="16.140625" customWidth="1" style="794" min="2571" max="2571"/>
    <col width="13.85546875" customWidth="1" style="794" min="2572" max="2572"/>
    <col width="3.7109375" customWidth="1" style="794" min="2817" max="2817"/>
    <col width="43.140625" customWidth="1" style="794" min="2818" max="2818"/>
    <col width="27.5703125" customWidth="1" style="794" min="2819" max="2819"/>
    <col width="16.140625" customWidth="1" style="794" min="2820" max="2820"/>
    <col width="23" customWidth="1" style="794" min="2821" max="2821"/>
    <col width="15.7109375" customWidth="1" style="794" min="2822" max="2822"/>
    <col width="14.7109375" customWidth="1" style="794" min="2823" max="2823"/>
    <col width="23.85546875" customWidth="1" style="794" min="2824" max="2824"/>
    <col width="13.5703125" customWidth="1" style="794" min="2825" max="2825"/>
    <col width="18.5703125" customWidth="1" style="794" min="2826" max="2826"/>
    <col width="16.140625" customWidth="1" style="794" min="2827" max="2827"/>
    <col width="13.85546875" customWidth="1" style="794" min="2828" max="2828"/>
    <col width="3.7109375" customWidth="1" style="794" min="3073" max="3073"/>
    <col width="43.140625" customWidth="1" style="794" min="3074" max="3074"/>
    <col width="27.5703125" customWidth="1" style="794" min="3075" max="3075"/>
    <col width="16.140625" customWidth="1" style="794" min="3076" max="3076"/>
    <col width="23" customWidth="1" style="794" min="3077" max="3077"/>
    <col width="15.7109375" customWidth="1" style="794" min="3078" max="3078"/>
    <col width="14.7109375" customWidth="1" style="794" min="3079" max="3079"/>
    <col width="23.85546875" customWidth="1" style="794" min="3080" max="3080"/>
    <col width="13.5703125" customWidth="1" style="794" min="3081" max="3081"/>
    <col width="18.5703125" customWidth="1" style="794" min="3082" max="3082"/>
    <col width="16.140625" customWidth="1" style="794" min="3083" max="3083"/>
    <col width="13.85546875" customWidth="1" style="794" min="3084" max="3084"/>
    <col width="3.7109375" customWidth="1" style="794" min="3329" max="3329"/>
    <col width="43.140625" customWidth="1" style="794" min="3330" max="3330"/>
    <col width="27.5703125" customWidth="1" style="794" min="3331" max="3331"/>
    <col width="16.140625" customWidth="1" style="794" min="3332" max="3332"/>
    <col width="23" customWidth="1" style="794" min="3333" max="3333"/>
    <col width="15.7109375" customWidth="1" style="794" min="3334" max="3334"/>
    <col width="14.7109375" customWidth="1" style="794" min="3335" max="3335"/>
    <col width="23.85546875" customWidth="1" style="794" min="3336" max="3336"/>
    <col width="13.5703125" customWidth="1" style="794" min="3337" max="3337"/>
    <col width="18.5703125" customWidth="1" style="794" min="3338" max="3338"/>
    <col width="16.140625" customWidth="1" style="794" min="3339" max="3339"/>
    <col width="13.85546875" customWidth="1" style="794" min="3340" max="3340"/>
    <col width="3.7109375" customWidth="1" style="794" min="3585" max="3585"/>
    <col width="43.140625" customWidth="1" style="794" min="3586" max="3586"/>
    <col width="27.5703125" customWidth="1" style="794" min="3587" max="3587"/>
    <col width="16.140625" customWidth="1" style="794" min="3588" max="3588"/>
    <col width="23" customWidth="1" style="794" min="3589" max="3589"/>
    <col width="15.7109375" customWidth="1" style="794" min="3590" max="3590"/>
    <col width="14.7109375" customWidth="1" style="794" min="3591" max="3591"/>
    <col width="23.85546875" customWidth="1" style="794" min="3592" max="3592"/>
    <col width="13.5703125" customWidth="1" style="794" min="3593" max="3593"/>
    <col width="18.5703125" customWidth="1" style="794" min="3594" max="3594"/>
    <col width="16.140625" customWidth="1" style="794" min="3595" max="3595"/>
    <col width="13.85546875" customWidth="1" style="794" min="3596" max="3596"/>
    <col width="3.7109375" customWidth="1" style="794" min="3841" max="3841"/>
    <col width="43.140625" customWidth="1" style="794" min="3842" max="3842"/>
    <col width="27.5703125" customWidth="1" style="794" min="3843" max="3843"/>
    <col width="16.140625" customWidth="1" style="794" min="3844" max="3844"/>
    <col width="23" customWidth="1" style="794" min="3845" max="3845"/>
    <col width="15.7109375" customWidth="1" style="794" min="3846" max="3846"/>
    <col width="14.7109375" customWidth="1" style="794" min="3847" max="3847"/>
    <col width="23.85546875" customWidth="1" style="794" min="3848" max="3848"/>
    <col width="13.5703125" customWidth="1" style="794" min="3849" max="3849"/>
    <col width="18.5703125" customWidth="1" style="794" min="3850" max="3850"/>
    <col width="16.140625" customWidth="1" style="794" min="3851" max="3851"/>
    <col width="13.85546875" customWidth="1" style="794" min="3852" max="3852"/>
    <col width="3.7109375" customWidth="1" style="794" min="4097" max="4097"/>
    <col width="43.140625" customWidth="1" style="794" min="4098" max="4098"/>
    <col width="27.5703125" customWidth="1" style="794" min="4099" max="4099"/>
    <col width="16.140625" customWidth="1" style="794" min="4100" max="4100"/>
    <col width="23" customWidth="1" style="794" min="4101" max="4101"/>
    <col width="15.7109375" customWidth="1" style="794" min="4102" max="4102"/>
    <col width="14.7109375" customWidth="1" style="794" min="4103" max="4103"/>
    <col width="23.85546875" customWidth="1" style="794" min="4104" max="4104"/>
    <col width="13.5703125" customWidth="1" style="794" min="4105" max="4105"/>
    <col width="18.5703125" customWidth="1" style="794" min="4106" max="4106"/>
    <col width="16.140625" customWidth="1" style="794" min="4107" max="4107"/>
    <col width="13.85546875" customWidth="1" style="794" min="4108" max="4108"/>
    <col width="3.7109375" customWidth="1" style="794" min="4353" max="4353"/>
    <col width="43.140625" customWidth="1" style="794" min="4354" max="4354"/>
    <col width="27.5703125" customWidth="1" style="794" min="4355" max="4355"/>
    <col width="16.140625" customWidth="1" style="794" min="4356" max="4356"/>
    <col width="23" customWidth="1" style="794" min="4357" max="4357"/>
    <col width="15.7109375" customWidth="1" style="794" min="4358" max="4358"/>
    <col width="14.7109375" customWidth="1" style="794" min="4359" max="4359"/>
    <col width="23.85546875" customWidth="1" style="794" min="4360" max="4360"/>
    <col width="13.5703125" customWidth="1" style="794" min="4361" max="4361"/>
    <col width="18.5703125" customWidth="1" style="794" min="4362" max="4362"/>
    <col width="16.140625" customWidth="1" style="794" min="4363" max="4363"/>
    <col width="13.85546875" customWidth="1" style="794" min="4364" max="4364"/>
    <col width="3.7109375" customWidth="1" style="794" min="4609" max="4609"/>
    <col width="43.140625" customWidth="1" style="794" min="4610" max="4610"/>
    <col width="27.5703125" customWidth="1" style="794" min="4611" max="4611"/>
    <col width="16.140625" customWidth="1" style="794" min="4612" max="4612"/>
    <col width="23" customWidth="1" style="794" min="4613" max="4613"/>
    <col width="15.7109375" customWidth="1" style="794" min="4614" max="4614"/>
    <col width="14.7109375" customWidth="1" style="794" min="4615" max="4615"/>
    <col width="23.85546875" customWidth="1" style="794" min="4616" max="4616"/>
    <col width="13.5703125" customWidth="1" style="794" min="4617" max="4617"/>
    <col width="18.5703125" customWidth="1" style="794" min="4618" max="4618"/>
    <col width="16.140625" customWidth="1" style="794" min="4619" max="4619"/>
    <col width="13.85546875" customWidth="1" style="794" min="4620" max="4620"/>
    <col width="3.7109375" customWidth="1" style="794" min="4865" max="4865"/>
    <col width="43.140625" customWidth="1" style="794" min="4866" max="4866"/>
    <col width="27.5703125" customWidth="1" style="794" min="4867" max="4867"/>
    <col width="16.140625" customWidth="1" style="794" min="4868" max="4868"/>
    <col width="23" customWidth="1" style="794" min="4869" max="4869"/>
    <col width="15.7109375" customWidth="1" style="794" min="4870" max="4870"/>
    <col width="14.7109375" customWidth="1" style="794" min="4871" max="4871"/>
    <col width="23.85546875" customWidth="1" style="794" min="4872" max="4872"/>
    <col width="13.5703125" customWidth="1" style="794" min="4873" max="4873"/>
    <col width="18.5703125" customWidth="1" style="794" min="4874" max="4874"/>
    <col width="16.140625" customWidth="1" style="794" min="4875" max="4875"/>
    <col width="13.85546875" customWidth="1" style="794" min="4876" max="4876"/>
    <col width="3.7109375" customWidth="1" style="794" min="5121" max="5121"/>
    <col width="43.140625" customWidth="1" style="794" min="5122" max="5122"/>
    <col width="27.5703125" customWidth="1" style="794" min="5123" max="5123"/>
    <col width="16.140625" customWidth="1" style="794" min="5124" max="5124"/>
    <col width="23" customWidth="1" style="794" min="5125" max="5125"/>
    <col width="15.7109375" customWidth="1" style="794" min="5126" max="5126"/>
    <col width="14.7109375" customWidth="1" style="794" min="5127" max="5127"/>
    <col width="23.85546875" customWidth="1" style="794" min="5128" max="5128"/>
    <col width="13.5703125" customWidth="1" style="794" min="5129" max="5129"/>
    <col width="18.5703125" customWidth="1" style="794" min="5130" max="5130"/>
    <col width="16.140625" customWidth="1" style="794" min="5131" max="5131"/>
    <col width="13.85546875" customWidth="1" style="794" min="5132" max="5132"/>
    <col width="3.7109375" customWidth="1" style="794" min="5377" max="5377"/>
    <col width="43.140625" customWidth="1" style="794" min="5378" max="5378"/>
    <col width="27.5703125" customWidth="1" style="794" min="5379" max="5379"/>
    <col width="16.140625" customWidth="1" style="794" min="5380" max="5380"/>
    <col width="23" customWidth="1" style="794" min="5381" max="5381"/>
    <col width="15.7109375" customWidth="1" style="794" min="5382" max="5382"/>
    <col width="14.7109375" customWidth="1" style="794" min="5383" max="5383"/>
    <col width="23.85546875" customWidth="1" style="794" min="5384" max="5384"/>
    <col width="13.5703125" customWidth="1" style="794" min="5385" max="5385"/>
    <col width="18.5703125" customWidth="1" style="794" min="5386" max="5386"/>
    <col width="16.140625" customWidth="1" style="794" min="5387" max="5387"/>
    <col width="13.85546875" customWidth="1" style="794" min="5388" max="5388"/>
    <col width="3.7109375" customWidth="1" style="794" min="5633" max="5633"/>
    <col width="43.140625" customWidth="1" style="794" min="5634" max="5634"/>
    <col width="27.5703125" customWidth="1" style="794" min="5635" max="5635"/>
    <col width="16.140625" customWidth="1" style="794" min="5636" max="5636"/>
    <col width="23" customWidth="1" style="794" min="5637" max="5637"/>
    <col width="15.7109375" customWidth="1" style="794" min="5638" max="5638"/>
    <col width="14.7109375" customWidth="1" style="794" min="5639" max="5639"/>
    <col width="23.85546875" customWidth="1" style="794" min="5640" max="5640"/>
    <col width="13.5703125" customWidth="1" style="794" min="5641" max="5641"/>
    <col width="18.5703125" customWidth="1" style="794" min="5642" max="5642"/>
    <col width="16.140625" customWidth="1" style="794" min="5643" max="5643"/>
    <col width="13.85546875" customWidth="1" style="794" min="5644" max="5644"/>
    <col width="3.7109375" customWidth="1" style="794" min="5889" max="5889"/>
    <col width="43.140625" customWidth="1" style="794" min="5890" max="5890"/>
    <col width="27.5703125" customWidth="1" style="794" min="5891" max="5891"/>
    <col width="16.140625" customWidth="1" style="794" min="5892" max="5892"/>
    <col width="23" customWidth="1" style="794" min="5893" max="5893"/>
    <col width="15.7109375" customWidth="1" style="794" min="5894" max="5894"/>
    <col width="14.7109375" customWidth="1" style="794" min="5895" max="5895"/>
    <col width="23.85546875" customWidth="1" style="794" min="5896" max="5896"/>
    <col width="13.5703125" customWidth="1" style="794" min="5897" max="5897"/>
    <col width="18.5703125" customWidth="1" style="794" min="5898" max="5898"/>
    <col width="16.140625" customWidth="1" style="794" min="5899" max="5899"/>
    <col width="13.85546875" customWidth="1" style="794" min="5900" max="5900"/>
    <col width="3.7109375" customWidth="1" style="794" min="6145" max="6145"/>
    <col width="43.140625" customWidth="1" style="794" min="6146" max="6146"/>
    <col width="27.5703125" customWidth="1" style="794" min="6147" max="6147"/>
    <col width="16.140625" customWidth="1" style="794" min="6148" max="6148"/>
    <col width="23" customWidth="1" style="794" min="6149" max="6149"/>
    <col width="15.7109375" customWidth="1" style="794" min="6150" max="6150"/>
    <col width="14.7109375" customWidth="1" style="794" min="6151" max="6151"/>
    <col width="23.85546875" customWidth="1" style="794" min="6152" max="6152"/>
    <col width="13.5703125" customWidth="1" style="794" min="6153" max="6153"/>
    <col width="18.5703125" customWidth="1" style="794" min="6154" max="6154"/>
    <col width="16.140625" customWidth="1" style="794" min="6155" max="6155"/>
    <col width="13.85546875" customWidth="1" style="794" min="6156" max="6156"/>
    <col width="3.7109375" customWidth="1" style="794" min="6401" max="6401"/>
    <col width="43.140625" customWidth="1" style="794" min="6402" max="6402"/>
    <col width="27.5703125" customWidth="1" style="794" min="6403" max="6403"/>
    <col width="16.140625" customWidth="1" style="794" min="6404" max="6404"/>
    <col width="23" customWidth="1" style="794" min="6405" max="6405"/>
    <col width="15.7109375" customWidth="1" style="794" min="6406" max="6406"/>
    <col width="14.7109375" customWidth="1" style="794" min="6407" max="6407"/>
    <col width="23.85546875" customWidth="1" style="794" min="6408" max="6408"/>
    <col width="13.5703125" customWidth="1" style="794" min="6409" max="6409"/>
    <col width="18.5703125" customWidth="1" style="794" min="6410" max="6410"/>
    <col width="16.140625" customWidth="1" style="794" min="6411" max="6411"/>
    <col width="13.85546875" customWidth="1" style="794" min="6412" max="6412"/>
    <col width="3.7109375" customWidth="1" style="794" min="6657" max="6657"/>
    <col width="43.140625" customWidth="1" style="794" min="6658" max="6658"/>
    <col width="27.5703125" customWidth="1" style="794" min="6659" max="6659"/>
    <col width="16.140625" customWidth="1" style="794" min="6660" max="6660"/>
    <col width="23" customWidth="1" style="794" min="6661" max="6661"/>
    <col width="15.7109375" customWidth="1" style="794" min="6662" max="6662"/>
    <col width="14.7109375" customWidth="1" style="794" min="6663" max="6663"/>
    <col width="23.85546875" customWidth="1" style="794" min="6664" max="6664"/>
    <col width="13.5703125" customWidth="1" style="794" min="6665" max="6665"/>
    <col width="18.5703125" customWidth="1" style="794" min="6666" max="6666"/>
    <col width="16.140625" customWidth="1" style="794" min="6667" max="6667"/>
    <col width="13.85546875" customWidth="1" style="794" min="6668" max="6668"/>
    <col width="3.7109375" customWidth="1" style="794" min="6913" max="6913"/>
    <col width="43.140625" customWidth="1" style="794" min="6914" max="6914"/>
    <col width="27.5703125" customWidth="1" style="794" min="6915" max="6915"/>
    <col width="16.140625" customWidth="1" style="794" min="6916" max="6916"/>
    <col width="23" customWidth="1" style="794" min="6917" max="6917"/>
    <col width="15.7109375" customWidth="1" style="794" min="6918" max="6918"/>
    <col width="14.7109375" customWidth="1" style="794" min="6919" max="6919"/>
    <col width="23.85546875" customWidth="1" style="794" min="6920" max="6920"/>
    <col width="13.5703125" customWidth="1" style="794" min="6921" max="6921"/>
    <col width="18.5703125" customWidth="1" style="794" min="6922" max="6922"/>
    <col width="16.140625" customWidth="1" style="794" min="6923" max="6923"/>
    <col width="13.85546875" customWidth="1" style="794" min="6924" max="6924"/>
    <col width="3.7109375" customWidth="1" style="794" min="7169" max="7169"/>
    <col width="43.140625" customWidth="1" style="794" min="7170" max="7170"/>
    <col width="27.5703125" customWidth="1" style="794" min="7171" max="7171"/>
    <col width="16.140625" customWidth="1" style="794" min="7172" max="7172"/>
    <col width="23" customWidth="1" style="794" min="7173" max="7173"/>
    <col width="15.7109375" customWidth="1" style="794" min="7174" max="7174"/>
    <col width="14.7109375" customWidth="1" style="794" min="7175" max="7175"/>
    <col width="23.85546875" customWidth="1" style="794" min="7176" max="7176"/>
    <col width="13.5703125" customWidth="1" style="794" min="7177" max="7177"/>
    <col width="18.5703125" customWidth="1" style="794" min="7178" max="7178"/>
    <col width="16.140625" customWidth="1" style="794" min="7179" max="7179"/>
    <col width="13.85546875" customWidth="1" style="794" min="7180" max="7180"/>
    <col width="3.7109375" customWidth="1" style="794" min="7425" max="7425"/>
    <col width="43.140625" customWidth="1" style="794" min="7426" max="7426"/>
    <col width="27.5703125" customWidth="1" style="794" min="7427" max="7427"/>
    <col width="16.140625" customWidth="1" style="794" min="7428" max="7428"/>
    <col width="23" customWidth="1" style="794" min="7429" max="7429"/>
    <col width="15.7109375" customWidth="1" style="794" min="7430" max="7430"/>
    <col width="14.7109375" customWidth="1" style="794" min="7431" max="7431"/>
    <col width="23.85546875" customWidth="1" style="794" min="7432" max="7432"/>
    <col width="13.5703125" customWidth="1" style="794" min="7433" max="7433"/>
    <col width="18.5703125" customWidth="1" style="794" min="7434" max="7434"/>
    <col width="16.140625" customWidth="1" style="794" min="7435" max="7435"/>
    <col width="13.85546875" customWidth="1" style="794" min="7436" max="7436"/>
    <col width="3.7109375" customWidth="1" style="794" min="7681" max="7681"/>
    <col width="43.140625" customWidth="1" style="794" min="7682" max="7682"/>
    <col width="27.5703125" customWidth="1" style="794" min="7683" max="7683"/>
    <col width="16.140625" customWidth="1" style="794" min="7684" max="7684"/>
    <col width="23" customWidth="1" style="794" min="7685" max="7685"/>
    <col width="15.7109375" customWidth="1" style="794" min="7686" max="7686"/>
    <col width="14.7109375" customWidth="1" style="794" min="7687" max="7687"/>
    <col width="23.85546875" customWidth="1" style="794" min="7688" max="7688"/>
    <col width="13.5703125" customWidth="1" style="794" min="7689" max="7689"/>
    <col width="18.5703125" customWidth="1" style="794" min="7690" max="7690"/>
    <col width="16.140625" customWidth="1" style="794" min="7691" max="7691"/>
    <col width="13.85546875" customWidth="1" style="794" min="7692" max="7692"/>
    <col width="3.7109375" customWidth="1" style="794" min="7937" max="7937"/>
    <col width="43.140625" customWidth="1" style="794" min="7938" max="7938"/>
    <col width="27.5703125" customWidth="1" style="794" min="7939" max="7939"/>
    <col width="16.140625" customWidth="1" style="794" min="7940" max="7940"/>
    <col width="23" customWidth="1" style="794" min="7941" max="7941"/>
    <col width="15.7109375" customWidth="1" style="794" min="7942" max="7942"/>
    <col width="14.7109375" customWidth="1" style="794" min="7943" max="7943"/>
    <col width="23.85546875" customWidth="1" style="794" min="7944" max="7944"/>
    <col width="13.5703125" customWidth="1" style="794" min="7945" max="7945"/>
    <col width="18.5703125" customWidth="1" style="794" min="7946" max="7946"/>
    <col width="16.140625" customWidth="1" style="794" min="7947" max="7947"/>
    <col width="13.85546875" customWidth="1" style="794" min="7948" max="7948"/>
    <col width="3.7109375" customWidth="1" style="794" min="8193" max="8193"/>
    <col width="43.140625" customWidth="1" style="794" min="8194" max="8194"/>
    <col width="27.5703125" customWidth="1" style="794" min="8195" max="8195"/>
    <col width="16.140625" customWidth="1" style="794" min="8196" max="8196"/>
    <col width="23" customWidth="1" style="794" min="8197" max="8197"/>
    <col width="15.7109375" customWidth="1" style="794" min="8198" max="8198"/>
    <col width="14.7109375" customWidth="1" style="794" min="8199" max="8199"/>
    <col width="23.85546875" customWidth="1" style="794" min="8200" max="8200"/>
    <col width="13.5703125" customWidth="1" style="794" min="8201" max="8201"/>
    <col width="18.5703125" customWidth="1" style="794" min="8202" max="8202"/>
    <col width="16.140625" customWidth="1" style="794" min="8203" max="8203"/>
    <col width="13.85546875" customWidth="1" style="794" min="8204" max="8204"/>
    <col width="3.7109375" customWidth="1" style="794" min="8449" max="8449"/>
    <col width="43.140625" customWidth="1" style="794" min="8450" max="8450"/>
    <col width="27.5703125" customWidth="1" style="794" min="8451" max="8451"/>
    <col width="16.140625" customWidth="1" style="794" min="8452" max="8452"/>
    <col width="23" customWidth="1" style="794" min="8453" max="8453"/>
    <col width="15.7109375" customWidth="1" style="794" min="8454" max="8454"/>
    <col width="14.7109375" customWidth="1" style="794" min="8455" max="8455"/>
    <col width="23.85546875" customWidth="1" style="794" min="8456" max="8456"/>
    <col width="13.5703125" customWidth="1" style="794" min="8457" max="8457"/>
    <col width="18.5703125" customWidth="1" style="794" min="8458" max="8458"/>
    <col width="16.140625" customWidth="1" style="794" min="8459" max="8459"/>
    <col width="13.85546875" customWidth="1" style="794" min="8460" max="8460"/>
    <col width="3.7109375" customWidth="1" style="794" min="8705" max="8705"/>
    <col width="43.140625" customWidth="1" style="794" min="8706" max="8706"/>
    <col width="27.5703125" customWidth="1" style="794" min="8707" max="8707"/>
    <col width="16.140625" customWidth="1" style="794" min="8708" max="8708"/>
    <col width="23" customWidth="1" style="794" min="8709" max="8709"/>
    <col width="15.7109375" customWidth="1" style="794" min="8710" max="8710"/>
    <col width="14.7109375" customWidth="1" style="794" min="8711" max="8711"/>
    <col width="23.85546875" customWidth="1" style="794" min="8712" max="8712"/>
    <col width="13.5703125" customWidth="1" style="794" min="8713" max="8713"/>
    <col width="18.5703125" customWidth="1" style="794" min="8714" max="8714"/>
    <col width="16.140625" customWidth="1" style="794" min="8715" max="8715"/>
    <col width="13.85546875" customWidth="1" style="794" min="8716" max="8716"/>
    <col width="3.7109375" customWidth="1" style="794" min="8961" max="8961"/>
    <col width="43.140625" customWidth="1" style="794" min="8962" max="8962"/>
    <col width="27.5703125" customWidth="1" style="794" min="8963" max="8963"/>
    <col width="16.140625" customWidth="1" style="794" min="8964" max="8964"/>
    <col width="23" customWidth="1" style="794" min="8965" max="8965"/>
    <col width="15.7109375" customWidth="1" style="794" min="8966" max="8966"/>
    <col width="14.7109375" customWidth="1" style="794" min="8967" max="8967"/>
    <col width="23.85546875" customWidth="1" style="794" min="8968" max="8968"/>
    <col width="13.5703125" customWidth="1" style="794" min="8969" max="8969"/>
    <col width="18.5703125" customWidth="1" style="794" min="8970" max="8970"/>
    <col width="16.140625" customWidth="1" style="794" min="8971" max="8971"/>
    <col width="13.85546875" customWidth="1" style="794" min="8972" max="8972"/>
    <col width="3.7109375" customWidth="1" style="794" min="9217" max="9217"/>
    <col width="43.140625" customWidth="1" style="794" min="9218" max="9218"/>
    <col width="27.5703125" customWidth="1" style="794" min="9219" max="9219"/>
    <col width="16.140625" customWidth="1" style="794" min="9220" max="9220"/>
    <col width="23" customWidth="1" style="794" min="9221" max="9221"/>
    <col width="15.7109375" customWidth="1" style="794" min="9222" max="9222"/>
    <col width="14.7109375" customWidth="1" style="794" min="9223" max="9223"/>
    <col width="23.85546875" customWidth="1" style="794" min="9224" max="9224"/>
    <col width="13.5703125" customWidth="1" style="794" min="9225" max="9225"/>
    <col width="18.5703125" customWidth="1" style="794" min="9226" max="9226"/>
    <col width="16.140625" customWidth="1" style="794" min="9227" max="9227"/>
    <col width="13.85546875" customWidth="1" style="794" min="9228" max="9228"/>
    <col width="3.7109375" customWidth="1" style="794" min="9473" max="9473"/>
    <col width="43.140625" customWidth="1" style="794" min="9474" max="9474"/>
    <col width="27.5703125" customWidth="1" style="794" min="9475" max="9475"/>
    <col width="16.140625" customWidth="1" style="794" min="9476" max="9476"/>
    <col width="23" customWidth="1" style="794" min="9477" max="9477"/>
    <col width="15.7109375" customWidth="1" style="794" min="9478" max="9478"/>
    <col width="14.7109375" customWidth="1" style="794" min="9479" max="9479"/>
    <col width="23.85546875" customWidth="1" style="794" min="9480" max="9480"/>
    <col width="13.5703125" customWidth="1" style="794" min="9481" max="9481"/>
    <col width="18.5703125" customWidth="1" style="794" min="9482" max="9482"/>
    <col width="16.140625" customWidth="1" style="794" min="9483" max="9483"/>
    <col width="13.85546875" customWidth="1" style="794" min="9484" max="9484"/>
    <col width="3.7109375" customWidth="1" style="794" min="9729" max="9729"/>
    <col width="43.140625" customWidth="1" style="794" min="9730" max="9730"/>
    <col width="27.5703125" customWidth="1" style="794" min="9731" max="9731"/>
    <col width="16.140625" customWidth="1" style="794" min="9732" max="9732"/>
    <col width="23" customWidth="1" style="794" min="9733" max="9733"/>
    <col width="15.7109375" customWidth="1" style="794" min="9734" max="9734"/>
    <col width="14.7109375" customWidth="1" style="794" min="9735" max="9735"/>
    <col width="23.85546875" customWidth="1" style="794" min="9736" max="9736"/>
    <col width="13.5703125" customWidth="1" style="794" min="9737" max="9737"/>
    <col width="18.5703125" customWidth="1" style="794" min="9738" max="9738"/>
    <col width="16.140625" customWidth="1" style="794" min="9739" max="9739"/>
    <col width="13.85546875" customWidth="1" style="794" min="9740" max="9740"/>
    <col width="3.7109375" customWidth="1" style="794" min="9985" max="9985"/>
    <col width="43.140625" customWidth="1" style="794" min="9986" max="9986"/>
    <col width="27.5703125" customWidth="1" style="794" min="9987" max="9987"/>
    <col width="16.140625" customWidth="1" style="794" min="9988" max="9988"/>
    <col width="23" customWidth="1" style="794" min="9989" max="9989"/>
    <col width="15.7109375" customWidth="1" style="794" min="9990" max="9990"/>
    <col width="14.7109375" customWidth="1" style="794" min="9991" max="9991"/>
    <col width="23.85546875" customWidth="1" style="794" min="9992" max="9992"/>
    <col width="13.5703125" customWidth="1" style="794" min="9993" max="9993"/>
    <col width="18.5703125" customWidth="1" style="794" min="9994" max="9994"/>
    <col width="16.140625" customWidth="1" style="794" min="9995" max="9995"/>
    <col width="13.85546875" customWidth="1" style="794" min="9996" max="9996"/>
    <col width="3.7109375" customWidth="1" style="794" min="10241" max="10241"/>
    <col width="43.140625" customWidth="1" style="794" min="10242" max="10242"/>
    <col width="27.5703125" customWidth="1" style="794" min="10243" max="10243"/>
    <col width="16.140625" customWidth="1" style="794" min="10244" max="10244"/>
    <col width="23" customWidth="1" style="794" min="10245" max="10245"/>
    <col width="15.7109375" customWidth="1" style="794" min="10246" max="10246"/>
    <col width="14.7109375" customWidth="1" style="794" min="10247" max="10247"/>
    <col width="23.85546875" customWidth="1" style="794" min="10248" max="10248"/>
    <col width="13.5703125" customWidth="1" style="794" min="10249" max="10249"/>
    <col width="18.5703125" customWidth="1" style="794" min="10250" max="10250"/>
    <col width="16.140625" customWidth="1" style="794" min="10251" max="10251"/>
    <col width="13.85546875" customWidth="1" style="794" min="10252" max="10252"/>
    <col width="3.7109375" customWidth="1" style="794" min="10497" max="10497"/>
    <col width="43.140625" customWidth="1" style="794" min="10498" max="10498"/>
    <col width="27.5703125" customWidth="1" style="794" min="10499" max="10499"/>
    <col width="16.140625" customWidth="1" style="794" min="10500" max="10500"/>
    <col width="23" customWidth="1" style="794" min="10501" max="10501"/>
    <col width="15.7109375" customWidth="1" style="794" min="10502" max="10502"/>
    <col width="14.7109375" customWidth="1" style="794" min="10503" max="10503"/>
    <col width="23.85546875" customWidth="1" style="794" min="10504" max="10504"/>
    <col width="13.5703125" customWidth="1" style="794" min="10505" max="10505"/>
    <col width="18.5703125" customWidth="1" style="794" min="10506" max="10506"/>
    <col width="16.140625" customWidth="1" style="794" min="10507" max="10507"/>
    <col width="13.85546875" customWidth="1" style="794" min="10508" max="10508"/>
    <col width="3.7109375" customWidth="1" style="794" min="10753" max="10753"/>
    <col width="43.140625" customWidth="1" style="794" min="10754" max="10754"/>
    <col width="27.5703125" customWidth="1" style="794" min="10755" max="10755"/>
    <col width="16.140625" customWidth="1" style="794" min="10756" max="10756"/>
    <col width="23" customWidth="1" style="794" min="10757" max="10757"/>
    <col width="15.7109375" customWidth="1" style="794" min="10758" max="10758"/>
    <col width="14.7109375" customWidth="1" style="794" min="10759" max="10759"/>
    <col width="23.85546875" customWidth="1" style="794" min="10760" max="10760"/>
    <col width="13.5703125" customWidth="1" style="794" min="10761" max="10761"/>
    <col width="18.5703125" customWidth="1" style="794" min="10762" max="10762"/>
    <col width="16.140625" customWidth="1" style="794" min="10763" max="10763"/>
    <col width="13.85546875" customWidth="1" style="794" min="10764" max="10764"/>
    <col width="3.7109375" customWidth="1" style="794" min="11009" max="11009"/>
    <col width="43.140625" customWidth="1" style="794" min="11010" max="11010"/>
    <col width="27.5703125" customWidth="1" style="794" min="11011" max="11011"/>
    <col width="16.140625" customWidth="1" style="794" min="11012" max="11012"/>
    <col width="23" customWidth="1" style="794" min="11013" max="11013"/>
    <col width="15.7109375" customWidth="1" style="794" min="11014" max="11014"/>
    <col width="14.7109375" customWidth="1" style="794" min="11015" max="11015"/>
    <col width="23.85546875" customWidth="1" style="794" min="11016" max="11016"/>
    <col width="13.5703125" customWidth="1" style="794" min="11017" max="11017"/>
    <col width="18.5703125" customWidth="1" style="794" min="11018" max="11018"/>
    <col width="16.140625" customWidth="1" style="794" min="11019" max="11019"/>
    <col width="13.85546875" customWidth="1" style="794" min="11020" max="11020"/>
    <col width="3.7109375" customWidth="1" style="794" min="11265" max="11265"/>
    <col width="43.140625" customWidth="1" style="794" min="11266" max="11266"/>
    <col width="27.5703125" customWidth="1" style="794" min="11267" max="11267"/>
    <col width="16.140625" customWidth="1" style="794" min="11268" max="11268"/>
    <col width="23" customWidth="1" style="794" min="11269" max="11269"/>
    <col width="15.7109375" customWidth="1" style="794" min="11270" max="11270"/>
    <col width="14.7109375" customWidth="1" style="794" min="11271" max="11271"/>
    <col width="23.85546875" customWidth="1" style="794" min="11272" max="11272"/>
    <col width="13.5703125" customWidth="1" style="794" min="11273" max="11273"/>
    <col width="18.5703125" customWidth="1" style="794" min="11274" max="11274"/>
    <col width="16.140625" customWidth="1" style="794" min="11275" max="11275"/>
    <col width="13.85546875" customWidth="1" style="794" min="11276" max="11276"/>
    <col width="3.7109375" customWidth="1" style="794" min="11521" max="11521"/>
    <col width="43.140625" customWidth="1" style="794" min="11522" max="11522"/>
    <col width="27.5703125" customWidth="1" style="794" min="11523" max="11523"/>
    <col width="16.140625" customWidth="1" style="794" min="11524" max="11524"/>
    <col width="23" customWidth="1" style="794" min="11525" max="11525"/>
    <col width="15.7109375" customWidth="1" style="794" min="11526" max="11526"/>
    <col width="14.7109375" customWidth="1" style="794" min="11527" max="11527"/>
    <col width="23.85546875" customWidth="1" style="794" min="11528" max="11528"/>
    <col width="13.5703125" customWidth="1" style="794" min="11529" max="11529"/>
    <col width="18.5703125" customWidth="1" style="794" min="11530" max="11530"/>
    <col width="16.140625" customWidth="1" style="794" min="11531" max="11531"/>
    <col width="13.85546875" customWidth="1" style="794" min="11532" max="11532"/>
    <col width="3.7109375" customWidth="1" style="794" min="11777" max="11777"/>
    <col width="43.140625" customWidth="1" style="794" min="11778" max="11778"/>
    <col width="27.5703125" customWidth="1" style="794" min="11779" max="11779"/>
    <col width="16.140625" customWidth="1" style="794" min="11780" max="11780"/>
    <col width="23" customWidth="1" style="794" min="11781" max="11781"/>
    <col width="15.7109375" customWidth="1" style="794" min="11782" max="11782"/>
    <col width="14.7109375" customWidth="1" style="794" min="11783" max="11783"/>
    <col width="23.85546875" customWidth="1" style="794" min="11784" max="11784"/>
    <col width="13.5703125" customWidth="1" style="794" min="11785" max="11785"/>
    <col width="18.5703125" customWidth="1" style="794" min="11786" max="11786"/>
    <col width="16.140625" customWidth="1" style="794" min="11787" max="11787"/>
    <col width="13.85546875" customWidth="1" style="794" min="11788" max="11788"/>
    <col width="3.7109375" customWidth="1" style="794" min="12033" max="12033"/>
    <col width="43.140625" customWidth="1" style="794" min="12034" max="12034"/>
    <col width="27.5703125" customWidth="1" style="794" min="12035" max="12035"/>
    <col width="16.140625" customWidth="1" style="794" min="12036" max="12036"/>
    <col width="23" customWidth="1" style="794" min="12037" max="12037"/>
    <col width="15.7109375" customWidth="1" style="794" min="12038" max="12038"/>
    <col width="14.7109375" customWidth="1" style="794" min="12039" max="12039"/>
    <col width="23.85546875" customWidth="1" style="794" min="12040" max="12040"/>
    <col width="13.5703125" customWidth="1" style="794" min="12041" max="12041"/>
    <col width="18.5703125" customWidth="1" style="794" min="12042" max="12042"/>
    <col width="16.140625" customWidth="1" style="794" min="12043" max="12043"/>
    <col width="13.85546875" customWidth="1" style="794" min="12044" max="12044"/>
    <col width="3.7109375" customWidth="1" style="794" min="12289" max="12289"/>
    <col width="43.140625" customWidth="1" style="794" min="12290" max="12290"/>
    <col width="27.5703125" customWidth="1" style="794" min="12291" max="12291"/>
    <col width="16.140625" customWidth="1" style="794" min="12292" max="12292"/>
    <col width="23" customWidth="1" style="794" min="12293" max="12293"/>
    <col width="15.7109375" customWidth="1" style="794" min="12294" max="12294"/>
    <col width="14.7109375" customWidth="1" style="794" min="12295" max="12295"/>
    <col width="23.85546875" customWidth="1" style="794" min="12296" max="12296"/>
    <col width="13.5703125" customWidth="1" style="794" min="12297" max="12297"/>
    <col width="18.5703125" customWidth="1" style="794" min="12298" max="12298"/>
    <col width="16.140625" customWidth="1" style="794" min="12299" max="12299"/>
    <col width="13.85546875" customWidth="1" style="794" min="12300" max="12300"/>
    <col width="3.7109375" customWidth="1" style="794" min="12545" max="12545"/>
    <col width="43.140625" customWidth="1" style="794" min="12546" max="12546"/>
    <col width="27.5703125" customWidth="1" style="794" min="12547" max="12547"/>
    <col width="16.140625" customWidth="1" style="794" min="12548" max="12548"/>
    <col width="23" customWidth="1" style="794" min="12549" max="12549"/>
    <col width="15.7109375" customWidth="1" style="794" min="12550" max="12550"/>
    <col width="14.7109375" customWidth="1" style="794" min="12551" max="12551"/>
    <col width="23.85546875" customWidth="1" style="794" min="12552" max="12552"/>
    <col width="13.5703125" customWidth="1" style="794" min="12553" max="12553"/>
    <col width="18.5703125" customWidth="1" style="794" min="12554" max="12554"/>
    <col width="16.140625" customWidth="1" style="794" min="12555" max="12555"/>
    <col width="13.85546875" customWidth="1" style="794" min="12556" max="12556"/>
    <col width="3.7109375" customWidth="1" style="794" min="12801" max="12801"/>
    <col width="43.140625" customWidth="1" style="794" min="12802" max="12802"/>
    <col width="27.5703125" customWidth="1" style="794" min="12803" max="12803"/>
    <col width="16.140625" customWidth="1" style="794" min="12804" max="12804"/>
    <col width="23" customWidth="1" style="794" min="12805" max="12805"/>
    <col width="15.7109375" customWidth="1" style="794" min="12806" max="12806"/>
    <col width="14.7109375" customWidth="1" style="794" min="12807" max="12807"/>
    <col width="23.85546875" customWidth="1" style="794" min="12808" max="12808"/>
    <col width="13.5703125" customWidth="1" style="794" min="12809" max="12809"/>
    <col width="18.5703125" customWidth="1" style="794" min="12810" max="12810"/>
    <col width="16.140625" customWidth="1" style="794" min="12811" max="12811"/>
    <col width="13.85546875" customWidth="1" style="794" min="12812" max="12812"/>
    <col width="3.7109375" customWidth="1" style="794" min="13057" max="13057"/>
    <col width="43.140625" customWidth="1" style="794" min="13058" max="13058"/>
    <col width="27.5703125" customWidth="1" style="794" min="13059" max="13059"/>
    <col width="16.140625" customWidth="1" style="794" min="13060" max="13060"/>
    <col width="23" customWidth="1" style="794" min="13061" max="13061"/>
    <col width="15.7109375" customWidth="1" style="794" min="13062" max="13062"/>
    <col width="14.7109375" customWidth="1" style="794" min="13063" max="13063"/>
    <col width="23.85546875" customWidth="1" style="794" min="13064" max="13064"/>
    <col width="13.5703125" customWidth="1" style="794" min="13065" max="13065"/>
    <col width="18.5703125" customWidth="1" style="794" min="13066" max="13066"/>
    <col width="16.140625" customWidth="1" style="794" min="13067" max="13067"/>
    <col width="13.85546875" customWidth="1" style="794" min="13068" max="13068"/>
    <col width="3.7109375" customWidth="1" style="794" min="13313" max="13313"/>
    <col width="43.140625" customWidth="1" style="794" min="13314" max="13314"/>
    <col width="27.5703125" customWidth="1" style="794" min="13315" max="13315"/>
    <col width="16.140625" customWidth="1" style="794" min="13316" max="13316"/>
    <col width="23" customWidth="1" style="794" min="13317" max="13317"/>
    <col width="15.7109375" customWidth="1" style="794" min="13318" max="13318"/>
    <col width="14.7109375" customWidth="1" style="794" min="13319" max="13319"/>
    <col width="23.85546875" customWidth="1" style="794" min="13320" max="13320"/>
    <col width="13.5703125" customWidth="1" style="794" min="13321" max="13321"/>
    <col width="18.5703125" customWidth="1" style="794" min="13322" max="13322"/>
    <col width="16.140625" customWidth="1" style="794" min="13323" max="13323"/>
    <col width="13.85546875" customWidth="1" style="794" min="13324" max="13324"/>
    <col width="3.7109375" customWidth="1" style="794" min="13569" max="13569"/>
    <col width="43.140625" customWidth="1" style="794" min="13570" max="13570"/>
    <col width="27.5703125" customWidth="1" style="794" min="13571" max="13571"/>
    <col width="16.140625" customWidth="1" style="794" min="13572" max="13572"/>
    <col width="23" customWidth="1" style="794" min="13573" max="13573"/>
    <col width="15.7109375" customWidth="1" style="794" min="13574" max="13574"/>
    <col width="14.7109375" customWidth="1" style="794" min="13575" max="13575"/>
    <col width="23.85546875" customWidth="1" style="794" min="13576" max="13576"/>
    <col width="13.5703125" customWidth="1" style="794" min="13577" max="13577"/>
    <col width="18.5703125" customWidth="1" style="794" min="13578" max="13578"/>
    <col width="16.140625" customWidth="1" style="794" min="13579" max="13579"/>
    <col width="13.85546875" customWidth="1" style="794" min="13580" max="13580"/>
    <col width="3.7109375" customWidth="1" style="794" min="13825" max="13825"/>
    <col width="43.140625" customWidth="1" style="794" min="13826" max="13826"/>
    <col width="27.5703125" customWidth="1" style="794" min="13827" max="13827"/>
    <col width="16.140625" customWidth="1" style="794" min="13828" max="13828"/>
    <col width="23" customWidth="1" style="794" min="13829" max="13829"/>
    <col width="15.7109375" customWidth="1" style="794" min="13830" max="13830"/>
    <col width="14.7109375" customWidth="1" style="794" min="13831" max="13831"/>
    <col width="23.85546875" customWidth="1" style="794" min="13832" max="13832"/>
    <col width="13.5703125" customWidth="1" style="794" min="13833" max="13833"/>
    <col width="18.5703125" customWidth="1" style="794" min="13834" max="13834"/>
    <col width="16.140625" customWidth="1" style="794" min="13835" max="13835"/>
    <col width="13.85546875" customWidth="1" style="794" min="13836" max="13836"/>
    <col width="3.7109375" customWidth="1" style="794" min="14081" max="14081"/>
    <col width="43.140625" customWidth="1" style="794" min="14082" max="14082"/>
    <col width="27.5703125" customWidth="1" style="794" min="14083" max="14083"/>
    <col width="16.140625" customWidth="1" style="794" min="14084" max="14084"/>
    <col width="23" customWidth="1" style="794" min="14085" max="14085"/>
    <col width="15.7109375" customWidth="1" style="794" min="14086" max="14086"/>
    <col width="14.7109375" customWidth="1" style="794" min="14087" max="14087"/>
    <col width="23.85546875" customWidth="1" style="794" min="14088" max="14088"/>
    <col width="13.5703125" customWidth="1" style="794" min="14089" max="14089"/>
    <col width="18.5703125" customWidth="1" style="794" min="14090" max="14090"/>
    <col width="16.140625" customWidth="1" style="794" min="14091" max="14091"/>
    <col width="13.85546875" customWidth="1" style="794" min="14092" max="14092"/>
    <col width="3.7109375" customWidth="1" style="794" min="14337" max="14337"/>
    <col width="43.140625" customWidth="1" style="794" min="14338" max="14338"/>
    <col width="27.5703125" customWidth="1" style="794" min="14339" max="14339"/>
    <col width="16.140625" customWidth="1" style="794" min="14340" max="14340"/>
    <col width="23" customWidth="1" style="794" min="14341" max="14341"/>
    <col width="15.7109375" customWidth="1" style="794" min="14342" max="14342"/>
    <col width="14.7109375" customWidth="1" style="794" min="14343" max="14343"/>
    <col width="23.85546875" customWidth="1" style="794" min="14344" max="14344"/>
    <col width="13.5703125" customWidth="1" style="794" min="14345" max="14345"/>
    <col width="18.5703125" customWidth="1" style="794" min="14346" max="14346"/>
    <col width="16.140625" customWidth="1" style="794" min="14347" max="14347"/>
    <col width="13.85546875" customWidth="1" style="794" min="14348" max="14348"/>
    <col width="3.7109375" customWidth="1" style="794" min="14593" max="14593"/>
    <col width="43.140625" customWidth="1" style="794" min="14594" max="14594"/>
    <col width="27.5703125" customWidth="1" style="794" min="14595" max="14595"/>
    <col width="16.140625" customWidth="1" style="794" min="14596" max="14596"/>
    <col width="23" customWidth="1" style="794" min="14597" max="14597"/>
    <col width="15.7109375" customWidth="1" style="794" min="14598" max="14598"/>
    <col width="14.7109375" customWidth="1" style="794" min="14599" max="14599"/>
    <col width="23.85546875" customWidth="1" style="794" min="14600" max="14600"/>
    <col width="13.5703125" customWidth="1" style="794" min="14601" max="14601"/>
    <col width="18.5703125" customWidth="1" style="794" min="14602" max="14602"/>
    <col width="16.140625" customWidth="1" style="794" min="14603" max="14603"/>
    <col width="13.85546875" customWidth="1" style="794" min="14604" max="14604"/>
    <col width="3.7109375" customWidth="1" style="794" min="14849" max="14849"/>
    <col width="43.140625" customWidth="1" style="794" min="14850" max="14850"/>
    <col width="27.5703125" customWidth="1" style="794" min="14851" max="14851"/>
    <col width="16.140625" customWidth="1" style="794" min="14852" max="14852"/>
    <col width="23" customWidth="1" style="794" min="14853" max="14853"/>
    <col width="15.7109375" customWidth="1" style="794" min="14854" max="14854"/>
    <col width="14.7109375" customWidth="1" style="794" min="14855" max="14855"/>
    <col width="23.85546875" customWidth="1" style="794" min="14856" max="14856"/>
    <col width="13.5703125" customWidth="1" style="794" min="14857" max="14857"/>
    <col width="18.5703125" customWidth="1" style="794" min="14858" max="14858"/>
    <col width="16.140625" customWidth="1" style="794" min="14859" max="14859"/>
    <col width="13.85546875" customWidth="1" style="794" min="14860" max="14860"/>
    <col width="3.7109375" customWidth="1" style="794" min="15105" max="15105"/>
    <col width="43.140625" customWidth="1" style="794" min="15106" max="15106"/>
    <col width="27.5703125" customWidth="1" style="794" min="15107" max="15107"/>
    <col width="16.140625" customWidth="1" style="794" min="15108" max="15108"/>
    <col width="23" customWidth="1" style="794" min="15109" max="15109"/>
    <col width="15.7109375" customWidth="1" style="794" min="15110" max="15110"/>
    <col width="14.7109375" customWidth="1" style="794" min="15111" max="15111"/>
    <col width="23.85546875" customWidth="1" style="794" min="15112" max="15112"/>
    <col width="13.5703125" customWidth="1" style="794" min="15113" max="15113"/>
    <col width="18.5703125" customWidth="1" style="794" min="15114" max="15114"/>
    <col width="16.140625" customWidth="1" style="794" min="15115" max="15115"/>
    <col width="13.85546875" customWidth="1" style="794" min="15116" max="15116"/>
    <col width="3.7109375" customWidth="1" style="794" min="15361" max="15361"/>
    <col width="43.140625" customWidth="1" style="794" min="15362" max="15362"/>
    <col width="27.5703125" customWidth="1" style="794" min="15363" max="15363"/>
    <col width="16.140625" customWidth="1" style="794" min="15364" max="15364"/>
    <col width="23" customWidth="1" style="794" min="15365" max="15365"/>
    <col width="15.7109375" customWidth="1" style="794" min="15366" max="15366"/>
    <col width="14.7109375" customWidth="1" style="794" min="15367" max="15367"/>
    <col width="23.85546875" customWidth="1" style="794" min="15368" max="15368"/>
    <col width="13.5703125" customWidth="1" style="794" min="15369" max="15369"/>
    <col width="18.5703125" customWidth="1" style="794" min="15370" max="15370"/>
    <col width="16.140625" customWidth="1" style="794" min="15371" max="15371"/>
    <col width="13.85546875" customWidth="1" style="794" min="15372" max="15372"/>
    <col width="3.7109375" customWidth="1" style="794" min="15617" max="15617"/>
    <col width="43.140625" customWidth="1" style="794" min="15618" max="15618"/>
    <col width="27.5703125" customWidth="1" style="794" min="15619" max="15619"/>
    <col width="16.140625" customWidth="1" style="794" min="15620" max="15620"/>
    <col width="23" customWidth="1" style="794" min="15621" max="15621"/>
    <col width="15.7109375" customWidth="1" style="794" min="15622" max="15622"/>
    <col width="14.7109375" customWidth="1" style="794" min="15623" max="15623"/>
    <col width="23.85546875" customWidth="1" style="794" min="15624" max="15624"/>
    <col width="13.5703125" customWidth="1" style="794" min="15625" max="15625"/>
    <col width="18.5703125" customWidth="1" style="794" min="15626" max="15626"/>
    <col width="16.140625" customWidth="1" style="794" min="15627" max="15627"/>
    <col width="13.85546875" customWidth="1" style="794" min="15628" max="15628"/>
    <col width="3.7109375" customWidth="1" style="794" min="15873" max="15873"/>
    <col width="43.140625" customWidth="1" style="794" min="15874" max="15874"/>
    <col width="27.5703125" customWidth="1" style="794" min="15875" max="15875"/>
    <col width="16.140625" customWidth="1" style="794" min="15876" max="15876"/>
    <col width="23" customWidth="1" style="794" min="15877" max="15877"/>
    <col width="15.7109375" customWidth="1" style="794" min="15878" max="15878"/>
    <col width="14.7109375" customWidth="1" style="794" min="15879" max="15879"/>
    <col width="23.85546875" customWidth="1" style="794" min="15880" max="15880"/>
    <col width="13.5703125" customWidth="1" style="794" min="15881" max="15881"/>
    <col width="18.5703125" customWidth="1" style="794" min="15882" max="15882"/>
    <col width="16.140625" customWidth="1" style="794" min="15883" max="15883"/>
    <col width="13.85546875" customWidth="1" style="794" min="15884" max="15884"/>
    <col width="3.7109375" customWidth="1" style="794" min="16129" max="16129"/>
    <col width="43.140625" customWidth="1" style="794" min="16130" max="16130"/>
    <col width="27.5703125" customWidth="1" style="794" min="16131" max="16131"/>
    <col width="16.140625" customWidth="1" style="794" min="16132" max="16132"/>
    <col width="23" customWidth="1" style="794" min="16133" max="16133"/>
    <col width="15.7109375" customWidth="1" style="794" min="16134" max="16134"/>
    <col width="14.7109375" customWidth="1" style="794" min="16135" max="16135"/>
    <col width="23.85546875" customWidth="1" style="794" min="16136" max="16136"/>
    <col width="13.5703125" customWidth="1" style="794" min="16137" max="16137"/>
    <col width="18.5703125" customWidth="1" style="794" min="16138" max="16138"/>
    <col width="16.140625" customWidth="1" style="794" min="16139" max="16139"/>
    <col width="13.85546875" customWidth="1" style="794" min="16140" max="16140"/>
  </cols>
  <sheetData>
    <row r="1">
      <c r="A1" s="226" t="n"/>
      <c r="B1" s="226" t="n"/>
      <c r="C1" s="226" t="n"/>
      <c r="D1" s="226" t="n"/>
      <c r="E1" s="226" t="n"/>
      <c r="F1" s="226" t="n"/>
      <c r="G1" s="226" t="n"/>
      <c r="H1" s="226" t="n"/>
      <c r="I1" s="528" t="n"/>
      <c r="K1" s="1015" t="inlineStr">
        <is>
          <t>Форма № 14д</t>
        </is>
      </c>
    </row>
    <row r="2" ht="30" customHeight="1" s="794">
      <c r="A2" s="1202" t="inlineStr">
        <is>
          <t>РАСШИФРОВКА 
специальных затрат</t>
        </is>
      </c>
    </row>
    <row r="3" ht="31.5" customHeight="1" s="794">
      <c r="B3" s="1204" t="inlineStr">
        <is>
          <t>ТЕМА</t>
        </is>
      </c>
      <c r="C3" s="1409" t="n"/>
      <c r="D3" s="1409" t="n"/>
      <c r="E3" s="1409" t="n"/>
      <c r="F3" s="1409" t="n"/>
      <c r="G3" s="1409" t="n"/>
      <c r="H3" s="1409" t="n"/>
      <c r="I3" s="1409" t="n"/>
      <c r="J3" s="1409" t="n"/>
      <c r="K3" s="55" t="n"/>
    </row>
    <row r="4" ht="13.5" customHeight="1" s="794">
      <c r="B4" s="1205" t="inlineStr">
        <is>
          <t>(наименование, шифр товара, работы, услуги)</t>
        </is>
      </c>
      <c r="C4" s="1416" t="n"/>
      <c r="D4" s="1416" t="n"/>
      <c r="E4" s="1416" t="n"/>
      <c r="F4" s="1416" t="n"/>
      <c r="G4" s="1416" t="n"/>
      <c r="H4" s="1416" t="n"/>
      <c r="I4" s="1416" t="n"/>
      <c r="J4" s="1416" t="n"/>
      <c r="K4" s="540" t="n"/>
    </row>
    <row r="5" ht="9" customHeight="1" s="794">
      <c r="A5" s="1021" t="n"/>
      <c r="B5" s="1021" t="n"/>
      <c r="C5" s="1021" t="n"/>
      <c r="D5" s="1021" t="n"/>
      <c r="E5" s="1021" t="n"/>
      <c r="F5" s="1021" t="n"/>
      <c r="G5" s="1021" t="n"/>
      <c r="H5" s="1021" t="n"/>
      <c r="I5" s="1021" t="n"/>
      <c r="J5" s="1021" t="n"/>
    </row>
    <row r="6">
      <c r="A6" s="541" t="n"/>
      <c r="B6" s="541" t="n"/>
      <c r="C6" s="541" t="n"/>
      <c r="D6" s="541" t="n"/>
      <c r="E6" s="541" t="n"/>
      <c r="F6" s="541" t="n"/>
      <c r="G6" s="1021" t="n"/>
      <c r="H6" s="1021" t="n"/>
      <c r="I6" s="1021" t="n"/>
      <c r="J6" s="1021" t="n"/>
      <c r="K6" s="542" t="n"/>
    </row>
    <row r="7" ht="17.25" customHeight="1" s="794">
      <c r="A7" s="1206" t="inlineStr">
        <is>
          <t>№ п/п</t>
        </is>
      </c>
      <c r="B7" s="1206" t="inlineStr">
        <is>
          <t>Наименование статей затрат</t>
        </is>
      </c>
      <c r="C7" s="1206" t="inlineStr">
        <is>
          <t>Затраты отчетного периода / периода, предшествующего планируемому (руб.)</t>
        </is>
      </c>
      <c r="D7" s="1206" t="inlineStr">
        <is>
          <t>Стоимостная оценка затрат в условиях первого года производства</t>
        </is>
      </c>
      <c r="E7" s="1417" t="n"/>
      <c r="F7" s="1206" t="inlineStr">
        <is>
          <t>Основание для включения (техническая документация)</t>
        </is>
      </c>
      <c r="G7" s="1212" t="inlineStr">
        <is>
          <t>Планируемый период</t>
        </is>
      </c>
      <c r="H7" s="1412" t="n"/>
      <c r="I7" s="1412" t="n"/>
      <c r="J7" s="1412" t="n"/>
      <c r="K7" s="1410" t="n"/>
    </row>
    <row r="8" ht="20.1" customHeight="1" s="794">
      <c r="A8" s="1418" t="n"/>
      <c r="B8" s="1418" t="n"/>
      <c r="C8" s="1418" t="n"/>
      <c r="D8" s="1414" t="n"/>
      <c r="E8" s="1421" t="n"/>
      <c r="F8" s="1418" t="n"/>
      <c r="G8" s="1206" t="inlineStr">
        <is>
          <t>затраты в первом году производства</t>
        </is>
      </c>
      <c r="H8" s="1206" t="inlineStr">
        <is>
          <t>n-ый год производства</t>
        </is>
      </c>
      <c r="I8" s="1412" t="n"/>
      <c r="J8" s="1410" t="n"/>
      <c r="K8" s="1206" t="inlineStr">
        <is>
          <t>итого сумма затрат за весь период производства</t>
        </is>
      </c>
    </row>
    <row r="9" ht="60" customHeight="1" s="794">
      <c r="A9" s="1413" t="n"/>
      <c r="B9" s="1413" t="n"/>
      <c r="C9" s="1413" t="n"/>
      <c r="D9" s="1194" t="inlineStr">
        <is>
          <t>применяемый индекс цен</t>
        </is>
      </c>
      <c r="E9" s="1206" t="inlineStr">
        <is>
          <t>затраты (руб.)</t>
        </is>
      </c>
      <c r="F9" s="1413" t="n"/>
      <c r="G9" s="1413" t="n"/>
      <c r="H9" s="545" t="inlineStr">
        <is>
          <t>стоимостная оценка затрат n-ого года в условиях первого года производства (руб.)</t>
        </is>
      </c>
      <c r="I9" s="1194" t="inlineStr">
        <is>
          <t>применяемый индекс цен</t>
        </is>
      </c>
      <c r="J9" s="1206" t="inlineStr">
        <is>
          <t>затраты n-ого года производства (руб.)</t>
        </is>
      </c>
      <c r="K9" s="1413" t="n"/>
    </row>
    <row r="10" customFormat="1" s="45">
      <c r="A10" s="546" t="inlineStr">
        <is>
          <t>1</t>
        </is>
      </c>
      <c r="B10" s="1206" t="n">
        <v>2</v>
      </c>
      <c r="C10" s="1206" t="n">
        <v>3</v>
      </c>
      <c r="D10" s="1206" t="n">
        <v>4</v>
      </c>
      <c r="E10" s="1503" t="n">
        <v>5</v>
      </c>
      <c r="F10" s="548" t="n">
        <v>6</v>
      </c>
      <c r="G10" s="548" t="n">
        <v>7</v>
      </c>
      <c r="H10" s="548" t="n">
        <v>8</v>
      </c>
      <c r="I10" s="548" t="n">
        <v>9</v>
      </c>
      <c r="J10" s="548" t="n">
        <v>10</v>
      </c>
      <c r="K10" s="548" t="n">
        <v>11</v>
      </c>
    </row>
    <row r="11">
      <c r="A11" s="546" t="inlineStr">
        <is>
          <t>1.</t>
        </is>
      </c>
      <c r="B11" s="549" t="inlineStr">
        <is>
          <t>-</t>
        </is>
      </c>
      <c r="C11" s="1206" t="inlineStr">
        <is>
          <t>-</t>
        </is>
      </c>
      <c r="D11" s="1206" t="inlineStr">
        <is>
          <t>-</t>
        </is>
      </c>
      <c r="E11" s="1206" t="inlineStr">
        <is>
          <t>-</t>
        </is>
      </c>
      <c r="F11" s="1206" t="inlineStr">
        <is>
          <t>-</t>
        </is>
      </c>
      <c r="G11" s="1206" t="inlineStr">
        <is>
          <t>-</t>
        </is>
      </c>
      <c r="H11" s="1206" t="inlineStr">
        <is>
          <t>-</t>
        </is>
      </c>
      <c r="I11" s="1206" t="inlineStr">
        <is>
          <t>-</t>
        </is>
      </c>
      <c r="J11" s="1206" t="inlineStr">
        <is>
          <t>-</t>
        </is>
      </c>
      <c r="K11" s="1206" t="inlineStr">
        <is>
          <t>-</t>
        </is>
      </c>
    </row>
    <row r="12" ht="21" customHeight="1" s="794" thickBot="1">
      <c r="A12" s="1504" t="inlineStr">
        <is>
          <t>ИТОГО</t>
        </is>
      </c>
      <c r="B12" s="1466" t="n"/>
      <c r="C12" s="550" t="inlineStr">
        <is>
          <t>-</t>
        </is>
      </c>
      <c r="D12" s="550" t="inlineStr">
        <is>
          <t>-</t>
        </is>
      </c>
      <c r="E12" s="550" t="inlineStr">
        <is>
          <t>-</t>
        </is>
      </c>
      <c r="F12" s="550" t="inlineStr">
        <is>
          <t>-</t>
        </is>
      </c>
      <c r="G12" s="550" t="inlineStr">
        <is>
          <t>-</t>
        </is>
      </c>
      <c r="H12" s="550" t="inlineStr">
        <is>
          <t>-</t>
        </is>
      </c>
      <c r="I12" s="550" t="inlineStr">
        <is>
          <t>-</t>
        </is>
      </c>
      <c r="J12" s="550" t="inlineStr">
        <is>
          <t>-</t>
        </is>
      </c>
      <c r="K12" s="550" t="inlineStr">
        <is>
          <t>-</t>
        </is>
      </c>
    </row>
    <row r="13" ht="19.5" customHeight="1" s="794">
      <c r="A13" s="1505" t="inlineStr">
        <is>
          <t>Количество изделий (комплектов и другое), штук</t>
        </is>
      </c>
      <c r="B13" s="1421" t="n"/>
      <c r="C13" s="551" t="inlineStr">
        <is>
          <t>-</t>
        </is>
      </c>
      <c r="D13" s="551" t="inlineStr">
        <is>
          <t>-</t>
        </is>
      </c>
      <c r="E13" s="551" t="inlineStr">
        <is>
          <t>-</t>
        </is>
      </c>
      <c r="F13" s="551" t="inlineStr">
        <is>
          <t>-</t>
        </is>
      </c>
      <c r="G13" s="551" t="inlineStr">
        <is>
          <t>-</t>
        </is>
      </c>
      <c r="H13" s="551" t="inlineStr">
        <is>
          <t>-</t>
        </is>
      </c>
      <c r="I13" s="551" t="inlineStr">
        <is>
          <t>-</t>
        </is>
      </c>
      <c r="J13" s="551" t="inlineStr">
        <is>
          <t>-</t>
        </is>
      </c>
      <c r="K13" s="551" t="inlineStr">
        <is>
          <t>-</t>
        </is>
      </c>
    </row>
    <row r="14" ht="17.25" customHeight="1" s="794">
      <c r="A14" s="1506" t="inlineStr">
        <is>
          <t>Затраты на единицу</t>
        </is>
      </c>
      <c r="B14" s="1410" t="n"/>
      <c r="C14" s="552" t="inlineStr">
        <is>
          <t>-</t>
        </is>
      </c>
      <c r="D14" s="552" t="inlineStr">
        <is>
          <t>-</t>
        </is>
      </c>
      <c r="E14" s="552" t="inlineStr">
        <is>
          <t>-</t>
        </is>
      </c>
      <c r="F14" s="552" t="inlineStr">
        <is>
          <t>-</t>
        </is>
      </c>
      <c r="G14" s="552" t="inlineStr">
        <is>
          <t>-</t>
        </is>
      </c>
      <c r="H14" s="552" t="inlineStr">
        <is>
          <t>-</t>
        </is>
      </c>
      <c r="I14" s="552" t="inlineStr">
        <is>
          <t>-</t>
        </is>
      </c>
      <c r="J14" s="552" t="inlineStr">
        <is>
          <t>-</t>
        </is>
      </c>
      <c r="K14" s="552" t="inlineStr">
        <is>
          <t>-</t>
        </is>
      </c>
    </row>
    <row r="15" ht="15.75" customHeight="1" s="794">
      <c r="A15" s="226" t="n"/>
      <c r="B15" s="226" t="n"/>
      <c r="C15" s="226" t="n"/>
      <c r="D15" s="226" t="n"/>
      <c r="E15" s="226" t="n"/>
      <c r="F15" s="226" t="n"/>
      <c r="G15" s="226" t="n"/>
      <c r="H15" s="226" t="n"/>
      <c r="I15" s="553" t="n"/>
      <c r="J15" s="554" t="n"/>
    </row>
    <row r="16" ht="30" customHeight="1" s="794">
      <c r="A16" s="27" t="n"/>
      <c r="B16" s="1157" t="inlineStr">
        <is>
          <t>Начальник ОФЭиАУ НИОКР</t>
        </is>
      </c>
      <c r="D16" s="1157" t="inlineStr">
        <is>
          <t>Ответственный исполнитель</t>
        </is>
      </c>
      <c r="H16" s="1157" t="inlineStr">
        <is>
          <t>Руководитель договора</t>
        </is>
      </c>
      <c r="J16" s="108" t="n"/>
      <c r="K16" s="24" t="n"/>
    </row>
    <row r="17" ht="34.5" customHeight="1" s="794">
      <c r="A17" s="30" t="n"/>
      <c r="B17" s="2" t="inlineStr">
        <is>
          <t>_____________________ Н.О. Васецкая</t>
        </is>
      </c>
      <c r="C17" s="31" t="n"/>
      <c r="D17" s="484" t="inlineStr">
        <is>
          <t>_____________________ И.О. Фамилия</t>
        </is>
      </c>
      <c r="E17" s="31" t="n"/>
      <c r="F17" s="31" t="n"/>
      <c r="H17" s="484" t="inlineStr">
        <is>
          <t>_____________________ А.И. Боровков</t>
        </is>
      </c>
      <c r="I17" s="22" t="n"/>
      <c r="J17" s="22" t="n"/>
      <c r="K17" s="24" t="n"/>
    </row>
    <row r="18" ht="20.25" customHeight="1" s="794">
      <c r="A18" s="30" t="n"/>
      <c r="B18" s="63" t="inlineStr">
        <is>
          <t xml:space="preserve">  (подпись)                                     (Ф.И.О.)</t>
        </is>
      </c>
      <c r="C18" s="31" t="n"/>
      <c r="D18" s="63" t="inlineStr">
        <is>
          <t xml:space="preserve">  (подпись)                                        (Ф.И.О.)</t>
        </is>
      </c>
      <c r="E18" s="31" t="n"/>
      <c r="F18" s="31" t="n"/>
      <c r="H18" s="63" t="inlineStr">
        <is>
          <t xml:space="preserve">  (подпись)                                        (Ф.И.О.)</t>
        </is>
      </c>
      <c r="I18" s="190" t="n"/>
      <c r="J18" s="190" t="n"/>
      <c r="K18" s="24" t="n"/>
    </row>
    <row r="19" ht="17.25" customHeight="1" s="794">
      <c r="A19" s="27" t="n"/>
      <c r="B19" s="1239" t="inlineStr">
        <is>
          <t>«____» __________________ 2025 г.</t>
        </is>
      </c>
      <c r="C19" s="22" t="n"/>
      <c r="D19" s="1239" t="inlineStr">
        <is>
          <t>«____» __________________ 2025 г.</t>
        </is>
      </c>
      <c r="E19" s="22" t="n"/>
      <c r="F19" s="22" t="n"/>
      <c r="H19" s="1239" t="inlineStr">
        <is>
          <t>«____» __________________ 2025 г.</t>
        </is>
      </c>
      <c r="I19" s="22" t="n"/>
      <c r="J19" s="22" t="n"/>
      <c r="K19" s="24" t="n"/>
    </row>
    <row r="20" ht="17.25" customHeight="1" s="794">
      <c r="A20" s="226" t="n"/>
      <c r="B20" s="226" t="n"/>
      <c r="C20" s="226" t="n"/>
      <c r="D20" s="226" t="n"/>
      <c r="E20" s="226" t="n"/>
      <c r="F20" s="226" t="n"/>
      <c r="G20" s="226" t="n"/>
      <c r="H20" s="226" t="n"/>
      <c r="I20" s="553" t="n"/>
      <c r="J20" s="554" t="n"/>
    </row>
    <row r="21" ht="24" customHeight="1" s="794">
      <c r="A21" s="952" t="n"/>
      <c r="C21" s="952" t="n"/>
      <c r="D21" s="952" t="n"/>
      <c r="E21" s="228" t="n"/>
      <c r="F21" s="228" t="n"/>
      <c r="K21" s="228" t="n"/>
    </row>
    <row r="22" ht="20.25" customHeight="1" s="794">
      <c r="A22" s="22" t="n"/>
      <c r="B22" s="22" t="n"/>
      <c r="E22" s="555" t="n"/>
      <c r="F22" s="555" t="n"/>
      <c r="H22" s="108" t="n"/>
      <c r="I22" s="108" t="n"/>
      <c r="J22" s="108" t="n"/>
      <c r="K22" s="555" t="n"/>
    </row>
    <row r="23" ht="36" customHeight="1" s="794">
      <c r="A23" s="479" t="n"/>
      <c r="B23" s="225" t="n"/>
      <c r="E23" s="555" t="n"/>
      <c r="F23" s="555" t="n"/>
      <c r="H23" s="22" t="n"/>
      <c r="I23" s="22" t="n"/>
      <c r="J23" s="22" t="n"/>
      <c r="K23" s="555" t="n"/>
    </row>
    <row r="24" ht="20.25" customHeight="1" s="794">
      <c r="A24" s="13" t="n"/>
      <c r="B24" s="13" t="n"/>
      <c r="E24" s="555" t="n"/>
      <c r="F24" s="555" t="n"/>
      <c r="H24" s="190" t="n"/>
      <c r="I24" s="190" t="n"/>
      <c r="J24" s="190" t="n"/>
      <c r="K24" s="555" t="n"/>
    </row>
    <row r="25" ht="16.5" customHeight="1" s="794">
      <c r="E25" s="42" t="n"/>
      <c r="F25" s="1021" t="n"/>
      <c r="H25" s="22" t="n"/>
      <c r="I25" s="22" t="n"/>
      <c r="J25" s="22" t="n"/>
      <c r="K25" s="42" t="n"/>
    </row>
    <row r="26" ht="16.5" customHeight="1" s="794">
      <c r="B26" s="222" t="n"/>
      <c r="C26" s="222" t="n"/>
      <c r="D26" s="222" t="n"/>
      <c r="E26" s="222" t="n"/>
      <c r="F26" s="42" t="n"/>
      <c r="G26" s="42" t="n"/>
      <c r="H26" s="42" t="n"/>
      <c r="I26" s="42" t="n"/>
      <c r="J26" s="42" t="n"/>
      <c r="K26" s="42" t="n"/>
    </row>
    <row r="27">
      <c r="B27" s="222" t="n"/>
      <c r="C27" s="222" t="n"/>
      <c r="D27" s="222" t="n"/>
      <c r="E27" s="222" t="n"/>
      <c r="F27" s="42" t="n"/>
      <c r="G27" s="556" t="n"/>
      <c r="H27" s="556" t="n"/>
      <c r="I27" s="42" t="n"/>
      <c r="J27" s="42" t="n"/>
      <c r="K27" s="42" t="n"/>
    </row>
    <row r="28" ht="15" customHeight="1" s="794">
      <c r="B28" s="222" t="n"/>
      <c r="C28" s="222" t="n"/>
      <c r="D28" s="222" t="n"/>
      <c r="E28" s="222" t="n"/>
      <c r="F28" s="42" t="n"/>
      <c r="G28" s="42" t="n"/>
      <c r="H28" s="42" t="n"/>
      <c r="I28" s="42" t="n"/>
      <c r="J28" s="42" t="n"/>
      <c r="K28" s="42" t="n"/>
    </row>
    <row r="29">
      <c r="B29" s="222" t="n"/>
      <c r="C29" s="222" t="n"/>
      <c r="D29" s="222" t="n"/>
      <c r="E29" s="222" t="n"/>
      <c r="F29" s="42" t="n"/>
      <c r="G29" s="42" t="n"/>
      <c r="H29" s="42" t="n"/>
      <c r="I29" s="42" t="n"/>
      <c r="J29" s="42" t="n"/>
      <c r="K29" s="42" t="n"/>
    </row>
    <row r="30" ht="8.25" customHeight="1" s="794">
      <c r="B30" s="229" t="n"/>
      <c r="C30" s="229" t="n"/>
      <c r="D30" s="229" t="n"/>
      <c r="E30" s="229" t="n"/>
      <c r="F30" s="229" t="n"/>
      <c r="G30" s="229" t="n"/>
      <c r="H30" s="229" t="n"/>
      <c r="I30" s="229" t="n"/>
      <c r="J30" s="229" t="n"/>
      <c r="K30" s="229" t="n"/>
    </row>
    <row r="33" ht="12.75" customFormat="1" customHeight="1" s="227">
      <c r="B33" s="557" t="n"/>
      <c r="J33" s="539" t="n"/>
    </row>
  </sheetData>
  <mergeCells count="19">
    <mergeCell ref="B16:C16"/>
    <mergeCell ref="G8:G9"/>
    <mergeCell ref="D7:E8"/>
    <mergeCell ref="D16:F16"/>
    <mergeCell ref="C7:C9"/>
    <mergeCell ref="G7:K7"/>
    <mergeCell ref="B7:B9"/>
    <mergeCell ref="A12:B12"/>
    <mergeCell ref="A21:B21"/>
    <mergeCell ref="H16:I16"/>
    <mergeCell ref="F7:F9"/>
    <mergeCell ref="K8:K9"/>
    <mergeCell ref="H8:J8"/>
    <mergeCell ref="A2:K2"/>
    <mergeCell ref="A14:B14"/>
    <mergeCell ref="B4:J4"/>
    <mergeCell ref="B3:J3"/>
    <mergeCell ref="A7:A9"/>
    <mergeCell ref="A13:B13"/>
  </mergeCells>
  <conditionalFormatting sqref="J19:K19 K16:K18">
    <cfRule type="expression" priority="1" dxfId="1" stopIfTrue="1">
      <formula>AND(COUNTIF($J$19:$K$19, J16)+COUNTIF($K$16:$K$18, J16)&gt;1,NOT(ISBLANK(J16)))</formula>
    </cfRule>
  </conditionalFormatting>
  <printOptions horizontalCentered="1"/>
  <pageMargins left="0.25" right="0.25" top="0.75" bottom="0.75" header="0.3" footer="0.3"/>
  <pageSetup orientation="landscape" paperSize="9" scale="71"/>
</worksheet>
</file>

<file path=xl/worksheets/sheet23.xml><?xml version="1.0" encoding="utf-8"?>
<worksheet xmlns="http://schemas.openxmlformats.org/spreadsheetml/2006/main">
  <sheetPr>
    <tabColor theme="4" tint="0.7999816888943144"/>
    <outlinePr summaryBelow="1" summaryRight="1"/>
    <pageSetUpPr fitToPage="1"/>
  </sheetPr>
  <dimension ref="A1:O40"/>
  <sheetViews>
    <sheetView view="pageBreakPreview" zoomScale="90" zoomScaleNormal="90" zoomScaleSheetLayoutView="90" workbookViewId="0">
      <selection activeCell="B5" sqref="B5:N5"/>
    </sheetView>
  </sheetViews>
  <sheetFormatPr baseColWidth="8" defaultColWidth="0.85546875" defaultRowHeight="12.75"/>
  <cols>
    <col width="6.140625" customWidth="1" style="24" min="1" max="1"/>
    <col width="29" customWidth="1" style="24" min="2" max="2"/>
    <col width="11" customWidth="1" style="24" min="3" max="3"/>
    <col width="11.85546875" customWidth="1" style="24" min="4" max="4"/>
    <col width="15.42578125" customWidth="1" style="24" min="5" max="5"/>
    <col width="15.7109375" customWidth="1" style="24" min="6" max="6"/>
    <col width="24.7109375" customWidth="1" style="24" min="7" max="7"/>
    <col width="9.140625" customWidth="1" style="24" min="8" max="8"/>
    <col width="8.28515625" customWidth="1" style="24" min="9" max="9"/>
    <col width="16.85546875" customWidth="1" style="24" min="10" max="10"/>
    <col width="17.5703125" customWidth="1" style="24" min="11" max="11"/>
    <col width="13" customWidth="1" style="24" min="12" max="12"/>
    <col width="11.5703125" customWidth="1" style="24" min="13" max="13"/>
    <col width="10.28515625" customWidth="1" style="24" min="14" max="14"/>
    <col width="11.85546875" customWidth="1" style="24" min="15" max="15"/>
    <col width="1.5703125" customWidth="1" style="24" min="16" max="16"/>
    <col width="0.85546875" customWidth="1" style="24" min="17" max="256"/>
    <col width="6.140625" customWidth="1" style="24" min="257" max="257"/>
    <col width="34.140625" customWidth="1" style="24" min="258" max="258"/>
    <col width="12.5703125" customWidth="1" style="24" min="259" max="259"/>
    <col width="11.85546875" customWidth="1" style="24" min="260" max="260"/>
    <col width="15.42578125" customWidth="1" style="24" min="261" max="261"/>
    <col width="17.140625" customWidth="1" style="24" min="262" max="262"/>
    <col width="24.7109375" customWidth="1" style="24" min="263" max="263"/>
    <col width="11.140625" customWidth="1" style="24" min="264" max="265"/>
    <col width="16.85546875" customWidth="1" style="24" min="266" max="266"/>
    <col width="19.7109375" customWidth="1" style="24" min="267" max="267"/>
    <col width="16.140625" customWidth="1" style="24" min="268" max="268"/>
    <col width="16" customWidth="1" style="24" min="269" max="269"/>
    <col width="4.7109375" customWidth="1" style="24" min="270" max="270"/>
    <col width="15.42578125" customWidth="1" style="24" min="271" max="271"/>
    <col width="1.5703125" customWidth="1" style="24" min="272" max="272"/>
    <col width="0.85546875" customWidth="1" style="24" min="273" max="512"/>
    <col width="6.140625" customWidth="1" style="24" min="513" max="513"/>
    <col width="34.140625" customWidth="1" style="24" min="514" max="514"/>
    <col width="12.5703125" customWidth="1" style="24" min="515" max="515"/>
    <col width="11.85546875" customWidth="1" style="24" min="516" max="516"/>
    <col width="15.42578125" customWidth="1" style="24" min="517" max="517"/>
    <col width="17.140625" customWidth="1" style="24" min="518" max="518"/>
    <col width="24.7109375" customWidth="1" style="24" min="519" max="519"/>
    <col width="11.140625" customWidth="1" style="24" min="520" max="521"/>
    <col width="16.85546875" customWidth="1" style="24" min="522" max="522"/>
    <col width="19.7109375" customWidth="1" style="24" min="523" max="523"/>
    <col width="16.140625" customWidth="1" style="24" min="524" max="524"/>
    <col width="16" customWidth="1" style="24" min="525" max="525"/>
    <col width="4.7109375" customWidth="1" style="24" min="526" max="526"/>
    <col width="15.42578125" customWidth="1" style="24" min="527" max="527"/>
    <col width="1.5703125" customWidth="1" style="24" min="528" max="528"/>
    <col width="0.85546875" customWidth="1" style="24" min="529" max="768"/>
    <col width="6.140625" customWidth="1" style="24" min="769" max="769"/>
    <col width="34.140625" customWidth="1" style="24" min="770" max="770"/>
    <col width="12.5703125" customWidth="1" style="24" min="771" max="771"/>
    <col width="11.85546875" customWidth="1" style="24" min="772" max="772"/>
    <col width="15.42578125" customWidth="1" style="24" min="773" max="773"/>
    <col width="17.140625" customWidth="1" style="24" min="774" max="774"/>
    <col width="24.7109375" customWidth="1" style="24" min="775" max="775"/>
    <col width="11.140625" customWidth="1" style="24" min="776" max="777"/>
    <col width="16.85546875" customWidth="1" style="24" min="778" max="778"/>
    <col width="19.7109375" customWidth="1" style="24" min="779" max="779"/>
    <col width="16.140625" customWidth="1" style="24" min="780" max="780"/>
    <col width="16" customWidth="1" style="24" min="781" max="781"/>
    <col width="4.7109375" customWidth="1" style="24" min="782" max="782"/>
    <col width="15.42578125" customWidth="1" style="24" min="783" max="783"/>
    <col width="1.5703125" customWidth="1" style="24" min="784" max="784"/>
    <col width="0.85546875" customWidth="1" style="24" min="785" max="1024"/>
    <col width="6.140625" customWidth="1" style="24" min="1025" max="1025"/>
    <col width="34.140625" customWidth="1" style="24" min="1026" max="1026"/>
    <col width="12.5703125" customWidth="1" style="24" min="1027" max="1027"/>
    <col width="11.85546875" customWidth="1" style="24" min="1028" max="1028"/>
    <col width="15.42578125" customWidth="1" style="24" min="1029" max="1029"/>
    <col width="17.140625" customWidth="1" style="24" min="1030" max="1030"/>
    <col width="24.7109375" customWidth="1" style="24" min="1031" max="1031"/>
    <col width="11.140625" customWidth="1" style="24" min="1032" max="1033"/>
    <col width="16.85546875" customWidth="1" style="24" min="1034" max="1034"/>
    <col width="19.7109375" customWidth="1" style="24" min="1035" max="1035"/>
    <col width="16.140625" customWidth="1" style="24" min="1036" max="1036"/>
    <col width="16" customWidth="1" style="24" min="1037" max="1037"/>
    <col width="4.7109375" customWidth="1" style="24" min="1038" max="1038"/>
    <col width="15.42578125" customWidth="1" style="24" min="1039" max="1039"/>
    <col width="1.5703125" customWidth="1" style="24" min="1040" max="1040"/>
    <col width="0.85546875" customWidth="1" style="24" min="1041" max="1280"/>
    <col width="6.140625" customWidth="1" style="24" min="1281" max="1281"/>
    <col width="34.140625" customWidth="1" style="24" min="1282" max="1282"/>
    <col width="12.5703125" customWidth="1" style="24" min="1283" max="1283"/>
    <col width="11.85546875" customWidth="1" style="24" min="1284" max="1284"/>
    <col width="15.42578125" customWidth="1" style="24" min="1285" max="1285"/>
    <col width="17.140625" customWidth="1" style="24" min="1286" max="1286"/>
    <col width="24.7109375" customWidth="1" style="24" min="1287" max="1287"/>
    <col width="11.140625" customWidth="1" style="24" min="1288" max="1289"/>
    <col width="16.85546875" customWidth="1" style="24" min="1290" max="1290"/>
    <col width="19.7109375" customWidth="1" style="24" min="1291" max="1291"/>
    <col width="16.140625" customWidth="1" style="24" min="1292" max="1292"/>
    <col width="16" customWidth="1" style="24" min="1293" max="1293"/>
    <col width="4.7109375" customWidth="1" style="24" min="1294" max="1294"/>
    <col width="15.42578125" customWidth="1" style="24" min="1295" max="1295"/>
    <col width="1.5703125" customWidth="1" style="24" min="1296" max="1296"/>
    <col width="0.85546875" customWidth="1" style="24" min="1297" max="1536"/>
    <col width="6.140625" customWidth="1" style="24" min="1537" max="1537"/>
    <col width="34.140625" customWidth="1" style="24" min="1538" max="1538"/>
    <col width="12.5703125" customWidth="1" style="24" min="1539" max="1539"/>
    <col width="11.85546875" customWidth="1" style="24" min="1540" max="1540"/>
    <col width="15.42578125" customWidth="1" style="24" min="1541" max="1541"/>
    <col width="17.140625" customWidth="1" style="24" min="1542" max="1542"/>
    <col width="24.7109375" customWidth="1" style="24" min="1543" max="1543"/>
    <col width="11.140625" customWidth="1" style="24" min="1544" max="1545"/>
    <col width="16.85546875" customWidth="1" style="24" min="1546" max="1546"/>
    <col width="19.7109375" customWidth="1" style="24" min="1547" max="1547"/>
    <col width="16.140625" customWidth="1" style="24" min="1548" max="1548"/>
    <col width="16" customWidth="1" style="24" min="1549" max="1549"/>
    <col width="4.7109375" customWidth="1" style="24" min="1550" max="1550"/>
    <col width="15.42578125" customWidth="1" style="24" min="1551" max="1551"/>
    <col width="1.5703125" customWidth="1" style="24" min="1552" max="1552"/>
    <col width="0.85546875" customWidth="1" style="24" min="1553" max="1792"/>
    <col width="6.140625" customWidth="1" style="24" min="1793" max="1793"/>
    <col width="34.140625" customWidth="1" style="24" min="1794" max="1794"/>
    <col width="12.5703125" customWidth="1" style="24" min="1795" max="1795"/>
    <col width="11.85546875" customWidth="1" style="24" min="1796" max="1796"/>
    <col width="15.42578125" customWidth="1" style="24" min="1797" max="1797"/>
    <col width="17.140625" customWidth="1" style="24" min="1798" max="1798"/>
    <col width="24.7109375" customWidth="1" style="24" min="1799" max="1799"/>
    <col width="11.140625" customWidth="1" style="24" min="1800" max="1801"/>
    <col width="16.85546875" customWidth="1" style="24" min="1802" max="1802"/>
    <col width="19.7109375" customWidth="1" style="24" min="1803" max="1803"/>
    <col width="16.140625" customWidth="1" style="24" min="1804" max="1804"/>
    <col width="16" customWidth="1" style="24" min="1805" max="1805"/>
    <col width="4.7109375" customWidth="1" style="24" min="1806" max="1806"/>
    <col width="15.42578125" customWidth="1" style="24" min="1807" max="1807"/>
    <col width="1.5703125" customWidth="1" style="24" min="1808" max="1808"/>
    <col width="0.85546875" customWidth="1" style="24" min="1809" max="2048"/>
    <col width="6.140625" customWidth="1" style="24" min="2049" max="2049"/>
    <col width="34.140625" customWidth="1" style="24" min="2050" max="2050"/>
    <col width="12.5703125" customWidth="1" style="24" min="2051" max="2051"/>
    <col width="11.85546875" customWidth="1" style="24" min="2052" max="2052"/>
    <col width="15.42578125" customWidth="1" style="24" min="2053" max="2053"/>
    <col width="17.140625" customWidth="1" style="24" min="2054" max="2054"/>
    <col width="24.7109375" customWidth="1" style="24" min="2055" max="2055"/>
    <col width="11.140625" customWidth="1" style="24" min="2056" max="2057"/>
    <col width="16.85546875" customWidth="1" style="24" min="2058" max="2058"/>
    <col width="19.7109375" customWidth="1" style="24" min="2059" max="2059"/>
    <col width="16.140625" customWidth="1" style="24" min="2060" max="2060"/>
    <col width="16" customWidth="1" style="24" min="2061" max="2061"/>
    <col width="4.7109375" customWidth="1" style="24" min="2062" max="2062"/>
    <col width="15.42578125" customWidth="1" style="24" min="2063" max="2063"/>
    <col width="1.5703125" customWidth="1" style="24" min="2064" max="2064"/>
    <col width="0.85546875" customWidth="1" style="24" min="2065" max="2304"/>
    <col width="6.140625" customWidth="1" style="24" min="2305" max="2305"/>
    <col width="34.140625" customWidth="1" style="24" min="2306" max="2306"/>
    <col width="12.5703125" customWidth="1" style="24" min="2307" max="2307"/>
    <col width="11.85546875" customWidth="1" style="24" min="2308" max="2308"/>
    <col width="15.42578125" customWidth="1" style="24" min="2309" max="2309"/>
    <col width="17.140625" customWidth="1" style="24" min="2310" max="2310"/>
    <col width="24.7109375" customWidth="1" style="24" min="2311" max="2311"/>
    <col width="11.140625" customWidth="1" style="24" min="2312" max="2313"/>
    <col width="16.85546875" customWidth="1" style="24" min="2314" max="2314"/>
    <col width="19.7109375" customWidth="1" style="24" min="2315" max="2315"/>
    <col width="16.140625" customWidth="1" style="24" min="2316" max="2316"/>
    <col width="16" customWidth="1" style="24" min="2317" max="2317"/>
    <col width="4.7109375" customWidth="1" style="24" min="2318" max="2318"/>
    <col width="15.42578125" customWidth="1" style="24" min="2319" max="2319"/>
    <col width="1.5703125" customWidth="1" style="24" min="2320" max="2320"/>
    <col width="0.85546875" customWidth="1" style="24" min="2321" max="2560"/>
    <col width="6.140625" customWidth="1" style="24" min="2561" max="2561"/>
    <col width="34.140625" customWidth="1" style="24" min="2562" max="2562"/>
    <col width="12.5703125" customWidth="1" style="24" min="2563" max="2563"/>
    <col width="11.85546875" customWidth="1" style="24" min="2564" max="2564"/>
    <col width="15.42578125" customWidth="1" style="24" min="2565" max="2565"/>
    <col width="17.140625" customWidth="1" style="24" min="2566" max="2566"/>
    <col width="24.7109375" customWidth="1" style="24" min="2567" max="2567"/>
    <col width="11.140625" customWidth="1" style="24" min="2568" max="2569"/>
    <col width="16.85546875" customWidth="1" style="24" min="2570" max="2570"/>
    <col width="19.7109375" customWidth="1" style="24" min="2571" max="2571"/>
    <col width="16.140625" customWidth="1" style="24" min="2572" max="2572"/>
    <col width="16" customWidth="1" style="24" min="2573" max="2573"/>
    <col width="4.7109375" customWidth="1" style="24" min="2574" max="2574"/>
    <col width="15.42578125" customWidth="1" style="24" min="2575" max="2575"/>
    <col width="1.5703125" customWidth="1" style="24" min="2576" max="2576"/>
    <col width="0.85546875" customWidth="1" style="24" min="2577" max="2816"/>
    <col width="6.140625" customWidth="1" style="24" min="2817" max="2817"/>
    <col width="34.140625" customWidth="1" style="24" min="2818" max="2818"/>
    <col width="12.5703125" customWidth="1" style="24" min="2819" max="2819"/>
    <col width="11.85546875" customWidth="1" style="24" min="2820" max="2820"/>
    <col width="15.42578125" customWidth="1" style="24" min="2821" max="2821"/>
    <col width="17.140625" customWidth="1" style="24" min="2822" max="2822"/>
    <col width="24.7109375" customWidth="1" style="24" min="2823" max="2823"/>
    <col width="11.140625" customWidth="1" style="24" min="2824" max="2825"/>
    <col width="16.85546875" customWidth="1" style="24" min="2826" max="2826"/>
    <col width="19.7109375" customWidth="1" style="24" min="2827" max="2827"/>
    <col width="16.140625" customWidth="1" style="24" min="2828" max="2828"/>
    <col width="16" customWidth="1" style="24" min="2829" max="2829"/>
    <col width="4.7109375" customWidth="1" style="24" min="2830" max="2830"/>
    <col width="15.42578125" customWidth="1" style="24" min="2831" max="2831"/>
    <col width="1.5703125" customWidth="1" style="24" min="2832" max="2832"/>
    <col width="0.85546875" customWidth="1" style="24" min="2833" max="3072"/>
    <col width="6.140625" customWidth="1" style="24" min="3073" max="3073"/>
    <col width="34.140625" customWidth="1" style="24" min="3074" max="3074"/>
    <col width="12.5703125" customWidth="1" style="24" min="3075" max="3075"/>
    <col width="11.85546875" customWidth="1" style="24" min="3076" max="3076"/>
    <col width="15.42578125" customWidth="1" style="24" min="3077" max="3077"/>
    <col width="17.140625" customWidth="1" style="24" min="3078" max="3078"/>
    <col width="24.7109375" customWidth="1" style="24" min="3079" max="3079"/>
    <col width="11.140625" customWidth="1" style="24" min="3080" max="3081"/>
    <col width="16.85546875" customWidth="1" style="24" min="3082" max="3082"/>
    <col width="19.7109375" customWidth="1" style="24" min="3083" max="3083"/>
    <col width="16.140625" customWidth="1" style="24" min="3084" max="3084"/>
    <col width="16" customWidth="1" style="24" min="3085" max="3085"/>
    <col width="4.7109375" customWidth="1" style="24" min="3086" max="3086"/>
    <col width="15.42578125" customWidth="1" style="24" min="3087" max="3087"/>
    <col width="1.5703125" customWidth="1" style="24" min="3088" max="3088"/>
    <col width="0.85546875" customWidth="1" style="24" min="3089" max="3328"/>
    <col width="6.140625" customWidth="1" style="24" min="3329" max="3329"/>
    <col width="34.140625" customWidth="1" style="24" min="3330" max="3330"/>
    <col width="12.5703125" customWidth="1" style="24" min="3331" max="3331"/>
    <col width="11.85546875" customWidth="1" style="24" min="3332" max="3332"/>
    <col width="15.42578125" customWidth="1" style="24" min="3333" max="3333"/>
    <col width="17.140625" customWidth="1" style="24" min="3334" max="3334"/>
    <col width="24.7109375" customWidth="1" style="24" min="3335" max="3335"/>
    <col width="11.140625" customWidth="1" style="24" min="3336" max="3337"/>
    <col width="16.85546875" customWidth="1" style="24" min="3338" max="3338"/>
    <col width="19.7109375" customWidth="1" style="24" min="3339" max="3339"/>
    <col width="16.140625" customWidth="1" style="24" min="3340" max="3340"/>
    <col width="16" customWidth="1" style="24" min="3341" max="3341"/>
    <col width="4.7109375" customWidth="1" style="24" min="3342" max="3342"/>
    <col width="15.42578125" customWidth="1" style="24" min="3343" max="3343"/>
    <col width="1.5703125" customWidth="1" style="24" min="3344" max="3344"/>
    <col width="0.85546875" customWidth="1" style="24" min="3345" max="3584"/>
    <col width="6.140625" customWidth="1" style="24" min="3585" max="3585"/>
    <col width="34.140625" customWidth="1" style="24" min="3586" max="3586"/>
    <col width="12.5703125" customWidth="1" style="24" min="3587" max="3587"/>
    <col width="11.85546875" customWidth="1" style="24" min="3588" max="3588"/>
    <col width="15.42578125" customWidth="1" style="24" min="3589" max="3589"/>
    <col width="17.140625" customWidth="1" style="24" min="3590" max="3590"/>
    <col width="24.7109375" customWidth="1" style="24" min="3591" max="3591"/>
    <col width="11.140625" customWidth="1" style="24" min="3592" max="3593"/>
    <col width="16.85546875" customWidth="1" style="24" min="3594" max="3594"/>
    <col width="19.7109375" customWidth="1" style="24" min="3595" max="3595"/>
    <col width="16.140625" customWidth="1" style="24" min="3596" max="3596"/>
    <col width="16" customWidth="1" style="24" min="3597" max="3597"/>
    <col width="4.7109375" customWidth="1" style="24" min="3598" max="3598"/>
    <col width="15.42578125" customWidth="1" style="24" min="3599" max="3599"/>
    <col width="1.5703125" customWidth="1" style="24" min="3600" max="3600"/>
    <col width="0.85546875" customWidth="1" style="24" min="3601" max="3840"/>
    <col width="6.140625" customWidth="1" style="24" min="3841" max="3841"/>
    <col width="34.140625" customWidth="1" style="24" min="3842" max="3842"/>
    <col width="12.5703125" customWidth="1" style="24" min="3843" max="3843"/>
    <col width="11.85546875" customWidth="1" style="24" min="3844" max="3844"/>
    <col width="15.42578125" customWidth="1" style="24" min="3845" max="3845"/>
    <col width="17.140625" customWidth="1" style="24" min="3846" max="3846"/>
    <col width="24.7109375" customWidth="1" style="24" min="3847" max="3847"/>
    <col width="11.140625" customWidth="1" style="24" min="3848" max="3849"/>
    <col width="16.85546875" customWidth="1" style="24" min="3850" max="3850"/>
    <col width="19.7109375" customWidth="1" style="24" min="3851" max="3851"/>
    <col width="16.140625" customWidth="1" style="24" min="3852" max="3852"/>
    <col width="16" customWidth="1" style="24" min="3853" max="3853"/>
    <col width="4.7109375" customWidth="1" style="24" min="3854" max="3854"/>
    <col width="15.42578125" customWidth="1" style="24" min="3855" max="3855"/>
    <col width="1.5703125" customWidth="1" style="24" min="3856" max="3856"/>
    <col width="0.85546875" customWidth="1" style="24" min="3857" max="4096"/>
    <col width="6.140625" customWidth="1" style="24" min="4097" max="4097"/>
    <col width="34.140625" customWidth="1" style="24" min="4098" max="4098"/>
    <col width="12.5703125" customWidth="1" style="24" min="4099" max="4099"/>
    <col width="11.85546875" customWidth="1" style="24" min="4100" max="4100"/>
    <col width="15.42578125" customWidth="1" style="24" min="4101" max="4101"/>
    <col width="17.140625" customWidth="1" style="24" min="4102" max="4102"/>
    <col width="24.7109375" customWidth="1" style="24" min="4103" max="4103"/>
    <col width="11.140625" customWidth="1" style="24" min="4104" max="4105"/>
    <col width="16.85546875" customWidth="1" style="24" min="4106" max="4106"/>
    <col width="19.7109375" customWidth="1" style="24" min="4107" max="4107"/>
    <col width="16.140625" customWidth="1" style="24" min="4108" max="4108"/>
    <col width="16" customWidth="1" style="24" min="4109" max="4109"/>
    <col width="4.7109375" customWidth="1" style="24" min="4110" max="4110"/>
    <col width="15.42578125" customWidth="1" style="24" min="4111" max="4111"/>
    <col width="1.5703125" customWidth="1" style="24" min="4112" max="4112"/>
    <col width="0.85546875" customWidth="1" style="24" min="4113" max="4352"/>
    <col width="6.140625" customWidth="1" style="24" min="4353" max="4353"/>
    <col width="34.140625" customWidth="1" style="24" min="4354" max="4354"/>
    <col width="12.5703125" customWidth="1" style="24" min="4355" max="4355"/>
    <col width="11.85546875" customWidth="1" style="24" min="4356" max="4356"/>
    <col width="15.42578125" customWidth="1" style="24" min="4357" max="4357"/>
    <col width="17.140625" customWidth="1" style="24" min="4358" max="4358"/>
    <col width="24.7109375" customWidth="1" style="24" min="4359" max="4359"/>
    <col width="11.140625" customWidth="1" style="24" min="4360" max="4361"/>
    <col width="16.85546875" customWidth="1" style="24" min="4362" max="4362"/>
    <col width="19.7109375" customWidth="1" style="24" min="4363" max="4363"/>
    <col width="16.140625" customWidth="1" style="24" min="4364" max="4364"/>
    <col width="16" customWidth="1" style="24" min="4365" max="4365"/>
    <col width="4.7109375" customWidth="1" style="24" min="4366" max="4366"/>
    <col width="15.42578125" customWidth="1" style="24" min="4367" max="4367"/>
    <col width="1.5703125" customWidth="1" style="24" min="4368" max="4368"/>
    <col width="0.85546875" customWidth="1" style="24" min="4369" max="4608"/>
    <col width="6.140625" customWidth="1" style="24" min="4609" max="4609"/>
    <col width="34.140625" customWidth="1" style="24" min="4610" max="4610"/>
    <col width="12.5703125" customWidth="1" style="24" min="4611" max="4611"/>
    <col width="11.85546875" customWidth="1" style="24" min="4612" max="4612"/>
    <col width="15.42578125" customWidth="1" style="24" min="4613" max="4613"/>
    <col width="17.140625" customWidth="1" style="24" min="4614" max="4614"/>
    <col width="24.7109375" customWidth="1" style="24" min="4615" max="4615"/>
    <col width="11.140625" customWidth="1" style="24" min="4616" max="4617"/>
    <col width="16.85546875" customWidth="1" style="24" min="4618" max="4618"/>
    <col width="19.7109375" customWidth="1" style="24" min="4619" max="4619"/>
    <col width="16.140625" customWidth="1" style="24" min="4620" max="4620"/>
    <col width="16" customWidth="1" style="24" min="4621" max="4621"/>
    <col width="4.7109375" customWidth="1" style="24" min="4622" max="4622"/>
    <col width="15.42578125" customWidth="1" style="24" min="4623" max="4623"/>
    <col width="1.5703125" customWidth="1" style="24" min="4624" max="4624"/>
    <col width="0.85546875" customWidth="1" style="24" min="4625" max="4864"/>
    <col width="6.140625" customWidth="1" style="24" min="4865" max="4865"/>
    <col width="34.140625" customWidth="1" style="24" min="4866" max="4866"/>
    <col width="12.5703125" customWidth="1" style="24" min="4867" max="4867"/>
    <col width="11.85546875" customWidth="1" style="24" min="4868" max="4868"/>
    <col width="15.42578125" customWidth="1" style="24" min="4869" max="4869"/>
    <col width="17.140625" customWidth="1" style="24" min="4870" max="4870"/>
    <col width="24.7109375" customWidth="1" style="24" min="4871" max="4871"/>
    <col width="11.140625" customWidth="1" style="24" min="4872" max="4873"/>
    <col width="16.85546875" customWidth="1" style="24" min="4874" max="4874"/>
    <col width="19.7109375" customWidth="1" style="24" min="4875" max="4875"/>
    <col width="16.140625" customWidth="1" style="24" min="4876" max="4876"/>
    <col width="16" customWidth="1" style="24" min="4877" max="4877"/>
    <col width="4.7109375" customWidth="1" style="24" min="4878" max="4878"/>
    <col width="15.42578125" customWidth="1" style="24" min="4879" max="4879"/>
    <col width="1.5703125" customWidth="1" style="24" min="4880" max="4880"/>
    <col width="0.85546875" customWidth="1" style="24" min="4881" max="5120"/>
    <col width="6.140625" customWidth="1" style="24" min="5121" max="5121"/>
    <col width="34.140625" customWidth="1" style="24" min="5122" max="5122"/>
    <col width="12.5703125" customWidth="1" style="24" min="5123" max="5123"/>
    <col width="11.85546875" customWidth="1" style="24" min="5124" max="5124"/>
    <col width="15.42578125" customWidth="1" style="24" min="5125" max="5125"/>
    <col width="17.140625" customWidth="1" style="24" min="5126" max="5126"/>
    <col width="24.7109375" customWidth="1" style="24" min="5127" max="5127"/>
    <col width="11.140625" customWidth="1" style="24" min="5128" max="5129"/>
    <col width="16.85546875" customWidth="1" style="24" min="5130" max="5130"/>
    <col width="19.7109375" customWidth="1" style="24" min="5131" max="5131"/>
    <col width="16.140625" customWidth="1" style="24" min="5132" max="5132"/>
    <col width="16" customWidth="1" style="24" min="5133" max="5133"/>
    <col width="4.7109375" customWidth="1" style="24" min="5134" max="5134"/>
    <col width="15.42578125" customWidth="1" style="24" min="5135" max="5135"/>
    <col width="1.5703125" customWidth="1" style="24" min="5136" max="5136"/>
    <col width="0.85546875" customWidth="1" style="24" min="5137" max="5376"/>
    <col width="6.140625" customWidth="1" style="24" min="5377" max="5377"/>
    <col width="34.140625" customWidth="1" style="24" min="5378" max="5378"/>
    <col width="12.5703125" customWidth="1" style="24" min="5379" max="5379"/>
    <col width="11.85546875" customWidth="1" style="24" min="5380" max="5380"/>
    <col width="15.42578125" customWidth="1" style="24" min="5381" max="5381"/>
    <col width="17.140625" customWidth="1" style="24" min="5382" max="5382"/>
    <col width="24.7109375" customWidth="1" style="24" min="5383" max="5383"/>
    <col width="11.140625" customWidth="1" style="24" min="5384" max="5385"/>
    <col width="16.85546875" customWidth="1" style="24" min="5386" max="5386"/>
    <col width="19.7109375" customWidth="1" style="24" min="5387" max="5387"/>
    <col width="16.140625" customWidth="1" style="24" min="5388" max="5388"/>
    <col width="16" customWidth="1" style="24" min="5389" max="5389"/>
    <col width="4.7109375" customWidth="1" style="24" min="5390" max="5390"/>
    <col width="15.42578125" customWidth="1" style="24" min="5391" max="5391"/>
    <col width="1.5703125" customWidth="1" style="24" min="5392" max="5392"/>
    <col width="0.85546875" customWidth="1" style="24" min="5393" max="5632"/>
    <col width="6.140625" customWidth="1" style="24" min="5633" max="5633"/>
    <col width="34.140625" customWidth="1" style="24" min="5634" max="5634"/>
    <col width="12.5703125" customWidth="1" style="24" min="5635" max="5635"/>
    <col width="11.85546875" customWidth="1" style="24" min="5636" max="5636"/>
    <col width="15.42578125" customWidth="1" style="24" min="5637" max="5637"/>
    <col width="17.140625" customWidth="1" style="24" min="5638" max="5638"/>
    <col width="24.7109375" customWidth="1" style="24" min="5639" max="5639"/>
    <col width="11.140625" customWidth="1" style="24" min="5640" max="5641"/>
    <col width="16.85546875" customWidth="1" style="24" min="5642" max="5642"/>
    <col width="19.7109375" customWidth="1" style="24" min="5643" max="5643"/>
    <col width="16.140625" customWidth="1" style="24" min="5644" max="5644"/>
    <col width="16" customWidth="1" style="24" min="5645" max="5645"/>
    <col width="4.7109375" customWidth="1" style="24" min="5646" max="5646"/>
    <col width="15.42578125" customWidth="1" style="24" min="5647" max="5647"/>
    <col width="1.5703125" customWidth="1" style="24" min="5648" max="5648"/>
    <col width="0.85546875" customWidth="1" style="24" min="5649" max="5888"/>
    <col width="6.140625" customWidth="1" style="24" min="5889" max="5889"/>
    <col width="34.140625" customWidth="1" style="24" min="5890" max="5890"/>
    <col width="12.5703125" customWidth="1" style="24" min="5891" max="5891"/>
    <col width="11.85546875" customWidth="1" style="24" min="5892" max="5892"/>
    <col width="15.42578125" customWidth="1" style="24" min="5893" max="5893"/>
    <col width="17.140625" customWidth="1" style="24" min="5894" max="5894"/>
    <col width="24.7109375" customWidth="1" style="24" min="5895" max="5895"/>
    <col width="11.140625" customWidth="1" style="24" min="5896" max="5897"/>
    <col width="16.85546875" customWidth="1" style="24" min="5898" max="5898"/>
    <col width="19.7109375" customWidth="1" style="24" min="5899" max="5899"/>
    <col width="16.140625" customWidth="1" style="24" min="5900" max="5900"/>
    <col width="16" customWidth="1" style="24" min="5901" max="5901"/>
    <col width="4.7109375" customWidth="1" style="24" min="5902" max="5902"/>
    <col width="15.42578125" customWidth="1" style="24" min="5903" max="5903"/>
    <col width="1.5703125" customWidth="1" style="24" min="5904" max="5904"/>
    <col width="0.85546875" customWidth="1" style="24" min="5905" max="6144"/>
    <col width="6.140625" customWidth="1" style="24" min="6145" max="6145"/>
    <col width="34.140625" customWidth="1" style="24" min="6146" max="6146"/>
    <col width="12.5703125" customWidth="1" style="24" min="6147" max="6147"/>
    <col width="11.85546875" customWidth="1" style="24" min="6148" max="6148"/>
    <col width="15.42578125" customWidth="1" style="24" min="6149" max="6149"/>
    <col width="17.140625" customWidth="1" style="24" min="6150" max="6150"/>
    <col width="24.7109375" customWidth="1" style="24" min="6151" max="6151"/>
    <col width="11.140625" customWidth="1" style="24" min="6152" max="6153"/>
    <col width="16.85546875" customWidth="1" style="24" min="6154" max="6154"/>
    <col width="19.7109375" customWidth="1" style="24" min="6155" max="6155"/>
    <col width="16.140625" customWidth="1" style="24" min="6156" max="6156"/>
    <col width="16" customWidth="1" style="24" min="6157" max="6157"/>
    <col width="4.7109375" customWidth="1" style="24" min="6158" max="6158"/>
    <col width="15.42578125" customWidth="1" style="24" min="6159" max="6159"/>
    <col width="1.5703125" customWidth="1" style="24" min="6160" max="6160"/>
    <col width="0.85546875" customWidth="1" style="24" min="6161" max="6400"/>
    <col width="6.140625" customWidth="1" style="24" min="6401" max="6401"/>
    <col width="34.140625" customWidth="1" style="24" min="6402" max="6402"/>
    <col width="12.5703125" customWidth="1" style="24" min="6403" max="6403"/>
    <col width="11.85546875" customWidth="1" style="24" min="6404" max="6404"/>
    <col width="15.42578125" customWidth="1" style="24" min="6405" max="6405"/>
    <col width="17.140625" customWidth="1" style="24" min="6406" max="6406"/>
    <col width="24.7109375" customWidth="1" style="24" min="6407" max="6407"/>
    <col width="11.140625" customWidth="1" style="24" min="6408" max="6409"/>
    <col width="16.85546875" customWidth="1" style="24" min="6410" max="6410"/>
    <col width="19.7109375" customWidth="1" style="24" min="6411" max="6411"/>
    <col width="16.140625" customWidth="1" style="24" min="6412" max="6412"/>
    <col width="16" customWidth="1" style="24" min="6413" max="6413"/>
    <col width="4.7109375" customWidth="1" style="24" min="6414" max="6414"/>
    <col width="15.42578125" customWidth="1" style="24" min="6415" max="6415"/>
    <col width="1.5703125" customWidth="1" style="24" min="6416" max="6416"/>
    <col width="0.85546875" customWidth="1" style="24" min="6417" max="6656"/>
    <col width="6.140625" customWidth="1" style="24" min="6657" max="6657"/>
    <col width="34.140625" customWidth="1" style="24" min="6658" max="6658"/>
    <col width="12.5703125" customWidth="1" style="24" min="6659" max="6659"/>
    <col width="11.85546875" customWidth="1" style="24" min="6660" max="6660"/>
    <col width="15.42578125" customWidth="1" style="24" min="6661" max="6661"/>
    <col width="17.140625" customWidth="1" style="24" min="6662" max="6662"/>
    <col width="24.7109375" customWidth="1" style="24" min="6663" max="6663"/>
    <col width="11.140625" customWidth="1" style="24" min="6664" max="6665"/>
    <col width="16.85546875" customWidth="1" style="24" min="6666" max="6666"/>
    <col width="19.7109375" customWidth="1" style="24" min="6667" max="6667"/>
    <col width="16.140625" customWidth="1" style="24" min="6668" max="6668"/>
    <col width="16" customWidth="1" style="24" min="6669" max="6669"/>
    <col width="4.7109375" customWidth="1" style="24" min="6670" max="6670"/>
    <col width="15.42578125" customWidth="1" style="24" min="6671" max="6671"/>
    <col width="1.5703125" customWidth="1" style="24" min="6672" max="6672"/>
    <col width="0.85546875" customWidth="1" style="24" min="6673" max="6912"/>
    <col width="6.140625" customWidth="1" style="24" min="6913" max="6913"/>
    <col width="34.140625" customWidth="1" style="24" min="6914" max="6914"/>
    <col width="12.5703125" customWidth="1" style="24" min="6915" max="6915"/>
    <col width="11.85546875" customWidth="1" style="24" min="6916" max="6916"/>
    <col width="15.42578125" customWidth="1" style="24" min="6917" max="6917"/>
    <col width="17.140625" customWidth="1" style="24" min="6918" max="6918"/>
    <col width="24.7109375" customWidth="1" style="24" min="6919" max="6919"/>
    <col width="11.140625" customWidth="1" style="24" min="6920" max="6921"/>
    <col width="16.85546875" customWidth="1" style="24" min="6922" max="6922"/>
    <col width="19.7109375" customWidth="1" style="24" min="6923" max="6923"/>
    <col width="16.140625" customWidth="1" style="24" min="6924" max="6924"/>
    <col width="16" customWidth="1" style="24" min="6925" max="6925"/>
    <col width="4.7109375" customWidth="1" style="24" min="6926" max="6926"/>
    <col width="15.42578125" customWidth="1" style="24" min="6927" max="6927"/>
    <col width="1.5703125" customWidth="1" style="24" min="6928" max="6928"/>
    <col width="0.85546875" customWidth="1" style="24" min="6929" max="7168"/>
    <col width="6.140625" customWidth="1" style="24" min="7169" max="7169"/>
    <col width="34.140625" customWidth="1" style="24" min="7170" max="7170"/>
    <col width="12.5703125" customWidth="1" style="24" min="7171" max="7171"/>
    <col width="11.85546875" customWidth="1" style="24" min="7172" max="7172"/>
    <col width="15.42578125" customWidth="1" style="24" min="7173" max="7173"/>
    <col width="17.140625" customWidth="1" style="24" min="7174" max="7174"/>
    <col width="24.7109375" customWidth="1" style="24" min="7175" max="7175"/>
    <col width="11.140625" customWidth="1" style="24" min="7176" max="7177"/>
    <col width="16.85546875" customWidth="1" style="24" min="7178" max="7178"/>
    <col width="19.7109375" customWidth="1" style="24" min="7179" max="7179"/>
    <col width="16.140625" customWidth="1" style="24" min="7180" max="7180"/>
    <col width="16" customWidth="1" style="24" min="7181" max="7181"/>
    <col width="4.7109375" customWidth="1" style="24" min="7182" max="7182"/>
    <col width="15.42578125" customWidth="1" style="24" min="7183" max="7183"/>
    <col width="1.5703125" customWidth="1" style="24" min="7184" max="7184"/>
    <col width="0.85546875" customWidth="1" style="24" min="7185" max="7424"/>
    <col width="6.140625" customWidth="1" style="24" min="7425" max="7425"/>
    <col width="34.140625" customWidth="1" style="24" min="7426" max="7426"/>
    <col width="12.5703125" customWidth="1" style="24" min="7427" max="7427"/>
    <col width="11.85546875" customWidth="1" style="24" min="7428" max="7428"/>
    <col width="15.42578125" customWidth="1" style="24" min="7429" max="7429"/>
    <col width="17.140625" customWidth="1" style="24" min="7430" max="7430"/>
    <col width="24.7109375" customWidth="1" style="24" min="7431" max="7431"/>
    <col width="11.140625" customWidth="1" style="24" min="7432" max="7433"/>
    <col width="16.85546875" customWidth="1" style="24" min="7434" max="7434"/>
    <col width="19.7109375" customWidth="1" style="24" min="7435" max="7435"/>
    <col width="16.140625" customWidth="1" style="24" min="7436" max="7436"/>
    <col width="16" customWidth="1" style="24" min="7437" max="7437"/>
    <col width="4.7109375" customWidth="1" style="24" min="7438" max="7438"/>
    <col width="15.42578125" customWidth="1" style="24" min="7439" max="7439"/>
    <col width="1.5703125" customWidth="1" style="24" min="7440" max="7440"/>
    <col width="0.85546875" customWidth="1" style="24" min="7441" max="7680"/>
    <col width="6.140625" customWidth="1" style="24" min="7681" max="7681"/>
    <col width="34.140625" customWidth="1" style="24" min="7682" max="7682"/>
    <col width="12.5703125" customWidth="1" style="24" min="7683" max="7683"/>
    <col width="11.85546875" customWidth="1" style="24" min="7684" max="7684"/>
    <col width="15.42578125" customWidth="1" style="24" min="7685" max="7685"/>
    <col width="17.140625" customWidth="1" style="24" min="7686" max="7686"/>
    <col width="24.7109375" customWidth="1" style="24" min="7687" max="7687"/>
    <col width="11.140625" customWidth="1" style="24" min="7688" max="7689"/>
    <col width="16.85546875" customWidth="1" style="24" min="7690" max="7690"/>
    <col width="19.7109375" customWidth="1" style="24" min="7691" max="7691"/>
    <col width="16.140625" customWidth="1" style="24" min="7692" max="7692"/>
    <col width="16" customWidth="1" style="24" min="7693" max="7693"/>
    <col width="4.7109375" customWidth="1" style="24" min="7694" max="7694"/>
    <col width="15.42578125" customWidth="1" style="24" min="7695" max="7695"/>
    <col width="1.5703125" customWidth="1" style="24" min="7696" max="7696"/>
    <col width="0.85546875" customWidth="1" style="24" min="7697" max="7936"/>
    <col width="6.140625" customWidth="1" style="24" min="7937" max="7937"/>
    <col width="34.140625" customWidth="1" style="24" min="7938" max="7938"/>
    <col width="12.5703125" customWidth="1" style="24" min="7939" max="7939"/>
    <col width="11.85546875" customWidth="1" style="24" min="7940" max="7940"/>
    <col width="15.42578125" customWidth="1" style="24" min="7941" max="7941"/>
    <col width="17.140625" customWidth="1" style="24" min="7942" max="7942"/>
    <col width="24.7109375" customWidth="1" style="24" min="7943" max="7943"/>
    <col width="11.140625" customWidth="1" style="24" min="7944" max="7945"/>
    <col width="16.85546875" customWidth="1" style="24" min="7946" max="7946"/>
    <col width="19.7109375" customWidth="1" style="24" min="7947" max="7947"/>
    <col width="16.140625" customWidth="1" style="24" min="7948" max="7948"/>
    <col width="16" customWidth="1" style="24" min="7949" max="7949"/>
    <col width="4.7109375" customWidth="1" style="24" min="7950" max="7950"/>
    <col width="15.42578125" customWidth="1" style="24" min="7951" max="7951"/>
    <col width="1.5703125" customWidth="1" style="24" min="7952" max="7952"/>
    <col width="0.85546875" customWidth="1" style="24" min="7953" max="8192"/>
    <col width="6.140625" customWidth="1" style="24" min="8193" max="8193"/>
    <col width="34.140625" customWidth="1" style="24" min="8194" max="8194"/>
    <col width="12.5703125" customWidth="1" style="24" min="8195" max="8195"/>
    <col width="11.85546875" customWidth="1" style="24" min="8196" max="8196"/>
    <col width="15.42578125" customWidth="1" style="24" min="8197" max="8197"/>
    <col width="17.140625" customWidth="1" style="24" min="8198" max="8198"/>
    <col width="24.7109375" customWidth="1" style="24" min="8199" max="8199"/>
    <col width="11.140625" customWidth="1" style="24" min="8200" max="8201"/>
    <col width="16.85546875" customWidth="1" style="24" min="8202" max="8202"/>
    <col width="19.7109375" customWidth="1" style="24" min="8203" max="8203"/>
    <col width="16.140625" customWidth="1" style="24" min="8204" max="8204"/>
    <col width="16" customWidth="1" style="24" min="8205" max="8205"/>
    <col width="4.7109375" customWidth="1" style="24" min="8206" max="8206"/>
    <col width="15.42578125" customWidth="1" style="24" min="8207" max="8207"/>
    <col width="1.5703125" customWidth="1" style="24" min="8208" max="8208"/>
    <col width="0.85546875" customWidth="1" style="24" min="8209" max="8448"/>
    <col width="6.140625" customWidth="1" style="24" min="8449" max="8449"/>
    <col width="34.140625" customWidth="1" style="24" min="8450" max="8450"/>
    <col width="12.5703125" customWidth="1" style="24" min="8451" max="8451"/>
    <col width="11.85546875" customWidth="1" style="24" min="8452" max="8452"/>
    <col width="15.42578125" customWidth="1" style="24" min="8453" max="8453"/>
    <col width="17.140625" customWidth="1" style="24" min="8454" max="8454"/>
    <col width="24.7109375" customWidth="1" style="24" min="8455" max="8455"/>
    <col width="11.140625" customWidth="1" style="24" min="8456" max="8457"/>
    <col width="16.85546875" customWidth="1" style="24" min="8458" max="8458"/>
    <col width="19.7109375" customWidth="1" style="24" min="8459" max="8459"/>
    <col width="16.140625" customWidth="1" style="24" min="8460" max="8460"/>
    <col width="16" customWidth="1" style="24" min="8461" max="8461"/>
    <col width="4.7109375" customWidth="1" style="24" min="8462" max="8462"/>
    <col width="15.42578125" customWidth="1" style="24" min="8463" max="8463"/>
    <col width="1.5703125" customWidth="1" style="24" min="8464" max="8464"/>
    <col width="0.85546875" customWidth="1" style="24" min="8465" max="8704"/>
    <col width="6.140625" customWidth="1" style="24" min="8705" max="8705"/>
    <col width="34.140625" customWidth="1" style="24" min="8706" max="8706"/>
    <col width="12.5703125" customWidth="1" style="24" min="8707" max="8707"/>
    <col width="11.85546875" customWidth="1" style="24" min="8708" max="8708"/>
    <col width="15.42578125" customWidth="1" style="24" min="8709" max="8709"/>
    <col width="17.140625" customWidth="1" style="24" min="8710" max="8710"/>
    <col width="24.7109375" customWidth="1" style="24" min="8711" max="8711"/>
    <col width="11.140625" customWidth="1" style="24" min="8712" max="8713"/>
    <col width="16.85546875" customWidth="1" style="24" min="8714" max="8714"/>
    <col width="19.7109375" customWidth="1" style="24" min="8715" max="8715"/>
    <col width="16.140625" customWidth="1" style="24" min="8716" max="8716"/>
    <col width="16" customWidth="1" style="24" min="8717" max="8717"/>
    <col width="4.7109375" customWidth="1" style="24" min="8718" max="8718"/>
    <col width="15.42578125" customWidth="1" style="24" min="8719" max="8719"/>
    <col width="1.5703125" customWidth="1" style="24" min="8720" max="8720"/>
    <col width="0.85546875" customWidth="1" style="24" min="8721" max="8960"/>
    <col width="6.140625" customWidth="1" style="24" min="8961" max="8961"/>
    <col width="34.140625" customWidth="1" style="24" min="8962" max="8962"/>
    <col width="12.5703125" customWidth="1" style="24" min="8963" max="8963"/>
    <col width="11.85546875" customWidth="1" style="24" min="8964" max="8964"/>
    <col width="15.42578125" customWidth="1" style="24" min="8965" max="8965"/>
    <col width="17.140625" customWidth="1" style="24" min="8966" max="8966"/>
    <col width="24.7109375" customWidth="1" style="24" min="8967" max="8967"/>
    <col width="11.140625" customWidth="1" style="24" min="8968" max="8969"/>
    <col width="16.85546875" customWidth="1" style="24" min="8970" max="8970"/>
    <col width="19.7109375" customWidth="1" style="24" min="8971" max="8971"/>
    <col width="16.140625" customWidth="1" style="24" min="8972" max="8972"/>
    <col width="16" customWidth="1" style="24" min="8973" max="8973"/>
    <col width="4.7109375" customWidth="1" style="24" min="8974" max="8974"/>
    <col width="15.42578125" customWidth="1" style="24" min="8975" max="8975"/>
    <col width="1.5703125" customWidth="1" style="24" min="8976" max="8976"/>
    <col width="0.85546875" customWidth="1" style="24" min="8977" max="9216"/>
    <col width="6.140625" customWidth="1" style="24" min="9217" max="9217"/>
    <col width="34.140625" customWidth="1" style="24" min="9218" max="9218"/>
    <col width="12.5703125" customWidth="1" style="24" min="9219" max="9219"/>
    <col width="11.85546875" customWidth="1" style="24" min="9220" max="9220"/>
    <col width="15.42578125" customWidth="1" style="24" min="9221" max="9221"/>
    <col width="17.140625" customWidth="1" style="24" min="9222" max="9222"/>
    <col width="24.7109375" customWidth="1" style="24" min="9223" max="9223"/>
    <col width="11.140625" customWidth="1" style="24" min="9224" max="9225"/>
    <col width="16.85546875" customWidth="1" style="24" min="9226" max="9226"/>
    <col width="19.7109375" customWidth="1" style="24" min="9227" max="9227"/>
    <col width="16.140625" customWidth="1" style="24" min="9228" max="9228"/>
    <col width="16" customWidth="1" style="24" min="9229" max="9229"/>
    <col width="4.7109375" customWidth="1" style="24" min="9230" max="9230"/>
    <col width="15.42578125" customWidth="1" style="24" min="9231" max="9231"/>
    <col width="1.5703125" customWidth="1" style="24" min="9232" max="9232"/>
    <col width="0.85546875" customWidth="1" style="24" min="9233" max="9472"/>
    <col width="6.140625" customWidth="1" style="24" min="9473" max="9473"/>
    <col width="34.140625" customWidth="1" style="24" min="9474" max="9474"/>
    <col width="12.5703125" customWidth="1" style="24" min="9475" max="9475"/>
    <col width="11.85546875" customWidth="1" style="24" min="9476" max="9476"/>
    <col width="15.42578125" customWidth="1" style="24" min="9477" max="9477"/>
    <col width="17.140625" customWidth="1" style="24" min="9478" max="9478"/>
    <col width="24.7109375" customWidth="1" style="24" min="9479" max="9479"/>
    <col width="11.140625" customWidth="1" style="24" min="9480" max="9481"/>
    <col width="16.85546875" customWidth="1" style="24" min="9482" max="9482"/>
    <col width="19.7109375" customWidth="1" style="24" min="9483" max="9483"/>
    <col width="16.140625" customWidth="1" style="24" min="9484" max="9484"/>
    <col width="16" customWidth="1" style="24" min="9485" max="9485"/>
    <col width="4.7109375" customWidth="1" style="24" min="9486" max="9486"/>
    <col width="15.42578125" customWidth="1" style="24" min="9487" max="9487"/>
    <col width="1.5703125" customWidth="1" style="24" min="9488" max="9488"/>
    <col width="0.85546875" customWidth="1" style="24" min="9489" max="9728"/>
    <col width="6.140625" customWidth="1" style="24" min="9729" max="9729"/>
    <col width="34.140625" customWidth="1" style="24" min="9730" max="9730"/>
    <col width="12.5703125" customWidth="1" style="24" min="9731" max="9731"/>
    <col width="11.85546875" customWidth="1" style="24" min="9732" max="9732"/>
    <col width="15.42578125" customWidth="1" style="24" min="9733" max="9733"/>
    <col width="17.140625" customWidth="1" style="24" min="9734" max="9734"/>
    <col width="24.7109375" customWidth="1" style="24" min="9735" max="9735"/>
    <col width="11.140625" customWidth="1" style="24" min="9736" max="9737"/>
    <col width="16.85546875" customWidth="1" style="24" min="9738" max="9738"/>
    <col width="19.7109375" customWidth="1" style="24" min="9739" max="9739"/>
    <col width="16.140625" customWidth="1" style="24" min="9740" max="9740"/>
    <col width="16" customWidth="1" style="24" min="9741" max="9741"/>
    <col width="4.7109375" customWidth="1" style="24" min="9742" max="9742"/>
    <col width="15.42578125" customWidth="1" style="24" min="9743" max="9743"/>
    <col width="1.5703125" customWidth="1" style="24" min="9744" max="9744"/>
    <col width="0.85546875" customWidth="1" style="24" min="9745" max="9984"/>
    <col width="6.140625" customWidth="1" style="24" min="9985" max="9985"/>
    <col width="34.140625" customWidth="1" style="24" min="9986" max="9986"/>
    <col width="12.5703125" customWidth="1" style="24" min="9987" max="9987"/>
    <col width="11.85546875" customWidth="1" style="24" min="9988" max="9988"/>
    <col width="15.42578125" customWidth="1" style="24" min="9989" max="9989"/>
    <col width="17.140625" customWidth="1" style="24" min="9990" max="9990"/>
    <col width="24.7109375" customWidth="1" style="24" min="9991" max="9991"/>
    <col width="11.140625" customWidth="1" style="24" min="9992" max="9993"/>
    <col width="16.85546875" customWidth="1" style="24" min="9994" max="9994"/>
    <col width="19.7109375" customWidth="1" style="24" min="9995" max="9995"/>
    <col width="16.140625" customWidth="1" style="24" min="9996" max="9996"/>
    <col width="16" customWidth="1" style="24" min="9997" max="9997"/>
    <col width="4.7109375" customWidth="1" style="24" min="9998" max="9998"/>
    <col width="15.42578125" customWidth="1" style="24" min="9999" max="9999"/>
    <col width="1.5703125" customWidth="1" style="24" min="10000" max="10000"/>
    <col width="0.85546875" customWidth="1" style="24" min="10001" max="10240"/>
    <col width="6.140625" customWidth="1" style="24" min="10241" max="10241"/>
    <col width="34.140625" customWidth="1" style="24" min="10242" max="10242"/>
    <col width="12.5703125" customWidth="1" style="24" min="10243" max="10243"/>
    <col width="11.85546875" customWidth="1" style="24" min="10244" max="10244"/>
    <col width="15.42578125" customWidth="1" style="24" min="10245" max="10245"/>
    <col width="17.140625" customWidth="1" style="24" min="10246" max="10246"/>
    <col width="24.7109375" customWidth="1" style="24" min="10247" max="10247"/>
    <col width="11.140625" customWidth="1" style="24" min="10248" max="10249"/>
    <col width="16.85546875" customWidth="1" style="24" min="10250" max="10250"/>
    <col width="19.7109375" customWidth="1" style="24" min="10251" max="10251"/>
    <col width="16.140625" customWidth="1" style="24" min="10252" max="10252"/>
    <col width="16" customWidth="1" style="24" min="10253" max="10253"/>
    <col width="4.7109375" customWidth="1" style="24" min="10254" max="10254"/>
    <col width="15.42578125" customWidth="1" style="24" min="10255" max="10255"/>
    <col width="1.5703125" customWidth="1" style="24" min="10256" max="10256"/>
    <col width="0.85546875" customWidth="1" style="24" min="10257" max="10496"/>
    <col width="6.140625" customWidth="1" style="24" min="10497" max="10497"/>
    <col width="34.140625" customWidth="1" style="24" min="10498" max="10498"/>
    <col width="12.5703125" customWidth="1" style="24" min="10499" max="10499"/>
    <col width="11.85546875" customWidth="1" style="24" min="10500" max="10500"/>
    <col width="15.42578125" customWidth="1" style="24" min="10501" max="10501"/>
    <col width="17.140625" customWidth="1" style="24" min="10502" max="10502"/>
    <col width="24.7109375" customWidth="1" style="24" min="10503" max="10503"/>
    <col width="11.140625" customWidth="1" style="24" min="10504" max="10505"/>
    <col width="16.85546875" customWidth="1" style="24" min="10506" max="10506"/>
    <col width="19.7109375" customWidth="1" style="24" min="10507" max="10507"/>
    <col width="16.140625" customWidth="1" style="24" min="10508" max="10508"/>
    <col width="16" customWidth="1" style="24" min="10509" max="10509"/>
    <col width="4.7109375" customWidth="1" style="24" min="10510" max="10510"/>
    <col width="15.42578125" customWidth="1" style="24" min="10511" max="10511"/>
    <col width="1.5703125" customWidth="1" style="24" min="10512" max="10512"/>
    <col width="0.85546875" customWidth="1" style="24" min="10513" max="10752"/>
    <col width="6.140625" customWidth="1" style="24" min="10753" max="10753"/>
    <col width="34.140625" customWidth="1" style="24" min="10754" max="10754"/>
    <col width="12.5703125" customWidth="1" style="24" min="10755" max="10755"/>
    <col width="11.85546875" customWidth="1" style="24" min="10756" max="10756"/>
    <col width="15.42578125" customWidth="1" style="24" min="10757" max="10757"/>
    <col width="17.140625" customWidth="1" style="24" min="10758" max="10758"/>
    <col width="24.7109375" customWidth="1" style="24" min="10759" max="10759"/>
    <col width="11.140625" customWidth="1" style="24" min="10760" max="10761"/>
    <col width="16.85546875" customWidth="1" style="24" min="10762" max="10762"/>
    <col width="19.7109375" customWidth="1" style="24" min="10763" max="10763"/>
    <col width="16.140625" customWidth="1" style="24" min="10764" max="10764"/>
    <col width="16" customWidth="1" style="24" min="10765" max="10765"/>
    <col width="4.7109375" customWidth="1" style="24" min="10766" max="10766"/>
    <col width="15.42578125" customWidth="1" style="24" min="10767" max="10767"/>
    <col width="1.5703125" customWidth="1" style="24" min="10768" max="10768"/>
    <col width="0.85546875" customWidth="1" style="24" min="10769" max="11008"/>
    <col width="6.140625" customWidth="1" style="24" min="11009" max="11009"/>
    <col width="34.140625" customWidth="1" style="24" min="11010" max="11010"/>
    <col width="12.5703125" customWidth="1" style="24" min="11011" max="11011"/>
    <col width="11.85546875" customWidth="1" style="24" min="11012" max="11012"/>
    <col width="15.42578125" customWidth="1" style="24" min="11013" max="11013"/>
    <col width="17.140625" customWidth="1" style="24" min="11014" max="11014"/>
    <col width="24.7109375" customWidth="1" style="24" min="11015" max="11015"/>
    <col width="11.140625" customWidth="1" style="24" min="11016" max="11017"/>
    <col width="16.85546875" customWidth="1" style="24" min="11018" max="11018"/>
    <col width="19.7109375" customWidth="1" style="24" min="11019" max="11019"/>
    <col width="16.140625" customWidth="1" style="24" min="11020" max="11020"/>
    <col width="16" customWidth="1" style="24" min="11021" max="11021"/>
    <col width="4.7109375" customWidth="1" style="24" min="11022" max="11022"/>
    <col width="15.42578125" customWidth="1" style="24" min="11023" max="11023"/>
    <col width="1.5703125" customWidth="1" style="24" min="11024" max="11024"/>
    <col width="0.85546875" customWidth="1" style="24" min="11025" max="11264"/>
    <col width="6.140625" customWidth="1" style="24" min="11265" max="11265"/>
    <col width="34.140625" customWidth="1" style="24" min="11266" max="11266"/>
    <col width="12.5703125" customWidth="1" style="24" min="11267" max="11267"/>
    <col width="11.85546875" customWidth="1" style="24" min="11268" max="11268"/>
    <col width="15.42578125" customWidth="1" style="24" min="11269" max="11269"/>
    <col width="17.140625" customWidth="1" style="24" min="11270" max="11270"/>
    <col width="24.7109375" customWidth="1" style="24" min="11271" max="11271"/>
    <col width="11.140625" customWidth="1" style="24" min="11272" max="11273"/>
    <col width="16.85546875" customWidth="1" style="24" min="11274" max="11274"/>
    <col width="19.7109375" customWidth="1" style="24" min="11275" max="11275"/>
    <col width="16.140625" customWidth="1" style="24" min="11276" max="11276"/>
    <col width="16" customWidth="1" style="24" min="11277" max="11277"/>
    <col width="4.7109375" customWidth="1" style="24" min="11278" max="11278"/>
    <col width="15.42578125" customWidth="1" style="24" min="11279" max="11279"/>
    <col width="1.5703125" customWidth="1" style="24" min="11280" max="11280"/>
    <col width="0.85546875" customWidth="1" style="24" min="11281" max="11520"/>
    <col width="6.140625" customWidth="1" style="24" min="11521" max="11521"/>
    <col width="34.140625" customWidth="1" style="24" min="11522" max="11522"/>
    <col width="12.5703125" customWidth="1" style="24" min="11523" max="11523"/>
    <col width="11.85546875" customWidth="1" style="24" min="11524" max="11524"/>
    <col width="15.42578125" customWidth="1" style="24" min="11525" max="11525"/>
    <col width="17.140625" customWidth="1" style="24" min="11526" max="11526"/>
    <col width="24.7109375" customWidth="1" style="24" min="11527" max="11527"/>
    <col width="11.140625" customWidth="1" style="24" min="11528" max="11529"/>
    <col width="16.85546875" customWidth="1" style="24" min="11530" max="11530"/>
    <col width="19.7109375" customWidth="1" style="24" min="11531" max="11531"/>
    <col width="16.140625" customWidth="1" style="24" min="11532" max="11532"/>
    <col width="16" customWidth="1" style="24" min="11533" max="11533"/>
    <col width="4.7109375" customWidth="1" style="24" min="11534" max="11534"/>
    <col width="15.42578125" customWidth="1" style="24" min="11535" max="11535"/>
    <col width="1.5703125" customWidth="1" style="24" min="11536" max="11536"/>
    <col width="0.85546875" customWidth="1" style="24" min="11537" max="11776"/>
    <col width="6.140625" customWidth="1" style="24" min="11777" max="11777"/>
    <col width="34.140625" customWidth="1" style="24" min="11778" max="11778"/>
    <col width="12.5703125" customWidth="1" style="24" min="11779" max="11779"/>
    <col width="11.85546875" customWidth="1" style="24" min="11780" max="11780"/>
    <col width="15.42578125" customWidth="1" style="24" min="11781" max="11781"/>
    <col width="17.140625" customWidth="1" style="24" min="11782" max="11782"/>
    <col width="24.7109375" customWidth="1" style="24" min="11783" max="11783"/>
    <col width="11.140625" customWidth="1" style="24" min="11784" max="11785"/>
    <col width="16.85546875" customWidth="1" style="24" min="11786" max="11786"/>
    <col width="19.7109375" customWidth="1" style="24" min="11787" max="11787"/>
    <col width="16.140625" customWidth="1" style="24" min="11788" max="11788"/>
    <col width="16" customWidth="1" style="24" min="11789" max="11789"/>
    <col width="4.7109375" customWidth="1" style="24" min="11790" max="11790"/>
    <col width="15.42578125" customWidth="1" style="24" min="11791" max="11791"/>
    <col width="1.5703125" customWidth="1" style="24" min="11792" max="11792"/>
    <col width="0.85546875" customWidth="1" style="24" min="11793" max="12032"/>
    <col width="6.140625" customWidth="1" style="24" min="12033" max="12033"/>
    <col width="34.140625" customWidth="1" style="24" min="12034" max="12034"/>
    <col width="12.5703125" customWidth="1" style="24" min="12035" max="12035"/>
    <col width="11.85546875" customWidth="1" style="24" min="12036" max="12036"/>
    <col width="15.42578125" customWidth="1" style="24" min="12037" max="12037"/>
    <col width="17.140625" customWidth="1" style="24" min="12038" max="12038"/>
    <col width="24.7109375" customWidth="1" style="24" min="12039" max="12039"/>
    <col width="11.140625" customWidth="1" style="24" min="12040" max="12041"/>
    <col width="16.85546875" customWidth="1" style="24" min="12042" max="12042"/>
    <col width="19.7109375" customWidth="1" style="24" min="12043" max="12043"/>
    <col width="16.140625" customWidth="1" style="24" min="12044" max="12044"/>
    <col width="16" customWidth="1" style="24" min="12045" max="12045"/>
    <col width="4.7109375" customWidth="1" style="24" min="12046" max="12046"/>
    <col width="15.42578125" customWidth="1" style="24" min="12047" max="12047"/>
    <col width="1.5703125" customWidth="1" style="24" min="12048" max="12048"/>
    <col width="0.85546875" customWidth="1" style="24" min="12049" max="12288"/>
    <col width="6.140625" customWidth="1" style="24" min="12289" max="12289"/>
    <col width="34.140625" customWidth="1" style="24" min="12290" max="12290"/>
    <col width="12.5703125" customWidth="1" style="24" min="12291" max="12291"/>
    <col width="11.85546875" customWidth="1" style="24" min="12292" max="12292"/>
    <col width="15.42578125" customWidth="1" style="24" min="12293" max="12293"/>
    <col width="17.140625" customWidth="1" style="24" min="12294" max="12294"/>
    <col width="24.7109375" customWidth="1" style="24" min="12295" max="12295"/>
    <col width="11.140625" customWidth="1" style="24" min="12296" max="12297"/>
    <col width="16.85546875" customWidth="1" style="24" min="12298" max="12298"/>
    <col width="19.7109375" customWidth="1" style="24" min="12299" max="12299"/>
    <col width="16.140625" customWidth="1" style="24" min="12300" max="12300"/>
    <col width="16" customWidth="1" style="24" min="12301" max="12301"/>
    <col width="4.7109375" customWidth="1" style="24" min="12302" max="12302"/>
    <col width="15.42578125" customWidth="1" style="24" min="12303" max="12303"/>
    <col width="1.5703125" customWidth="1" style="24" min="12304" max="12304"/>
    <col width="0.85546875" customWidth="1" style="24" min="12305" max="12544"/>
    <col width="6.140625" customWidth="1" style="24" min="12545" max="12545"/>
    <col width="34.140625" customWidth="1" style="24" min="12546" max="12546"/>
    <col width="12.5703125" customWidth="1" style="24" min="12547" max="12547"/>
    <col width="11.85546875" customWidth="1" style="24" min="12548" max="12548"/>
    <col width="15.42578125" customWidth="1" style="24" min="12549" max="12549"/>
    <col width="17.140625" customWidth="1" style="24" min="12550" max="12550"/>
    <col width="24.7109375" customWidth="1" style="24" min="12551" max="12551"/>
    <col width="11.140625" customWidth="1" style="24" min="12552" max="12553"/>
    <col width="16.85546875" customWidth="1" style="24" min="12554" max="12554"/>
    <col width="19.7109375" customWidth="1" style="24" min="12555" max="12555"/>
    <col width="16.140625" customWidth="1" style="24" min="12556" max="12556"/>
    <col width="16" customWidth="1" style="24" min="12557" max="12557"/>
    <col width="4.7109375" customWidth="1" style="24" min="12558" max="12558"/>
    <col width="15.42578125" customWidth="1" style="24" min="12559" max="12559"/>
    <col width="1.5703125" customWidth="1" style="24" min="12560" max="12560"/>
    <col width="0.85546875" customWidth="1" style="24" min="12561" max="12800"/>
    <col width="6.140625" customWidth="1" style="24" min="12801" max="12801"/>
    <col width="34.140625" customWidth="1" style="24" min="12802" max="12802"/>
    <col width="12.5703125" customWidth="1" style="24" min="12803" max="12803"/>
    <col width="11.85546875" customWidth="1" style="24" min="12804" max="12804"/>
    <col width="15.42578125" customWidth="1" style="24" min="12805" max="12805"/>
    <col width="17.140625" customWidth="1" style="24" min="12806" max="12806"/>
    <col width="24.7109375" customWidth="1" style="24" min="12807" max="12807"/>
    <col width="11.140625" customWidth="1" style="24" min="12808" max="12809"/>
    <col width="16.85546875" customWidth="1" style="24" min="12810" max="12810"/>
    <col width="19.7109375" customWidth="1" style="24" min="12811" max="12811"/>
    <col width="16.140625" customWidth="1" style="24" min="12812" max="12812"/>
    <col width="16" customWidth="1" style="24" min="12813" max="12813"/>
    <col width="4.7109375" customWidth="1" style="24" min="12814" max="12814"/>
    <col width="15.42578125" customWidth="1" style="24" min="12815" max="12815"/>
    <col width="1.5703125" customWidth="1" style="24" min="12816" max="12816"/>
    <col width="0.85546875" customWidth="1" style="24" min="12817" max="13056"/>
    <col width="6.140625" customWidth="1" style="24" min="13057" max="13057"/>
    <col width="34.140625" customWidth="1" style="24" min="13058" max="13058"/>
    <col width="12.5703125" customWidth="1" style="24" min="13059" max="13059"/>
    <col width="11.85546875" customWidth="1" style="24" min="13060" max="13060"/>
    <col width="15.42578125" customWidth="1" style="24" min="13061" max="13061"/>
    <col width="17.140625" customWidth="1" style="24" min="13062" max="13062"/>
    <col width="24.7109375" customWidth="1" style="24" min="13063" max="13063"/>
    <col width="11.140625" customWidth="1" style="24" min="13064" max="13065"/>
    <col width="16.85546875" customWidth="1" style="24" min="13066" max="13066"/>
    <col width="19.7109375" customWidth="1" style="24" min="13067" max="13067"/>
    <col width="16.140625" customWidth="1" style="24" min="13068" max="13068"/>
    <col width="16" customWidth="1" style="24" min="13069" max="13069"/>
    <col width="4.7109375" customWidth="1" style="24" min="13070" max="13070"/>
    <col width="15.42578125" customWidth="1" style="24" min="13071" max="13071"/>
    <col width="1.5703125" customWidth="1" style="24" min="13072" max="13072"/>
    <col width="0.85546875" customWidth="1" style="24" min="13073" max="13312"/>
    <col width="6.140625" customWidth="1" style="24" min="13313" max="13313"/>
    <col width="34.140625" customWidth="1" style="24" min="13314" max="13314"/>
    <col width="12.5703125" customWidth="1" style="24" min="13315" max="13315"/>
    <col width="11.85546875" customWidth="1" style="24" min="13316" max="13316"/>
    <col width="15.42578125" customWidth="1" style="24" min="13317" max="13317"/>
    <col width="17.140625" customWidth="1" style="24" min="13318" max="13318"/>
    <col width="24.7109375" customWidth="1" style="24" min="13319" max="13319"/>
    <col width="11.140625" customWidth="1" style="24" min="13320" max="13321"/>
    <col width="16.85546875" customWidth="1" style="24" min="13322" max="13322"/>
    <col width="19.7109375" customWidth="1" style="24" min="13323" max="13323"/>
    <col width="16.140625" customWidth="1" style="24" min="13324" max="13324"/>
    <col width="16" customWidth="1" style="24" min="13325" max="13325"/>
    <col width="4.7109375" customWidth="1" style="24" min="13326" max="13326"/>
    <col width="15.42578125" customWidth="1" style="24" min="13327" max="13327"/>
    <col width="1.5703125" customWidth="1" style="24" min="13328" max="13328"/>
    <col width="0.85546875" customWidth="1" style="24" min="13329" max="13568"/>
    <col width="6.140625" customWidth="1" style="24" min="13569" max="13569"/>
    <col width="34.140625" customWidth="1" style="24" min="13570" max="13570"/>
    <col width="12.5703125" customWidth="1" style="24" min="13571" max="13571"/>
    <col width="11.85546875" customWidth="1" style="24" min="13572" max="13572"/>
    <col width="15.42578125" customWidth="1" style="24" min="13573" max="13573"/>
    <col width="17.140625" customWidth="1" style="24" min="13574" max="13574"/>
    <col width="24.7109375" customWidth="1" style="24" min="13575" max="13575"/>
    <col width="11.140625" customWidth="1" style="24" min="13576" max="13577"/>
    <col width="16.85546875" customWidth="1" style="24" min="13578" max="13578"/>
    <col width="19.7109375" customWidth="1" style="24" min="13579" max="13579"/>
    <col width="16.140625" customWidth="1" style="24" min="13580" max="13580"/>
    <col width="16" customWidth="1" style="24" min="13581" max="13581"/>
    <col width="4.7109375" customWidth="1" style="24" min="13582" max="13582"/>
    <col width="15.42578125" customWidth="1" style="24" min="13583" max="13583"/>
    <col width="1.5703125" customWidth="1" style="24" min="13584" max="13584"/>
    <col width="0.85546875" customWidth="1" style="24" min="13585" max="13824"/>
    <col width="6.140625" customWidth="1" style="24" min="13825" max="13825"/>
    <col width="34.140625" customWidth="1" style="24" min="13826" max="13826"/>
    <col width="12.5703125" customWidth="1" style="24" min="13827" max="13827"/>
    <col width="11.85546875" customWidth="1" style="24" min="13828" max="13828"/>
    <col width="15.42578125" customWidth="1" style="24" min="13829" max="13829"/>
    <col width="17.140625" customWidth="1" style="24" min="13830" max="13830"/>
    <col width="24.7109375" customWidth="1" style="24" min="13831" max="13831"/>
    <col width="11.140625" customWidth="1" style="24" min="13832" max="13833"/>
    <col width="16.85546875" customWidth="1" style="24" min="13834" max="13834"/>
    <col width="19.7109375" customWidth="1" style="24" min="13835" max="13835"/>
    <col width="16.140625" customWidth="1" style="24" min="13836" max="13836"/>
    <col width="16" customWidth="1" style="24" min="13837" max="13837"/>
    <col width="4.7109375" customWidth="1" style="24" min="13838" max="13838"/>
    <col width="15.42578125" customWidth="1" style="24" min="13839" max="13839"/>
    <col width="1.5703125" customWidth="1" style="24" min="13840" max="13840"/>
    <col width="0.85546875" customWidth="1" style="24" min="13841" max="14080"/>
    <col width="6.140625" customWidth="1" style="24" min="14081" max="14081"/>
    <col width="34.140625" customWidth="1" style="24" min="14082" max="14082"/>
    <col width="12.5703125" customWidth="1" style="24" min="14083" max="14083"/>
    <col width="11.85546875" customWidth="1" style="24" min="14084" max="14084"/>
    <col width="15.42578125" customWidth="1" style="24" min="14085" max="14085"/>
    <col width="17.140625" customWidth="1" style="24" min="14086" max="14086"/>
    <col width="24.7109375" customWidth="1" style="24" min="14087" max="14087"/>
    <col width="11.140625" customWidth="1" style="24" min="14088" max="14089"/>
    <col width="16.85546875" customWidth="1" style="24" min="14090" max="14090"/>
    <col width="19.7109375" customWidth="1" style="24" min="14091" max="14091"/>
    <col width="16.140625" customWidth="1" style="24" min="14092" max="14092"/>
    <col width="16" customWidth="1" style="24" min="14093" max="14093"/>
    <col width="4.7109375" customWidth="1" style="24" min="14094" max="14094"/>
    <col width="15.42578125" customWidth="1" style="24" min="14095" max="14095"/>
    <col width="1.5703125" customWidth="1" style="24" min="14096" max="14096"/>
    <col width="0.85546875" customWidth="1" style="24" min="14097" max="14336"/>
    <col width="6.140625" customWidth="1" style="24" min="14337" max="14337"/>
    <col width="34.140625" customWidth="1" style="24" min="14338" max="14338"/>
    <col width="12.5703125" customWidth="1" style="24" min="14339" max="14339"/>
    <col width="11.85546875" customWidth="1" style="24" min="14340" max="14340"/>
    <col width="15.42578125" customWidth="1" style="24" min="14341" max="14341"/>
    <col width="17.140625" customWidth="1" style="24" min="14342" max="14342"/>
    <col width="24.7109375" customWidth="1" style="24" min="14343" max="14343"/>
    <col width="11.140625" customWidth="1" style="24" min="14344" max="14345"/>
    <col width="16.85546875" customWidth="1" style="24" min="14346" max="14346"/>
    <col width="19.7109375" customWidth="1" style="24" min="14347" max="14347"/>
    <col width="16.140625" customWidth="1" style="24" min="14348" max="14348"/>
    <col width="16" customWidth="1" style="24" min="14349" max="14349"/>
    <col width="4.7109375" customWidth="1" style="24" min="14350" max="14350"/>
    <col width="15.42578125" customWidth="1" style="24" min="14351" max="14351"/>
    <col width="1.5703125" customWidth="1" style="24" min="14352" max="14352"/>
    <col width="0.85546875" customWidth="1" style="24" min="14353" max="14592"/>
    <col width="6.140625" customWidth="1" style="24" min="14593" max="14593"/>
    <col width="34.140625" customWidth="1" style="24" min="14594" max="14594"/>
    <col width="12.5703125" customWidth="1" style="24" min="14595" max="14595"/>
    <col width="11.85546875" customWidth="1" style="24" min="14596" max="14596"/>
    <col width="15.42578125" customWidth="1" style="24" min="14597" max="14597"/>
    <col width="17.140625" customWidth="1" style="24" min="14598" max="14598"/>
    <col width="24.7109375" customWidth="1" style="24" min="14599" max="14599"/>
    <col width="11.140625" customWidth="1" style="24" min="14600" max="14601"/>
    <col width="16.85546875" customWidth="1" style="24" min="14602" max="14602"/>
    <col width="19.7109375" customWidth="1" style="24" min="14603" max="14603"/>
    <col width="16.140625" customWidth="1" style="24" min="14604" max="14604"/>
    <col width="16" customWidth="1" style="24" min="14605" max="14605"/>
    <col width="4.7109375" customWidth="1" style="24" min="14606" max="14606"/>
    <col width="15.42578125" customWidth="1" style="24" min="14607" max="14607"/>
    <col width="1.5703125" customWidth="1" style="24" min="14608" max="14608"/>
    <col width="0.85546875" customWidth="1" style="24" min="14609" max="14848"/>
    <col width="6.140625" customWidth="1" style="24" min="14849" max="14849"/>
    <col width="34.140625" customWidth="1" style="24" min="14850" max="14850"/>
    <col width="12.5703125" customWidth="1" style="24" min="14851" max="14851"/>
    <col width="11.85546875" customWidth="1" style="24" min="14852" max="14852"/>
    <col width="15.42578125" customWidth="1" style="24" min="14853" max="14853"/>
    <col width="17.140625" customWidth="1" style="24" min="14854" max="14854"/>
    <col width="24.7109375" customWidth="1" style="24" min="14855" max="14855"/>
    <col width="11.140625" customWidth="1" style="24" min="14856" max="14857"/>
    <col width="16.85546875" customWidth="1" style="24" min="14858" max="14858"/>
    <col width="19.7109375" customWidth="1" style="24" min="14859" max="14859"/>
    <col width="16.140625" customWidth="1" style="24" min="14860" max="14860"/>
    <col width="16" customWidth="1" style="24" min="14861" max="14861"/>
    <col width="4.7109375" customWidth="1" style="24" min="14862" max="14862"/>
    <col width="15.42578125" customWidth="1" style="24" min="14863" max="14863"/>
    <col width="1.5703125" customWidth="1" style="24" min="14864" max="14864"/>
    <col width="0.85546875" customWidth="1" style="24" min="14865" max="15104"/>
    <col width="6.140625" customWidth="1" style="24" min="15105" max="15105"/>
    <col width="34.140625" customWidth="1" style="24" min="15106" max="15106"/>
    <col width="12.5703125" customWidth="1" style="24" min="15107" max="15107"/>
    <col width="11.85546875" customWidth="1" style="24" min="15108" max="15108"/>
    <col width="15.42578125" customWidth="1" style="24" min="15109" max="15109"/>
    <col width="17.140625" customWidth="1" style="24" min="15110" max="15110"/>
    <col width="24.7109375" customWidth="1" style="24" min="15111" max="15111"/>
    <col width="11.140625" customWidth="1" style="24" min="15112" max="15113"/>
    <col width="16.85546875" customWidth="1" style="24" min="15114" max="15114"/>
    <col width="19.7109375" customWidth="1" style="24" min="15115" max="15115"/>
    <col width="16.140625" customWidth="1" style="24" min="15116" max="15116"/>
    <col width="16" customWidth="1" style="24" min="15117" max="15117"/>
    <col width="4.7109375" customWidth="1" style="24" min="15118" max="15118"/>
    <col width="15.42578125" customWidth="1" style="24" min="15119" max="15119"/>
    <col width="1.5703125" customWidth="1" style="24" min="15120" max="15120"/>
    <col width="0.85546875" customWidth="1" style="24" min="15121" max="15360"/>
    <col width="6.140625" customWidth="1" style="24" min="15361" max="15361"/>
    <col width="34.140625" customWidth="1" style="24" min="15362" max="15362"/>
    <col width="12.5703125" customWidth="1" style="24" min="15363" max="15363"/>
    <col width="11.85546875" customWidth="1" style="24" min="15364" max="15364"/>
    <col width="15.42578125" customWidth="1" style="24" min="15365" max="15365"/>
    <col width="17.140625" customWidth="1" style="24" min="15366" max="15366"/>
    <col width="24.7109375" customWidth="1" style="24" min="15367" max="15367"/>
    <col width="11.140625" customWidth="1" style="24" min="15368" max="15369"/>
    <col width="16.85546875" customWidth="1" style="24" min="15370" max="15370"/>
    <col width="19.7109375" customWidth="1" style="24" min="15371" max="15371"/>
    <col width="16.140625" customWidth="1" style="24" min="15372" max="15372"/>
    <col width="16" customWidth="1" style="24" min="15373" max="15373"/>
    <col width="4.7109375" customWidth="1" style="24" min="15374" max="15374"/>
    <col width="15.42578125" customWidth="1" style="24" min="15375" max="15375"/>
    <col width="1.5703125" customWidth="1" style="24" min="15376" max="15376"/>
    <col width="0.85546875" customWidth="1" style="24" min="15377" max="15616"/>
    <col width="6.140625" customWidth="1" style="24" min="15617" max="15617"/>
    <col width="34.140625" customWidth="1" style="24" min="15618" max="15618"/>
    <col width="12.5703125" customWidth="1" style="24" min="15619" max="15619"/>
    <col width="11.85546875" customWidth="1" style="24" min="15620" max="15620"/>
    <col width="15.42578125" customWidth="1" style="24" min="15621" max="15621"/>
    <col width="17.140625" customWidth="1" style="24" min="15622" max="15622"/>
    <col width="24.7109375" customWidth="1" style="24" min="15623" max="15623"/>
    <col width="11.140625" customWidth="1" style="24" min="15624" max="15625"/>
    <col width="16.85546875" customWidth="1" style="24" min="15626" max="15626"/>
    <col width="19.7109375" customWidth="1" style="24" min="15627" max="15627"/>
    <col width="16.140625" customWidth="1" style="24" min="15628" max="15628"/>
    <col width="16" customWidth="1" style="24" min="15629" max="15629"/>
    <col width="4.7109375" customWidth="1" style="24" min="15630" max="15630"/>
    <col width="15.42578125" customWidth="1" style="24" min="15631" max="15631"/>
    <col width="1.5703125" customWidth="1" style="24" min="15632" max="15632"/>
    <col width="0.85546875" customWidth="1" style="24" min="15633" max="15872"/>
    <col width="6.140625" customWidth="1" style="24" min="15873" max="15873"/>
    <col width="34.140625" customWidth="1" style="24" min="15874" max="15874"/>
    <col width="12.5703125" customWidth="1" style="24" min="15875" max="15875"/>
    <col width="11.85546875" customWidth="1" style="24" min="15876" max="15876"/>
    <col width="15.42578125" customWidth="1" style="24" min="15877" max="15877"/>
    <col width="17.140625" customWidth="1" style="24" min="15878" max="15878"/>
    <col width="24.7109375" customWidth="1" style="24" min="15879" max="15879"/>
    <col width="11.140625" customWidth="1" style="24" min="15880" max="15881"/>
    <col width="16.85546875" customWidth="1" style="24" min="15882" max="15882"/>
    <col width="19.7109375" customWidth="1" style="24" min="15883" max="15883"/>
    <col width="16.140625" customWidth="1" style="24" min="15884" max="15884"/>
    <col width="16" customWidth="1" style="24" min="15885" max="15885"/>
    <col width="4.7109375" customWidth="1" style="24" min="15886" max="15886"/>
    <col width="15.42578125" customWidth="1" style="24" min="15887" max="15887"/>
    <col width="1.5703125" customWidth="1" style="24" min="15888" max="15888"/>
    <col width="0.85546875" customWidth="1" style="24" min="15889" max="16128"/>
    <col width="6.140625" customWidth="1" style="24" min="16129" max="16129"/>
    <col width="34.140625" customWidth="1" style="24" min="16130" max="16130"/>
    <col width="12.5703125" customWidth="1" style="24" min="16131" max="16131"/>
    <col width="11.85546875" customWidth="1" style="24" min="16132" max="16132"/>
    <col width="15.42578125" customWidth="1" style="24" min="16133" max="16133"/>
    <col width="17.140625" customWidth="1" style="24" min="16134" max="16134"/>
    <col width="24.7109375" customWidth="1" style="24" min="16135" max="16135"/>
    <col width="11.140625" customWidth="1" style="24" min="16136" max="16137"/>
    <col width="16.85546875" customWidth="1" style="24" min="16138" max="16138"/>
    <col width="19.7109375" customWidth="1" style="24" min="16139" max="16139"/>
    <col width="16.140625" customWidth="1" style="24" min="16140" max="16140"/>
    <col width="16" customWidth="1" style="24" min="16141" max="16141"/>
    <col width="4.7109375" customWidth="1" style="24" min="16142" max="16142"/>
    <col width="15.42578125" customWidth="1" style="24" min="16143" max="16143"/>
    <col width="1.5703125" customWidth="1" style="24" min="16144" max="16144"/>
    <col width="0.85546875" customWidth="1" style="24" min="16145" max="16384"/>
  </cols>
  <sheetData>
    <row r="1" ht="17.25" customHeight="1" s="794">
      <c r="M1" s="1146" t="inlineStr">
        <is>
          <t xml:space="preserve">Форма № 15 (15д) НИР (ОКР) </t>
        </is>
      </c>
    </row>
    <row r="2" ht="17.25" customHeight="1" s="794">
      <c r="M2" s="1146" t="n"/>
      <c r="N2" s="1146" t="n"/>
      <c r="O2" s="1146" t="n"/>
    </row>
    <row r="3" ht="39.75" customHeight="1" s="794">
      <c r="A3" s="1213" t="inlineStr">
        <is>
          <t>РАСШИФРОВКА
затрат на специальное оборудование для научных (экспериментальных) работ</t>
        </is>
      </c>
    </row>
    <row r="4" ht="37.5" customFormat="1" customHeight="1" s="1">
      <c r="B4" s="1029" t="inlineStr">
        <is>
          <t>ТЕМА</t>
        </is>
      </c>
      <c r="C4" s="1409" t="n"/>
      <c r="D4" s="1409" t="n"/>
      <c r="E4" s="1409" t="n"/>
      <c r="F4" s="1409" t="n"/>
      <c r="G4" s="1409" t="n"/>
      <c r="H4" s="1409" t="n"/>
      <c r="I4" s="1409" t="n"/>
      <c r="J4" s="1409" t="n"/>
      <c r="K4" s="1409" t="n"/>
      <c r="L4" s="1409" t="n"/>
      <c r="M4" s="1409" t="n"/>
      <c r="N4" s="1409" t="n"/>
      <c r="O4" s="230" t="n"/>
    </row>
    <row r="5" ht="12.75" customFormat="1" customHeight="1" s="3">
      <c r="B5" s="1097" t="inlineStr">
        <is>
          <t>(наименование, шифр товара, работы, услуги)</t>
        </is>
      </c>
    </row>
    <row r="6" ht="14.25" customHeight="1" s="794">
      <c r="A6" s="24" t="inlineStr">
        <is>
          <t> </t>
        </is>
      </c>
      <c r="O6" s="231" t="n"/>
    </row>
    <row r="7" ht="30" customFormat="1" customHeight="1" s="18">
      <c r="A7" s="975" t="inlineStr">
        <is>
          <t>№
п/п</t>
        </is>
      </c>
      <c r="B7" s="975" t="inlineStr">
        <is>
          <t>Наименование специального оборудования</t>
        </is>
      </c>
      <c r="C7" s="975" t="inlineStr">
        <is>
          <t>Единица измерения</t>
        </is>
      </c>
      <c r="D7" s="975" t="inlineStr">
        <is>
          <t>Планируемый период (год ____)</t>
        </is>
      </c>
      <c r="E7" s="1412" t="n"/>
      <c r="F7" s="1412" t="n"/>
      <c r="G7" s="1412" t="n"/>
      <c r="H7" s="1412" t="n"/>
      <c r="I7" s="1412" t="n"/>
      <c r="J7" s="1410" t="n"/>
      <c r="K7" s="975" t="inlineStr">
        <is>
          <t>Обоснование цены поставки</t>
        </is>
      </c>
      <c r="L7" s="1410" t="n"/>
      <c r="M7" s="975" t="inlineStr">
        <is>
          <t xml:space="preserve">Планируемая организация-поставщик (подрядчик, исполнитель) </t>
        </is>
      </c>
      <c r="N7" s="1412" t="n"/>
      <c r="O7" s="1410" t="n"/>
    </row>
    <row r="8" ht="15.75" customFormat="1" customHeight="1" s="18">
      <c r="A8" s="1418" t="n"/>
      <c r="B8" s="1418" t="n"/>
      <c r="C8" s="1418" t="n"/>
      <c r="D8" s="975" t="inlineStr">
        <is>
          <t>количество</t>
        </is>
      </c>
      <c r="E8" s="975" t="inlineStr">
        <is>
          <t>цена за единицу измерения (руб.)</t>
        </is>
      </c>
      <c r="F8" s="975" t="inlineStr">
        <is>
          <t>транспортно-заготовительные затраты (%)</t>
        </is>
      </c>
      <c r="G8" s="975" t="inlineStr">
        <is>
          <t>стоимость (руб.) 
(гр.4*гр.5+гр.4*гр.5*гр.6)</t>
        </is>
      </c>
      <c r="H8" s="1062" t="inlineStr">
        <is>
          <t>в том числе:</t>
        </is>
      </c>
      <c r="I8" s="1412" t="n"/>
      <c r="J8" s="1410" t="n"/>
      <c r="K8" s="975" t="inlineStr">
        <is>
          <t>обосновывающие документы</t>
        </is>
      </c>
      <c r="L8" s="975" t="inlineStr">
        <is>
          <t>метод определения цены</t>
        </is>
      </c>
      <c r="M8" s="1206" t="inlineStr">
        <is>
          <t>наименование</t>
        </is>
      </c>
      <c r="N8" s="1417" t="n"/>
      <c r="O8" s="1206" t="inlineStr">
        <is>
          <t>ИНН</t>
        </is>
      </c>
    </row>
    <row r="9" ht="24" customFormat="1" customHeight="1" s="18">
      <c r="A9" s="1418" t="n"/>
      <c r="B9" s="1418" t="n"/>
      <c r="C9" s="1418" t="n"/>
      <c r="D9" s="1418" t="n"/>
      <c r="E9" s="1418" t="n"/>
      <c r="F9" s="1418" t="n"/>
      <c r="G9" s="1418" t="n"/>
      <c r="H9" s="849" t="inlineStr">
        <is>
          <t>затраты
(на __.__.____ г.)</t>
        </is>
      </c>
      <c r="I9" s="1410" t="n"/>
      <c r="J9" s="849" t="inlineStr">
        <is>
          <t>плановые затраты
(с __.__.____ г. по __.__.____ г.)</t>
        </is>
      </c>
      <c r="K9" s="1418" t="n"/>
      <c r="L9" s="1418" t="n"/>
      <c r="M9" s="1419" t="n"/>
      <c r="N9" s="1420" t="n"/>
      <c r="O9" s="1418" t="n"/>
    </row>
    <row r="10" ht="18.75" customFormat="1" customHeight="1" s="18">
      <c r="A10" s="1413" t="n"/>
      <c r="B10" s="1413" t="n"/>
      <c r="C10" s="1413" t="n"/>
      <c r="D10" s="1413" t="n"/>
      <c r="E10" s="1413" t="n"/>
      <c r="F10" s="1413" t="n"/>
      <c r="G10" s="1413" t="n"/>
      <c r="H10" s="849" t="inlineStr">
        <is>
          <t>план</t>
        </is>
      </c>
      <c r="I10" s="849" t="inlineStr">
        <is>
          <t>факт</t>
        </is>
      </c>
      <c r="J10" s="1413" t="n"/>
      <c r="K10" s="1413" t="n"/>
      <c r="L10" s="1413" t="n"/>
      <c r="M10" s="1414" t="n"/>
      <c r="N10" s="1421" t="n"/>
      <c r="O10" s="1413" t="n"/>
    </row>
    <row r="11" customFormat="1" s="3">
      <c r="A11" s="1062" t="n">
        <v>1</v>
      </c>
      <c r="B11" s="1062" t="n">
        <v>2</v>
      </c>
      <c r="C11" s="1062" t="n">
        <v>3</v>
      </c>
      <c r="D11" s="1062" t="n">
        <v>4</v>
      </c>
      <c r="E11" s="1062" t="n">
        <v>5</v>
      </c>
      <c r="F11" s="1062" t="n">
        <v>6</v>
      </c>
      <c r="G11" s="1062" t="n">
        <v>7</v>
      </c>
      <c r="H11" s="1069" t="inlineStr">
        <is>
          <t>7.1.1</t>
        </is>
      </c>
      <c r="I11" s="1069" t="inlineStr">
        <is>
          <t>7.1.2</t>
        </is>
      </c>
      <c r="J11" s="1069" t="inlineStr">
        <is>
          <t>7.2</t>
        </is>
      </c>
      <c r="K11" s="1069" t="inlineStr">
        <is>
          <t>8.1</t>
        </is>
      </c>
      <c r="L11" s="1069" t="inlineStr">
        <is>
          <t>8.2</t>
        </is>
      </c>
      <c r="M11" s="1062" t="n">
        <v>9</v>
      </c>
      <c r="N11" s="1410" t="n"/>
      <c r="O11" s="1062" t="n">
        <v>10</v>
      </c>
    </row>
    <row r="12" ht="33" customFormat="1" customHeight="1" s="46">
      <c r="A12" s="232" t="inlineStr">
        <is>
          <t>1.</t>
        </is>
      </c>
      <c r="B12" s="206" t="inlineStr">
        <is>
          <t>Приобретаемое специальное
оборудование</t>
        </is>
      </c>
      <c r="C12" s="233" t="inlineStr">
        <is>
          <t>-</t>
        </is>
      </c>
      <c r="D12" s="233" t="inlineStr">
        <is>
          <t>-</t>
        </is>
      </c>
      <c r="E12" s="233" t="inlineStr">
        <is>
          <t>-</t>
        </is>
      </c>
      <c r="F12" s="233" t="inlineStr">
        <is>
          <t>-</t>
        </is>
      </c>
      <c r="G12" s="233" t="inlineStr">
        <is>
          <t>-</t>
        </is>
      </c>
      <c r="H12" s="233" t="inlineStr">
        <is>
          <t>-</t>
        </is>
      </c>
      <c r="I12" s="233" t="inlineStr">
        <is>
          <t>-</t>
        </is>
      </c>
      <c r="J12" s="233" t="inlineStr">
        <is>
          <t>-</t>
        </is>
      </c>
      <c r="K12" s="233" t="inlineStr">
        <is>
          <t>-</t>
        </is>
      </c>
      <c r="L12" s="233" t="inlineStr">
        <is>
          <t>-</t>
        </is>
      </c>
      <c r="M12" s="234" t="inlineStr">
        <is>
          <t>-</t>
        </is>
      </c>
      <c r="N12" s="1410" t="n"/>
      <c r="O12" s="234" t="inlineStr">
        <is>
          <t>-</t>
        </is>
      </c>
    </row>
    <row r="13" ht="14.25" customFormat="1" customHeight="1" s="18">
      <c r="A13" s="232" t="inlineStr">
        <is>
          <t>1.1</t>
        </is>
      </c>
      <c r="B13" s="975" t="inlineStr">
        <is>
          <t>-</t>
        </is>
      </c>
      <c r="C13" s="974" t="inlineStr">
        <is>
          <t>-</t>
        </is>
      </c>
      <c r="D13" s="974" t="inlineStr">
        <is>
          <t>-</t>
        </is>
      </c>
      <c r="E13" s="974" t="inlineStr">
        <is>
          <t>-</t>
        </is>
      </c>
      <c r="F13" s="974" t="inlineStr">
        <is>
          <t>-</t>
        </is>
      </c>
      <c r="G13" s="974" t="inlineStr">
        <is>
          <t>-</t>
        </is>
      </c>
      <c r="H13" s="974" t="inlineStr">
        <is>
          <t>-</t>
        </is>
      </c>
      <c r="I13" s="974" t="inlineStr">
        <is>
          <t>-</t>
        </is>
      </c>
      <c r="J13" s="974" t="inlineStr">
        <is>
          <t>-</t>
        </is>
      </c>
      <c r="K13" s="974" t="inlineStr">
        <is>
          <t>-</t>
        </is>
      </c>
      <c r="L13" s="974" t="inlineStr">
        <is>
          <t>-</t>
        </is>
      </c>
      <c r="M13" s="234" t="inlineStr">
        <is>
          <t>-</t>
        </is>
      </c>
      <c r="N13" s="1410" t="n"/>
      <c r="O13" s="235" t="inlineStr">
        <is>
          <t>-</t>
        </is>
      </c>
    </row>
    <row r="14" ht="43.5" customFormat="1" customHeight="1" s="46">
      <c r="A14" s="232" t="inlineStr">
        <is>
          <t>2.</t>
        </is>
      </c>
      <c r="B14" s="206" t="inlineStr">
        <is>
          <t>Специальное оборудование, изготавливаемое собственными силами</t>
        </is>
      </c>
      <c r="C14" s="233" t="inlineStr">
        <is>
          <t>-</t>
        </is>
      </c>
      <c r="D14" s="233" t="inlineStr">
        <is>
          <t>-</t>
        </is>
      </c>
      <c r="E14" s="233" t="inlineStr">
        <is>
          <t>-</t>
        </is>
      </c>
      <c r="F14" s="235" t="inlineStr">
        <is>
          <t>X</t>
        </is>
      </c>
      <c r="G14" s="233" t="inlineStr">
        <is>
          <t>-</t>
        </is>
      </c>
      <c r="H14" s="233" t="inlineStr">
        <is>
          <t>-</t>
        </is>
      </c>
      <c r="I14" s="233" t="inlineStr">
        <is>
          <t>-</t>
        </is>
      </c>
      <c r="J14" s="233" t="inlineStr">
        <is>
          <t>-</t>
        </is>
      </c>
      <c r="K14" s="235" t="inlineStr">
        <is>
          <t>X</t>
        </is>
      </c>
      <c r="L14" s="235" t="inlineStr">
        <is>
          <t>X</t>
        </is>
      </c>
      <c r="M14" s="235" t="inlineStr">
        <is>
          <t>X</t>
        </is>
      </c>
      <c r="N14" s="1410" t="n"/>
      <c r="O14" s="235" t="inlineStr">
        <is>
          <t>X</t>
        </is>
      </c>
    </row>
    <row r="15" ht="14.25" customFormat="1" customHeight="1" s="18">
      <c r="A15" s="232" t="inlineStr">
        <is>
          <t>2.1</t>
        </is>
      </c>
      <c r="B15" s="975" t="inlineStr">
        <is>
          <t>-</t>
        </is>
      </c>
      <c r="C15" s="974" t="inlineStr">
        <is>
          <t>-</t>
        </is>
      </c>
      <c r="D15" s="974" t="inlineStr">
        <is>
          <t>-</t>
        </is>
      </c>
      <c r="E15" s="974" t="inlineStr">
        <is>
          <t>-</t>
        </is>
      </c>
      <c r="F15" s="235" t="inlineStr">
        <is>
          <t>X</t>
        </is>
      </c>
      <c r="G15" s="974" t="inlineStr">
        <is>
          <t>-</t>
        </is>
      </c>
      <c r="H15" s="974" t="inlineStr">
        <is>
          <t>-</t>
        </is>
      </c>
      <c r="I15" s="974" t="inlineStr">
        <is>
          <t>-</t>
        </is>
      </c>
      <c r="J15" s="974" t="inlineStr">
        <is>
          <t>-</t>
        </is>
      </c>
      <c r="K15" s="235" t="inlineStr">
        <is>
          <t>X</t>
        </is>
      </c>
      <c r="L15" s="235" t="inlineStr">
        <is>
          <t>X</t>
        </is>
      </c>
      <c r="M15" s="235" t="inlineStr">
        <is>
          <t>X</t>
        </is>
      </c>
      <c r="N15" s="1410" t="n"/>
      <c r="O15" s="235" t="inlineStr">
        <is>
          <t>X</t>
        </is>
      </c>
    </row>
    <row r="16" ht="14.25" customFormat="1" customHeight="1" s="46">
      <c r="A16" s="232" t="n"/>
      <c r="B16" s="236" t="inlineStr">
        <is>
          <t>ИТОГО по этапу (году)</t>
        </is>
      </c>
      <c r="C16" s="233" t="inlineStr">
        <is>
          <t>-</t>
        </is>
      </c>
      <c r="D16" s="233" t="inlineStr">
        <is>
          <t>-</t>
        </is>
      </c>
      <c r="E16" s="233" t="inlineStr">
        <is>
          <t>-</t>
        </is>
      </c>
      <c r="F16" s="234" t="inlineStr">
        <is>
          <t>-</t>
        </is>
      </c>
      <c r="G16" s="233" t="inlineStr">
        <is>
          <t>-</t>
        </is>
      </c>
      <c r="H16" s="233" t="inlineStr">
        <is>
          <t>-</t>
        </is>
      </c>
      <c r="I16" s="233" t="inlineStr">
        <is>
          <t>-</t>
        </is>
      </c>
      <c r="J16" s="233" t="inlineStr">
        <is>
          <t>-</t>
        </is>
      </c>
      <c r="K16" s="235" t="inlineStr">
        <is>
          <t>X</t>
        </is>
      </c>
      <c r="L16" s="235" t="inlineStr">
        <is>
          <t>X</t>
        </is>
      </c>
      <c r="M16" s="235" t="inlineStr">
        <is>
          <t>X</t>
        </is>
      </c>
      <c r="N16" s="1410" t="n"/>
      <c r="O16" s="235" t="inlineStr">
        <is>
          <t>X</t>
        </is>
      </c>
    </row>
    <row r="17" ht="9.75" customFormat="1" customHeight="1" s="18">
      <c r="A17" s="237" t="n"/>
      <c r="B17" s="288" t="n"/>
      <c r="C17" s="47" t="n"/>
      <c r="D17" s="47" t="n"/>
      <c r="E17" s="47" t="n"/>
      <c r="F17" s="47" t="n"/>
      <c r="G17" s="47" t="n"/>
      <c r="H17" s="47" t="n"/>
      <c r="I17" s="47" t="n"/>
      <c r="J17" s="47" t="n"/>
      <c r="K17" s="47" t="n"/>
      <c r="L17" s="238" t="n"/>
      <c r="M17" s="238" t="n"/>
      <c r="N17" s="238" t="n"/>
      <c r="O17" s="238" t="n"/>
    </row>
    <row r="18" ht="21" customFormat="1" customHeight="1" s="18">
      <c r="A18" s="954" t="n"/>
      <c r="B18" s="954" t="n"/>
      <c r="C18" s="954" t="n"/>
      <c r="D18" s="954" t="n"/>
      <c r="E18" s="228" t="n"/>
      <c r="F18" s="24" t="n"/>
      <c r="G18" s="954" t="n"/>
      <c r="H18" s="954" t="n"/>
      <c r="I18" s="954" t="n"/>
      <c r="J18" s="954" t="n"/>
      <c r="K18" s="954" t="n"/>
      <c r="L18" s="954" t="n"/>
      <c r="M18" s="954" t="n"/>
      <c r="N18" s="954" t="n"/>
      <c r="O18" s="831" t="n"/>
    </row>
    <row r="19" ht="18" customFormat="1" customHeight="1" s="18">
      <c r="A19" s="30" t="n"/>
      <c r="B19" s="1157" t="inlineStr">
        <is>
          <t>Начальник ОФЭиАУ НИОКР</t>
        </is>
      </c>
      <c r="D19" s="108" t="n"/>
      <c r="E19" s="108" t="n"/>
      <c r="F19" s="1157" t="inlineStr">
        <is>
          <t>Ответственный исполнитель</t>
        </is>
      </c>
      <c r="K19" s="1157" t="inlineStr">
        <is>
          <t>Руководитель договора</t>
        </is>
      </c>
    </row>
    <row r="20" ht="39.75" customFormat="1" customHeight="1" s="18">
      <c r="A20" s="30" t="n"/>
      <c r="B20" s="2" t="inlineStr">
        <is>
          <t>_____________________ Н.О. Васецкая</t>
        </is>
      </c>
      <c r="C20" s="31" t="n"/>
      <c r="D20" s="31" t="n"/>
      <c r="E20" s="31" t="n"/>
      <c r="F20" s="484" t="inlineStr">
        <is>
          <t>_____________________ И.О. Фамилия</t>
        </is>
      </c>
      <c r="G20" s="22" t="n"/>
      <c r="H20" s="22" t="n"/>
      <c r="I20" s="22" t="n"/>
      <c r="K20" s="484" t="inlineStr">
        <is>
          <t>_____________________ А.И. Боровков</t>
        </is>
      </c>
      <c r="L20" s="22" t="n"/>
      <c r="M20" s="3" t="n"/>
      <c r="N20" s="3" t="n"/>
      <c r="O20" s="3" t="n"/>
    </row>
    <row r="21" ht="18" customFormat="1" customHeight="1" s="18">
      <c r="A21" s="24" t="n"/>
      <c r="B21" s="63" t="inlineStr">
        <is>
          <t xml:space="preserve">  (подпись)                                     (Ф.И.О.)</t>
        </is>
      </c>
      <c r="C21" s="31" t="n"/>
      <c r="D21" s="31" t="n"/>
      <c r="E21" s="31" t="n"/>
      <c r="F21" s="63" t="inlineStr">
        <is>
          <t xml:space="preserve">  (подпись)                                        (Ф.И.О.)</t>
        </is>
      </c>
      <c r="G21" s="190" t="n"/>
      <c r="H21" s="190" t="n"/>
      <c r="I21" s="190" t="n"/>
      <c r="K21" s="63" t="inlineStr">
        <is>
          <t xml:space="preserve">  (подпись)                                        (Ф.И.О.)</t>
        </is>
      </c>
      <c r="L21" s="190" t="n"/>
    </row>
    <row r="22" ht="18" customFormat="1" customHeight="1" s="18">
      <c r="A22" s="237" t="n"/>
      <c r="B22" s="1239" t="inlineStr">
        <is>
          <t>«____» __________________ 2025 г.</t>
        </is>
      </c>
      <c r="C22" s="22" t="n"/>
      <c r="D22" s="22" t="n"/>
      <c r="E22" s="22" t="n"/>
      <c r="F22" s="1239" t="inlineStr">
        <is>
          <t>«____» __________________ 2025 г.</t>
        </is>
      </c>
      <c r="G22" s="22" t="n"/>
      <c r="H22" s="22" t="n"/>
      <c r="I22" s="22" t="n"/>
      <c r="K22" s="1239" t="inlineStr">
        <is>
          <t>«____» __________________ 2025 г.</t>
        </is>
      </c>
      <c r="L22" s="22" t="n"/>
      <c r="M22" s="238" t="n"/>
      <c r="N22" s="238" t="n"/>
      <c r="O22" s="238" t="n"/>
    </row>
    <row r="23" ht="11.25" customFormat="1" customHeight="1" s="18">
      <c r="A23" s="479" t="n"/>
      <c r="B23" s="225" t="n"/>
      <c r="C23" s="228" t="n"/>
      <c r="D23" s="24" t="n"/>
      <c r="E23" s="24" t="n"/>
    </row>
    <row r="24" ht="26.25" customFormat="1" customHeight="1" s="18">
      <c r="A24" s="239" t="n"/>
      <c r="B24" s="13" t="n"/>
      <c r="C24" s="228" t="n"/>
      <c r="D24" s="24" t="n"/>
      <c r="E24" s="24" t="n"/>
    </row>
    <row r="25" ht="22.5" customFormat="1" customHeight="1" s="3">
      <c r="A25" s="228" t="n"/>
      <c r="B25" s="228" t="n"/>
      <c r="C25" s="228" t="n"/>
      <c r="D25" s="24" t="n"/>
      <c r="E25" s="24" t="n"/>
    </row>
    <row r="26" ht="33.75" customFormat="1" customHeight="1" s="18">
      <c r="A26" s="228" t="n"/>
      <c r="B26" s="228" t="n"/>
      <c r="C26" s="228" t="n"/>
      <c r="D26" s="24" t="n"/>
      <c r="E26" s="24" t="n"/>
      <c r="H26" s="24" t="n"/>
      <c r="I26" s="24" t="n"/>
    </row>
    <row r="27" ht="18.75" customHeight="1" s="794">
      <c r="A27" s="228" t="n"/>
      <c r="B27" s="228" t="n"/>
      <c r="C27" s="228" t="n"/>
    </row>
    <row r="28" ht="18" customHeight="1" s="794">
      <c r="A28" s="228" t="n"/>
      <c r="B28" s="228" t="n"/>
      <c r="C28" s="228" t="n"/>
    </row>
    <row r="29" ht="17.25" customHeight="1" s="794">
      <c r="A29" s="228" t="n"/>
      <c r="B29" s="228" t="n"/>
      <c r="C29" s="228" t="n"/>
    </row>
    <row r="40">
      <c r="B40" s="954" t="n"/>
    </row>
  </sheetData>
  <mergeCells count="30">
    <mergeCell ref="J9:J10"/>
    <mergeCell ref="M7:O7"/>
    <mergeCell ref="D8:D10"/>
    <mergeCell ref="H9:I9"/>
    <mergeCell ref="A3:O3"/>
    <mergeCell ref="B5:N5"/>
    <mergeCell ref="O8:O10"/>
    <mergeCell ref="M11:N11"/>
    <mergeCell ref="A7:A10"/>
    <mergeCell ref="B4:N4"/>
    <mergeCell ref="F19:I19"/>
    <mergeCell ref="G8:G10"/>
    <mergeCell ref="M13:N13"/>
    <mergeCell ref="M16:N16"/>
    <mergeCell ref="M15:N15"/>
    <mergeCell ref="E8:E10"/>
    <mergeCell ref="M12:N12"/>
    <mergeCell ref="B19:C19"/>
    <mergeCell ref="H8:J8"/>
    <mergeCell ref="C7:C10"/>
    <mergeCell ref="K7:L7"/>
    <mergeCell ref="L8:L10"/>
    <mergeCell ref="M14:N14"/>
    <mergeCell ref="D7:J7"/>
    <mergeCell ref="M1:O1"/>
    <mergeCell ref="K19:L19"/>
    <mergeCell ref="M8:N10"/>
    <mergeCell ref="K8:K10"/>
    <mergeCell ref="B7:B10"/>
    <mergeCell ref="F8:F10"/>
  </mergeCells>
  <printOptions horizontalCentered="1"/>
  <pageMargins left="0.25" right="0.25" top="0.75" bottom="0.75" header="0.3" footer="0.3"/>
  <pageSetup orientation="landscape" paperSize="9" scale="67" firstPageNumber="16"/>
</worksheet>
</file>

<file path=xl/worksheets/sheet24.xml><?xml version="1.0" encoding="utf-8"?>
<worksheet xmlns="http://schemas.openxmlformats.org/spreadsheetml/2006/main">
  <sheetPr>
    <tabColor theme="4" tint="0.7999816888943144"/>
    <outlinePr summaryBelow="1" summaryRight="1"/>
    <pageSetUpPr fitToPage="1"/>
  </sheetPr>
  <dimension ref="A1:L59"/>
  <sheetViews>
    <sheetView view="pageBreakPreview" zoomScale="70" zoomScaleNormal="100" zoomScaleSheetLayoutView="70" workbookViewId="0">
      <selection activeCell="A6" sqref="A6:J6"/>
    </sheetView>
  </sheetViews>
  <sheetFormatPr baseColWidth="8" defaultColWidth="0.85546875" defaultRowHeight="15"/>
  <cols>
    <col width="6.140625" bestFit="1" customWidth="1" style="48" min="1" max="1"/>
    <col width="71.42578125" customWidth="1" style="48" min="2" max="2"/>
    <col width="17.85546875" customWidth="1" style="48" min="3" max="3"/>
    <col width="13.7109375" customWidth="1" style="48" min="4" max="4"/>
    <col width="13.85546875" customWidth="1" style="48" min="5" max="5"/>
    <col width="15.28515625" customWidth="1" style="48" min="6" max="6"/>
    <col width="21.5703125" customWidth="1" style="48" min="7" max="7"/>
    <col width="12.5703125" customWidth="1" style="48" min="8" max="8"/>
    <col width="18.85546875" customWidth="1" style="48" min="9" max="9"/>
    <col width="13.42578125" customWidth="1" style="48" min="10" max="10"/>
    <col width="0.85546875" customWidth="1" style="48" min="11" max="256"/>
    <col width="6.140625" bestFit="1" customWidth="1" style="48" min="257" max="257"/>
    <col width="71.42578125" customWidth="1" style="48" min="258" max="258"/>
    <col width="20.5703125" customWidth="1" style="48" min="259" max="259"/>
    <col width="15.5703125" customWidth="1" style="48" min="260" max="260"/>
    <col width="15.28515625" customWidth="1" style="48" min="261" max="262"/>
    <col width="21.5703125" customWidth="1" style="48" min="263" max="263"/>
    <col width="14.42578125" customWidth="1" style="48" min="264" max="264"/>
    <col width="18.85546875" customWidth="1" style="48" min="265" max="265"/>
    <col width="14.42578125" customWidth="1" style="48" min="266" max="266"/>
    <col width="0.85546875" customWidth="1" style="48" min="267" max="512"/>
    <col width="6.140625" bestFit="1" customWidth="1" style="48" min="513" max="513"/>
    <col width="71.42578125" customWidth="1" style="48" min="514" max="514"/>
    <col width="20.5703125" customWidth="1" style="48" min="515" max="515"/>
    <col width="15.5703125" customWidth="1" style="48" min="516" max="516"/>
    <col width="15.28515625" customWidth="1" style="48" min="517" max="518"/>
    <col width="21.5703125" customWidth="1" style="48" min="519" max="519"/>
    <col width="14.42578125" customWidth="1" style="48" min="520" max="520"/>
    <col width="18.85546875" customWidth="1" style="48" min="521" max="521"/>
    <col width="14.42578125" customWidth="1" style="48" min="522" max="522"/>
    <col width="0.85546875" customWidth="1" style="48" min="523" max="768"/>
    <col width="6.140625" bestFit="1" customWidth="1" style="48" min="769" max="769"/>
    <col width="71.42578125" customWidth="1" style="48" min="770" max="770"/>
    <col width="20.5703125" customWidth="1" style="48" min="771" max="771"/>
    <col width="15.5703125" customWidth="1" style="48" min="772" max="772"/>
    <col width="15.28515625" customWidth="1" style="48" min="773" max="774"/>
    <col width="21.5703125" customWidth="1" style="48" min="775" max="775"/>
    <col width="14.42578125" customWidth="1" style="48" min="776" max="776"/>
    <col width="18.85546875" customWidth="1" style="48" min="777" max="777"/>
    <col width="14.42578125" customWidth="1" style="48" min="778" max="778"/>
    <col width="0.85546875" customWidth="1" style="48" min="779" max="1024"/>
    <col width="6.140625" bestFit="1" customWidth="1" style="48" min="1025" max="1025"/>
    <col width="71.42578125" customWidth="1" style="48" min="1026" max="1026"/>
    <col width="20.5703125" customWidth="1" style="48" min="1027" max="1027"/>
    <col width="15.5703125" customWidth="1" style="48" min="1028" max="1028"/>
    <col width="15.28515625" customWidth="1" style="48" min="1029" max="1030"/>
    <col width="21.5703125" customWidth="1" style="48" min="1031" max="1031"/>
    <col width="14.42578125" customWidth="1" style="48" min="1032" max="1032"/>
    <col width="18.85546875" customWidth="1" style="48" min="1033" max="1033"/>
    <col width="14.42578125" customWidth="1" style="48" min="1034" max="1034"/>
    <col width="0.85546875" customWidth="1" style="48" min="1035" max="1280"/>
    <col width="6.140625" bestFit="1" customWidth="1" style="48" min="1281" max="1281"/>
    <col width="71.42578125" customWidth="1" style="48" min="1282" max="1282"/>
    <col width="20.5703125" customWidth="1" style="48" min="1283" max="1283"/>
    <col width="15.5703125" customWidth="1" style="48" min="1284" max="1284"/>
    <col width="15.28515625" customWidth="1" style="48" min="1285" max="1286"/>
    <col width="21.5703125" customWidth="1" style="48" min="1287" max="1287"/>
    <col width="14.42578125" customWidth="1" style="48" min="1288" max="1288"/>
    <col width="18.85546875" customWidth="1" style="48" min="1289" max="1289"/>
    <col width="14.42578125" customWidth="1" style="48" min="1290" max="1290"/>
    <col width="0.85546875" customWidth="1" style="48" min="1291" max="1536"/>
    <col width="6.140625" bestFit="1" customWidth="1" style="48" min="1537" max="1537"/>
    <col width="71.42578125" customWidth="1" style="48" min="1538" max="1538"/>
    <col width="20.5703125" customWidth="1" style="48" min="1539" max="1539"/>
    <col width="15.5703125" customWidth="1" style="48" min="1540" max="1540"/>
    <col width="15.28515625" customWidth="1" style="48" min="1541" max="1542"/>
    <col width="21.5703125" customWidth="1" style="48" min="1543" max="1543"/>
    <col width="14.42578125" customWidth="1" style="48" min="1544" max="1544"/>
    <col width="18.85546875" customWidth="1" style="48" min="1545" max="1545"/>
    <col width="14.42578125" customWidth="1" style="48" min="1546" max="1546"/>
    <col width="0.85546875" customWidth="1" style="48" min="1547" max="1792"/>
    <col width="6.140625" bestFit="1" customWidth="1" style="48" min="1793" max="1793"/>
    <col width="71.42578125" customWidth="1" style="48" min="1794" max="1794"/>
    <col width="20.5703125" customWidth="1" style="48" min="1795" max="1795"/>
    <col width="15.5703125" customWidth="1" style="48" min="1796" max="1796"/>
    <col width="15.28515625" customWidth="1" style="48" min="1797" max="1798"/>
    <col width="21.5703125" customWidth="1" style="48" min="1799" max="1799"/>
    <col width="14.42578125" customWidth="1" style="48" min="1800" max="1800"/>
    <col width="18.85546875" customWidth="1" style="48" min="1801" max="1801"/>
    <col width="14.42578125" customWidth="1" style="48" min="1802" max="1802"/>
    <col width="0.85546875" customWidth="1" style="48" min="1803" max="2048"/>
    <col width="6.140625" bestFit="1" customWidth="1" style="48" min="2049" max="2049"/>
    <col width="71.42578125" customWidth="1" style="48" min="2050" max="2050"/>
    <col width="20.5703125" customWidth="1" style="48" min="2051" max="2051"/>
    <col width="15.5703125" customWidth="1" style="48" min="2052" max="2052"/>
    <col width="15.28515625" customWidth="1" style="48" min="2053" max="2054"/>
    <col width="21.5703125" customWidth="1" style="48" min="2055" max="2055"/>
    <col width="14.42578125" customWidth="1" style="48" min="2056" max="2056"/>
    <col width="18.85546875" customWidth="1" style="48" min="2057" max="2057"/>
    <col width="14.42578125" customWidth="1" style="48" min="2058" max="2058"/>
    <col width="0.85546875" customWidth="1" style="48" min="2059" max="2304"/>
    <col width="6.140625" bestFit="1" customWidth="1" style="48" min="2305" max="2305"/>
    <col width="71.42578125" customWidth="1" style="48" min="2306" max="2306"/>
    <col width="20.5703125" customWidth="1" style="48" min="2307" max="2307"/>
    <col width="15.5703125" customWidth="1" style="48" min="2308" max="2308"/>
    <col width="15.28515625" customWidth="1" style="48" min="2309" max="2310"/>
    <col width="21.5703125" customWidth="1" style="48" min="2311" max="2311"/>
    <col width="14.42578125" customWidth="1" style="48" min="2312" max="2312"/>
    <col width="18.85546875" customWidth="1" style="48" min="2313" max="2313"/>
    <col width="14.42578125" customWidth="1" style="48" min="2314" max="2314"/>
    <col width="0.85546875" customWidth="1" style="48" min="2315" max="2560"/>
    <col width="6.140625" bestFit="1" customWidth="1" style="48" min="2561" max="2561"/>
    <col width="71.42578125" customWidth="1" style="48" min="2562" max="2562"/>
    <col width="20.5703125" customWidth="1" style="48" min="2563" max="2563"/>
    <col width="15.5703125" customWidth="1" style="48" min="2564" max="2564"/>
    <col width="15.28515625" customWidth="1" style="48" min="2565" max="2566"/>
    <col width="21.5703125" customWidth="1" style="48" min="2567" max="2567"/>
    <col width="14.42578125" customWidth="1" style="48" min="2568" max="2568"/>
    <col width="18.85546875" customWidth="1" style="48" min="2569" max="2569"/>
    <col width="14.42578125" customWidth="1" style="48" min="2570" max="2570"/>
    <col width="0.85546875" customWidth="1" style="48" min="2571" max="2816"/>
    <col width="6.140625" bestFit="1" customWidth="1" style="48" min="2817" max="2817"/>
    <col width="71.42578125" customWidth="1" style="48" min="2818" max="2818"/>
    <col width="20.5703125" customWidth="1" style="48" min="2819" max="2819"/>
    <col width="15.5703125" customWidth="1" style="48" min="2820" max="2820"/>
    <col width="15.28515625" customWidth="1" style="48" min="2821" max="2822"/>
    <col width="21.5703125" customWidth="1" style="48" min="2823" max="2823"/>
    <col width="14.42578125" customWidth="1" style="48" min="2824" max="2824"/>
    <col width="18.85546875" customWidth="1" style="48" min="2825" max="2825"/>
    <col width="14.42578125" customWidth="1" style="48" min="2826" max="2826"/>
    <col width="0.85546875" customWidth="1" style="48" min="2827" max="3072"/>
    <col width="6.140625" bestFit="1" customWidth="1" style="48" min="3073" max="3073"/>
    <col width="71.42578125" customWidth="1" style="48" min="3074" max="3074"/>
    <col width="20.5703125" customWidth="1" style="48" min="3075" max="3075"/>
    <col width="15.5703125" customWidth="1" style="48" min="3076" max="3076"/>
    <col width="15.28515625" customWidth="1" style="48" min="3077" max="3078"/>
    <col width="21.5703125" customWidth="1" style="48" min="3079" max="3079"/>
    <col width="14.42578125" customWidth="1" style="48" min="3080" max="3080"/>
    <col width="18.85546875" customWidth="1" style="48" min="3081" max="3081"/>
    <col width="14.42578125" customWidth="1" style="48" min="3082" max="3082"/>
    <col width="0.85546875" customWidth="1" style="48" min="3083" max="3328"/>
    <col width="6.140625" bestFit="1" customWidth="1" style="48" min="3329" max="3329"/>
    <col width="71.42578125" customWidth="1" style="48" min="3330" max="3330"/>
    <col width="20.5703125" customWidth="1" style="48" min="3331" max="3331"/>
    <col width="15.5703125" customWidth="1" style="48" min="3332" max="3332"/>
    <col width="15.28515625" customWidth="1" style="48" min="3333" max="3334"/>
    <col width="21.5703125" customWidth="1" style="48" min="3335" max="3335"/>
    <col width="14.42578125" customWidth="1" style="48" min="3336" max="3336"/>
    <col width="18.85546875" customWidth="1" style="48" min="3337" max="3337"/>
    <col width="14.42578125" customWidth="1" style="48" min="3338" max="3338"/>
    <col width="0.85546875" customWidth="1" style="48" min="3339" max="3584"/>
    <col width="6.140625" bestFit="1" customWidth="1" style="48" min="3585" max="3585"/>
    <col width="71.42578125" customWidth="1" style="48" min="3586" max="3586"/>
    <col width="20.5703125" customWidth="1" style="48" min="3587" max="3587"/>
    <col width="15.5703125" customWidth="1" style="48" min="3588" max="3588"/>
    <col width="15.28515625" customWidth="1" style="48" min="3589" max="3590"/>
    <col width="21.5703125" customWidth="1" style="48" min="3591" max="3591"/>
    <col width="14.42578125" customWidth="1" style="48" min="3592" max="3592"/>
    <col width="18.85546875" customWidth="1" style="48" min="3593" max="3593"/>
    <col width="14.42578125" customWidth="1" style="48" min="3594" max="3594"/>
    <col width="0.85546875" customWidth="1" style="48" min="3595" max="3840"/>
    <col width="6.140625" bestFit="1" customWidth="1" style="48" min="3841" max="3841"/>
    <col width="71.42578125" customWidth="1" style="48" min="3842" max="3842"/>
    <col width="20.5703125" customWidth="1" style="48" min="3843" max="3843"/>
    <col width="15.5703125" customWidth="1" style="48" min="3844" max="3844"/>
    <col width="15.28515625" customWidth="1" style="48" min="3845" max="3846"/>
    <col width="21.5703125" customWidth="1" style="48" min="3847" max="3847"/>
    <col width="14.42578125" customWidth="1" style="48" min="3848" max="3848"/>
    <col width="18.85546875" customWidth="1" style="48" min="3849" max="3849"/>
    <col width="14.42578125" customWidth="1" style="48" min="3850" max="3850"/>
    <col width="0.85546875" customWidth="1" style="48" min="3851" max="4096"/>
    <col width="6.140625" bestFit="1" customWidth="1" style="48" min="4097" max="4097"/>
    <col width="71.42578125" customWidth="1" style="48" min="4098" max="4098"/>
    <col width="20.5703125" customWidth="1" style="48" min="4099" max="4099"/>
    <col width="15.5703125" customWidth="1" style="48" min="4100" max="4100"/>
    <col width="15.28515625" customWidth="1" style="48" min="4101" max="4102"/>
    <col width="21.5703125" customWidth="1" style="48" min="4103" max="4103"/>
    <col width="14.42578125" customWidth="1" style="48" min="4104" max="4104"/>
    <col width="18.85546875" customWidth="1" style="48" min="4105" max="4105"/>
    <col width="14.42578125" customWidth="1" style="48" min="4106" max="4106"/>
    <col width="0.85546875" customWidth="1" style="48" min="4107" max="4352"/>
    <col width="6.140625" bestFit="1" customWidth="1" style="48" min="4353" max="4353"/>
    <col width="71.42578125" customWidth="1" style="48" min="4354" max="4354"/>
    <col width="20.5703125" customWidth="1" style="48" min="4355" max="4355"/>
    <col width="15.5703125" customWidth="1" style="48" min="4356" max="4356"/>
    <col width="15.28515625" customWidth="1" style="48" min="4357" max="4358"/>
    <col width="21.5703125" customWidth="1" style="48" min="4359" max="4359"/>
    <col width="14.42578125" customWidth="1" style="48" min="4360" max="4360"/>
    <col width="18.85546875" customWidth="1" style="48" min="4361" max="4361"/>
    <col width="14.42578125" customWidth="1" style="48" min="4362" max="4362"/>
    <col width="0.85546875" customWidth="1" style="48" min="4363" max="4608"/>
    <col width="6.140625" bestFit="1" customWidth="1" style="48" min="4609" max="4609"/>
    <col width="71.42578125" customWidth="1" style="48" min="4610" max="4610"/>
    <col width="20.5703125" customWidth="1" style="48" min="4611" max="4611"/>
    <col width="15.5703125" customWidth="1" style="48" min="4612" max="4612"/>
    <col width="15.28515625" customWidth="1" style="48" min="4613" max="4614"/>
    <col width="21.5703125" customWidth="1" style="48" min="4615" max="4615"/>
    <col width="14.42578125" customWidth="1" style="48" min="4616" max="4616"/>
    <col width="18.85546875" customWidth="1" style="48" min="4617" max="4617"/>
    <col width="14.42578125" customWidth="1" style="48" min="4618" max="4618"/>
    <col width="0.85546875" customWidth="1" style="48" min="4619" max="4864"/>
    <col width="6.140625" bestFit="1" customWidth="1" style="48" min="4865" max="4865"/>
    <col width="71.42578125" customWidth="1" style="48" min="4866" max="4866"/>
    <col width="20.5703125" customWidth="1" style="48" min="4867" max="4867"/>
    <col width="15.5703125" customWidth="1" style="48" min="4868" max="4868"/>
    <col width="15.28515625" customWidth="1" style="48" min="4869" max="4870"/>
    <col width="21.5703125" customWidth="1" style="48" min="4871" max="4871"/>
    <col width="14.42578125" customWidth="1" style="48" min="4872" max="4872"/>
    <col width="18.85546875" customWidth="1" style="48" min="4873" max="4873"/>
    <col width="14.42578125" customWidth="1" style="48" min="4874" max="4874"/>
    <col width="0.85546875" customWidth="1" style="48" min="4875" max="5120"/>
    <col width="6.140625" bestFit="1" customWidth="1" style="48" min="5121" max="5121"/>
    <col width="71.42578125" customWidth="1" style="48" min="5122" max="5122"/>
    <col width="20.5703125" customWidth="1" style="48" min="5123" max="5123"/>
    <col width="15.5703125" customWidth="1" style="48" min="5124" max="5124"/>
    <col width="15.28515625" customWidth="1" style="48" min="5125" max="5126"/>
    <col width="21.5703125" customWidth="1" style="48" min="5127" max="5127"/>
    <col width="14.42578125" customWidth="1" style="48" min="5128" max="5128"/>
    <col width="18.85546875" customWidth="1" style="48" min="5129" max="5129"/>
    <col width="14.42578125" customWidth="1" style="48" min="5130" max="5130"/>
    <col width="0.85546875" customWidth="1" style="48" min="5131" max="5376"/>
    <col width="6.140625" bestFit="1" customWidth="1" style="48" min="5377" max="5377"/>
    <col width="71.42578125" customWidth="1" style="48" min="5378" max="5378"/>
    <col width="20.5703125" customWidth="1" style="48" min="5379" max="5379"/>
    <col width="15.5703125" customWidth="1" style="48" min="5380" max="5380"/>
    <col width="15.28515625" customWidth="1" style="48" min="5381" max="5382"/>
    <col width="21.5703125" customWidth="1" style="48" min="5383" max="5383"/>
    <col width="14.42578125" customWidth="1" style="48" min="5384" max="5384"/>
    <col width="18.85546875" customWidth="1" style="48" min="5385" max="5385"/>
    <col width="14.42578125" customWidth="1" style="48" min="5386" max="5386"/>
    <col width="0.85546875" customWidth="1" style="48" min="5387" max="5632"/>
    <col width="6.140625" bestFit="1" customWidth="1" style="48" min="5633" max="5633"/>
    <col width="71.42578125" customWidth="1" style="48" min="5634" max="5634"/>
    <col width="20.5703125" customWidth="1" style="48" min="5635" max="5635"/>
    <col width="15.5703125" customWidth="1" style="48" min="5636" max="5636"/>
    <col width="15.28515625" customWidth="1" style="48" min="5637" max="5638"/>
    <col width="21.5703125" customWidth="1" style="48" min="5639" max="5639"/>
    <col width="14.42578125" customWidth="1" style="48" min="5640" max="5640"/>
    <col width="18.85546875" customWidth="1" style="48" min="5641" max="5641"/>
    <col width="14.42578125" customWidth="1" style="48" min="5642" max="5642"/>
    <col width="0.85546875" customWidth="1" style="48" min="5643" max="5888"/>
    <col width="6.140625" bestFit="1" customWidth="1" style="48" min="5889" max="5889"/>
    <col width="71.42578125" customWidth="1" style="48" min="5890" max="5890"/>
    <col width="20.5703125" customWidth="1" style="48" min="5891" max="5891"/>
    <col width="15.5703125" customWidth="1" style="48" min="5892" max="5892"/>
    <col width="15.28515625" customWidth="1" style="48" min="5893" max="5894"/>
    <col width="21.5703125" customWidth="1" style="48" min="5895" max="5895"/>
    <col width="14.42578125" customWidth="1" style="48" min="5896" max="5896"/>
    <col width="18.85546875" customWidth="1" style="48" min="5897" max="5897"/>
    <col width="14.42578125" customWidth="1" style="48" min="5898" max="5898"/>
    <col width="0.85546875" customWidth="1" style="48" min="5899" max="6144"/>
    <col width="6.140625" bestFit="1" customWidth="1" style="48" min="6145" max="6145"/>
    <col width="71.42578125" customWidth="1" style="48" min="6146" max="6146"/>
    <col width="20.5703125" customWidth="1" style="48" min="6147" max="6147"/>
    <col width="15.5703125" customWidth="1" style="48" min="6148" max="6148"/>
    <col width="15.28515625" customWidth="1" style="48" min="6149" max="6150"/>
    <col width="21.5703125" customWidth="1" style="48" min="6151" max="6151"/>
    <col width="14.42578125" customWidth="1" style="48" min="6152" max="6152"/>
    <col width="18.85546875" customWidth="1" style="48" min="6153" max="6153"/>
    <col width="14.42578125" customWidth="1" style="48" min="6154" max="6154"/>
    <col width="0.85546875" customWidth="1" style="48" min="6155" max="6400"/>
    <col width="6.140625" bestFit="1" customWidth="1" style="48" min="6401" max="6401"/>
    <col width="71.42578125" customWidth="1" style="48" min="6402" max="6402"/>
    <col width="20.5703125" customWidth="1" style="48" min="6403" max="6403"/>
    <col width="15.5703125" customWidth="1" style="48" min="6404" max="6404"/>
    <col width="15.28515625" customWidth="1" style="48" min="6405" max="6406"/>
    <col width="21.5703125" customWidth="1" style="48" min="6407" max="6407"/>
    <col width="14.42578125" customWidth="1" style="48" min="6408" max="6408"/>
    <col width="18.85546875" customWidth="1" style="48" min="6409" max="6409"/>
    <col width="14.42578125" customWidth="1" style="48" min="6410" max="6410"/>
    <col width="0.85546875" customWidth="1" style="48" min="6411" max="6656"/>
    <col width="6.140625" bestFit="1" customWidth="1" style="48" min="6657" max="6657"/>
    <col width="71.42578125" customWidth="1" style="48" min="6658" max="6658"/>
    <col width="20.5703125" customWidth="1" style="48" min="6659" max="6659"/>
    <col width="15.5703125" customWidth="1" style="48" min="6660" max="6660"/>
    <col width="15.28515625" customWidth="1" style="48" min="6661" max="6662"/>
    <col width="21.5703125" customWidth="1" style="48" min="6663" max="6663"/>
    <col width="14.42578125" customWidth="1" style="48" min="6664" max="6664"/>
    <col width="18.85546875" customWidth="1" style="48" min="6665" max="6665"/>
    <col width="14.42578125" customWidth="1" style="48" min="6666" max="6666"/>
    <col width="0.85546875" customWidth="1" style="48" min="6667" max="6912"/>
    <col width="6.140625" bestFit="1" customWidth="1" style="48" min="6913" max="6913"/>
    <col width="71.42578125" customWidth="1" style="48" min="6914" max="6914"/>
    <col width="20.5703125" customWidth="1" style="48" min="6915" max="6915"/>
    <col width="15.5703125" customWidth="1" style="48" min="6916" max="6916"/>
    <col width="15.28515625" customWidth="1" style="48" min="6917" max="6918"/>
    <col width="21.5703125" customWidth="1" style="48" min="6919" max="6919"/>
    <col width="14.42578125" customWidth="1" style="48" min="6920" max="6920"/>
    <col width="18.85546875" customWidth="1" style="48" min="6921" max="6921"/>
    <col width="14.42578125" customWidth="1" style="48" min="6922" max="6922"/>
    <col width="0.85546875" customWidth="1" style="48" min="6923" max="7168"/>
    <col width="6.140625" bestFit="1" customWidth="1" style="48" min="7169" max="7169"/>
    <col width="71.42578125" customWidth="1" style="48" min="7170" max="7170"/>
    <col width="20.5703125" customWidth="1" style="48" min="7171" max="7171"/>
    <col width="15.5703125" customWidth="1" style="48" min="7172" max="7172"/>
    <col width="15.28515625" customWidth="1" style="48" min="7173" max="7174"/>
    <col width="21.5703125" customWidth="1" style="48" min="7175" max="7175"/>
    <col width="14.42578125" customWidth="1" style="48" min="7176" max="7176"/>
    <col width="18.85546875" customWidth="1" style="48" min="7177" max="7177"/>
    <col width="14.42578125" customWidth="1" style="48" min="7178" max="7178"/>
    <col width="0.85546875" customWidth="1" style="48" min="7179" max="7424"/>
    <col width="6.140625" bestFit="1" customWidth="1" style="48" min="7425" max="7425"/>
    <col width="71.42578125" customWidth="1" style="48" min="7426" max="7426"/>
    <col width="20.5703125" customWidth="1" style="48" min="7427" max="7427"/>
    <col width="15.5703125" customWidth="1" style="48" min="7428" max="7428"/>
    <col width="15.28515625" customWidth="1" style="48" min="7429" max="7430"/>
    <col width="21.5703125" customWidth="1" style="48" min="7431" max="7431"/>
    <col width="14.42578125" customWidth="1" style="48" min="7432" max="7432"/>
    <col width="18.85546875" customWidth="1" style="48" min="7433" max="7433"/>
    <col width="14.42578125" customWidth="1" style="48" min="7434" max="7434"/>
    <col width="0.85546875" customWidth="1" style="48" min="7435" max="7680"/>
    <col width="6.140625" bestFit="1" customWidth="1" style="48" min="7681" max="7681"/>
    <col width="71.42578125" customWidth="1" style="48" min="7682" max="7682"/>
    <col width="20.5703125" customWidth="1" style="48" min="7683" max="7683"/>
    <col width="15.5703125" customWidth="1" style="48" min="7684" max="7684"/>
    <col width="15.28515625" customWidth="1" style="48" min="7685" max="7686"/>
    <col width="21.5703125" customWidth="1" style="48" min="7687" max="7687"/>
    <col width="14.42578125" customWidth="1" style="48" min="7688" max="7688"/>
    <col width="18.85546875" customWidth="1" style="48" min="7689" max="7689"/>
    <col width="14.42578125" customWidth="1" style="48" min="7690" max="7690"/>
    <col width="0.85546875" customWidth="1" style="48" min="7691" max="7936"/>
    <col width="6.140625" bestFit="1" customWidth="1" style="48" min="7937" max="7937"/>
    <col width="71.42578125" customWidth="1" style="48" min="7938" max="7938"/>
    <col width="20.5703125" customWidth="1" style="48" min="7939" max="7939"/>
    <col width="15.5703125" customWidth="1" style="48" min="7940" max="7940"/>
    <col width="15.28515625" customWidth="1" style="48" min="7941" max="7942"/>
    <col width="21.5703125" customWidth="1" style="48" min="7943" max="7943"/>
    <col width="14.42578125" customWidth="1" style="48" min="7944" max="7944"/>
    <col width="18.85546875" customWidth="1" style="48" min="7945" max="7945"/>
    <col width="14.42578125" customWidth="1" style="48" min="7946" max="7946"/>
    <col width="0.85546875" customWidth="1" style="48" min="7947" max="8192"/>
    <col width="6.140625" bestFit="1" customWidth="1" style="48" min="8193" max="8193"/>
    <col width="71.42578125" customWidth="1" style="48" min="8194" max="8194"/>
    <col width="20.5703125" customWidth="1" style="48" min="8195" max="8195"/>
    <col width="15.5703125" customWidth="1" style="48" min="8196" max="8196"/>
    <col width="15.28515625" customWidth="1" style="48" min="8197" max="8198"/>
    <col width="21.5703125" customWidth="1" style="48" min="8199" max="8199"/>
    <col width="14.42578125" customWidth="1" style="48" min="8200" max="8200"/>
    <col width="18.85546875" customWidth="1" style="48" min="8201" max="8201"/>
    <col width="14.42578125" customWidth="1" style="48" min="8202" max="8202"/>
    <col width="0.85546875" customWidth="1" style="48" min="8203" max="8448"/>
    <col width="6.140625" bestFit="1" customWidth="1" style="48" min="8449" max="8449"/>
    <col width="71.42578125" customWidth="1" style="48" min="8450" max="8450"/>
    <col width="20.5703125" customWidth="1" style="48" min="8451" max="8451"/>
    <col width="15.5703125" customWidth="1" style="48" min="8452" max="8452"/>
    <col width="15.28515625" customWidth="1" style="48" min="8453" max="8454"/>
    <col width="21.5703125" customWidth="1" style="48" min="8455" max="8455"/>
    <col width="14.42578125" customWidth="1" style="48" min="8456" max="8456"/>
    <col width="18.85546875" customWidth="1" style="48" min="8457" max="8457"/>
    <col width="14.42578125" customWidth="1" style="48" min="8458" max="8458"/>
    <col width="0.85546875" customWidth="1" style="48" min="8459" max="8704"/>
    <col width="6.140625" bestFit="1" customWidth="1" style="48" min="8705" max="8705"/>
    <col width="71.42578125" customWidth="1" style="48" min="8706" max="8706"/>
    <col width="20.5703125" customWidth="1" style="48" min="8707" max="8707"/>
    <col width="15.5703125" customWidth="1" style="48" min="8708" max="8708"/>
    <col width="15.28515625" customWidth="1" style="48" min="8709" max="8710"/>
    <col width="21.5703125" customWidth="1" style="48" min="8711" max="8711"/>
    <col width="14.42578125" customWidth="1" style="48" min="8712" max="8712"/>
    <col width="18.85546875" customWidth="1" style="48" min="8713" max="8713"/>
    <col width="14.42578125" customWidth="1" style="48" min="8714" max="8714"/>
    <col width="0.85546875" customWidth="1" style="48" min="8715" max="8960"/>
    <col width="6.140625" bestFit="1" customWidth="1" style="48" min="8961" max="8961"/>
    <col width="71.42578125" customWidth="1" style="48" min="8962" max="8962"/>
    <col width="20.5703125" customWidth="1" style="48" min="8963" max="8963"/>
    <col width="15.5703125" customWidth="1" style="48" min="8964" max="8964"/>
    <col width="15.28515625" customWidth="1" style="48" min="8965" max="8966"/>
    <col width="21.5703125" customWidth="1" style="48" min="8967" max="8967"/>
    <col width="14.42578125" customWidth="1" style="48" min="8968" max="8968"/>
    <col width="18.85546875" customWidth="1" style="48" min="8969" max="8969"/>
    <col width="14.42578125" customWidth="1" style="48" min="8970" max="8970"/>
    <col width="0.85546875" customWidth="1" style="48" min="8971" max="9216"/>
    <col width="6.140625" bestFit="1" customWidth="1" style="48" min="9217" max="9217"/>
    <col width="71.42578125" customWidth="1" style="48" min="9218" max="9218"/>
    <col width="20.5703125" customWidth="1" style="48" min="9219" max="9219"/>
    <col width="15.5703125" customWidth="1" style="48" min="9220" max="9220"/>
    <col width="15.28515625" customWidth="1" style="48" min="9221" max="9222"/>
    <col width="21.5703125" customWidth="1" style="48" min="9223" max="9223"/>
    <col width="14.42578125" customWidth="1" style="48" min="9224" max="9224"/>
    <col width="18.85546875" customWidth="1" style="48" min="9225" max="9225"/>
    <col width="14.42578125" customWidth="1" style="48" min="9226" max="9226"/>
    <col width="0.85546875" customWidth="1" style="48" min="9227" max="9472"/>
    <col width="6.140625" bestFit="1" customWidth="1" style="48" min="9473" max="9473"/>
    <col width="71.42578125" customWidth="1" style="48" min="9474" max="9474"/>
    <col width="20.5703125" customWidth="1" style="48" min="9475" max="9475"/>
    <col width="15.5703125" customWidth="1" style="48" min="9476" max="9476"/>
    <col width="15.28515625" customWidth="1" style="48" min="9477" max="9478"/>
    <col width="21.5703125" customWidth="1" style="48" min="9479" max="9479"/>
    <col width="14.42578125" customWidth="1" style="48" min="9480" max="9480"/>
    <col width="18.85546875" customWidth="1" style="48" min="9481" max="9481"/>
    <col width="14.42578125" customWidth="1" style="48" min="9482" max="9482"/>
    <col width="0.85546875" customWidth="1" style="48" min="9483" max="9728"/>
    <col width="6.140625" bestFit="1" customWidth="1" style="48" min="9729" max="9729"/>
    <col width="71.42578125" customWidth="1" style="48" min="9730" max="9730"/>
    <col width="20.5703125" customWidth="1" style="48" min="9731" max="9731"/>
    <col width="15.5703125" customWidth="1" style="48" min="9732" max="9732"/>
    <col width="15.28515625" customWidth="1" style="48" min="9733" max="9734"/>
    <col width="21.5703125" customWidth="1" style="48" min="9735" max="9735"/>
    <col width="14.42578125" customWidth="1" style="48" min="9736" max="9736"/>
    <col width="18.85546875" customWidth="1" style="48" min="9737" max="9737"/>
    <col width="14.42578125" customWidth="1" style="48" min="9738" max="9738"/>
    <col width="0.85546875" customWidth="1" style="48" min="9739" max="9984"/>
    <col width="6.140625" bestFit="1" customWidth="1" style="48" min="9985" max="9985"/>
    <col width="71.42578125" customWidth="1" style="48" min="9986" max="9986"/>
    <col width="20.5703125" customWidth="1" style="48" min="9987" max="9987"/>
    <col width="15.5703125" customWidth="1" style="48" min="9988" max="9988"/>
    <col width="15.28515625" customWidth="1" style="48" min="9989" max="9990"/>
    <col width="21.5703125" customWidth="1" style="48" min="9991" max="9991"/>
    <col width="14.42578125" customWidth="1" style="48" min="9992" max="9992"/>
    <col width="18.85546875" customWidth="1" style="48" min="9993" max="9993"/>
    <col width="14.42578125" customWidth="1" style="48" min="9994" max="9994"/>
    <col width="0.85546875" customWidth="1" style="48" min="9995" max="10240"/>
    <col width="6.140625" bestFit="1" customWidth="1" style="48" min="10241" max="10241"/>
    <col width="71.42578125" customWidth="1" style="48" min="10242" max="10242"/>
    <col width="20.5703125" customWidth="1" style="48" min="10243" max="10243"/>
    <col width="15.5703125" customWidth="1" style="48" min="10244" max="10244"/>
    <col width="15.28515625" customWidth="1" style="48" min="10245" max="10246"/>
    <col width="21.5703125" customWidth="1" style="48" min="10247" max="10247"/>
    <col width="14.42578125" customWidth="1" style="48" min="10248" max="10248"/>
    <col width="18.85546875" customWidth="1" style="48" min="10249" max="10249"/>
    <col width="14.42578125" customWidth="1" style="48" min="10250" max="10250"/>
    <col width="0.85546875" customWidth="1" style="48" min="10251" max="10496"/>
    <col width="6.140625" bestFit="1" customWidth="1" style="48" min="10497" max="10497"/>
    <col width="71.42578125" customWidth="1" style="48" min="10498" max="10498"/>
    <col width="20.5703125" customWidth="1" style="48" min="10499" max="10499"/>
    <col width="15.5703125" customWidth="1" style="48" min="10500" max="10500"/>
    <col width="15.28515625" customWidth="1" style="48" min="10501" max="10502"/>
    <col width="21.5703125" customWidth="1" style="48" min="10503" max="10503"/>
    <col width="14.42578125" customWidth="1" style="48" min="10504" max="10504"/>
    <col width="18.85546875" customWidth="1" style="48" min="10505" max="10505"/>
    <col width="14.42578125" customWidth="1" style="48" min="10506" max="10506"/>
    <col width="0.85546875" customWidth="1" style="48" min="10507" max="10752"/>
    <col width="6.140625" bestFit="1" customWidth="1" style="48" min="10753" max="10753"/>
    <col width="71.42578125" customWidth="1" style="48" min="10754" max="10754"/>
    <col width="20.5703125" customWidth="1" style="48" min="10755" max="10755"/>
    <col width="15.5703125" customWidth="1" style="48" min="10756" max="10756"/>
    <col width="15.28515625" customWidth="1" style="48" min="10757" max="10758"/>
    <col width="21.5703125" customWidth="1" style="48" min="10759" max="10759"/>
    <col width="14.42578125" customWidth="1" style="48" min="10760" max="10760"/>
    <col width="18.85546875" customWidth="1" style="48" min="10761" max="10761"/>
    <col width="14.42578125" customWidth="1" style="48" min="10762" max="10762"/>
    <col width="0.85546875" customWidth="1" style="48" min="10763" max="11008"/>
    <col width="6.140625" bestFit="1" customWidth="1" style="48" min="11009" max="11009"/>
    <col width="71.42578125" customWidth="1" style="48" min="11010" max="11010"/>
    <col width="20.5703125" customWidth="1" style="48" min="11011" max="11011"/>
    <col width="15.5703125" customWidth="1" style="48" min="11012" max="11012"/>
    <col width="15.28515625" customWidth="1" style="48" min="11013" max="11014"/>
    <col width="21.5703125" customWidth="1" style="48" min="11015" max="11015"/>
    <col width="14.42578125" customWidth="1" style="48" min="11016" max="11016"/>
    <col width="18.85546875" customWidth="1" style="48" min="11017" max="11017"/>
    <col width="14.42578125" customWidth="1" style="48" min="11018" max="11018"/>
    <col width="0.85546875" customWidth="1" style="48" min="11019" max="11264"/>
    <col width="6.140625" bestFit="1" customWidth="1" style="48" min="11265" max="11265"/>
    <col width="71.42578125" customWidth="1" style="48" min="11266" max="11266"/>
    <col width="20.5703125" customWidth="1" style="48" min="11267" max="11267"/>
    <col width="15.5703125" customWidth="1" style="48" min="11268" max="11268"/>
    <col width="15.28515625" customWidth="1" style="48" min="11269" max="11270"/>
    <col width="21.5703125" customWidth="1" style="48" min="11271" max="11271"/>
    <col width="14.42578125" customWidth="1" style="48" min="11272" max="11272"/>
    <col width="18.85546875" customWidth="1" style="48" min="11273" max="11273"/>
    <col width="14.42578125" customWidth="1" style="48" min="11274" max="11274"/>
    <col width="0.85546875" customWidth="1" style="48" min="11275" max="11520"/>
    <col width="6.140625" bestFit="1" customWidth="1" style="48" min="11521" max="11521"/>
    <col width="71.42578125" customWidth="1" style="48" min="11522" max="11522"/>
    <col width="20.5703125" customWidth="1" style="48" min="11523" max="11523"/>
    <col width="15.5703125" customWidth="1" style="48" min="11524" max="11524"/>
    <col width="15.28515625" customWidth="1" style="48" min="11525" max="11526"/>
    <col width="21.5703125" customWidth="1" style="48" min="11527" max="11527"/>
    <col width="14.42578125" customWidth="1" style="48" min="11528" max="11528"/>
    <col width="18.85546875" customWidth="1" style="48" min="11529" max="11529"/>
    <col width="14.42578125" customWidth="1" style="48" min="11530" max="11530"/>
    <col width="0.85546875" customWidth="1" style="48" min="11531" max="11776"/>
    <col width="6.140625" bestFit="1" customWidth="1" style="48" min="11777" max="11777"/>
    <col width="71.42578125" customWidth="1" style="48" min="11778" max="11778"/>
    <col width="20.5703125" customWidth="1" style="48" min="11779" max="11779"/>
    <col width="15.5703125" customWidth="1" style="48" min="11780" max="11780"/>
    <col width="15.28515625" customWidth="1" style="48" min="11781" max="11782"/>
    <col width="21.5703125" customWidth="1" style="48" min="11783" max="11783"/>
    <col width="14.42578125" customWidth="1" style="48" min="11784" max="11784"/>
    <col width="18.85546875" customWidth="1" style="48" min="11785" max="11785"/>
    <col width="14.42578125" customWidth="1" style="48" min="11786" max="11786"/>
    <col width="0.85546875" customWidth="1" style="48" min="11787" max="12032"/>
    <col width="6.140625" bestFit="1" customWidth="1" style="48" min="12033" max="12033"/>
    <col width="71.42578125" customWidth="1" style="48" min="12034" max="12034"/>
    <col width="20.5703125" customWidth="1" style="48" min="12035" max="12035"/>
    <col width="15.5703125" customWidth="1" style="48" min="12036" max="12036"/>
    <col width="15.28515625" customWidth="1" style="48" min="12037" max="12038"/>
    <col width="21.5703125" customWidth="1" style="48" min="12039" max="12039"/>
    <col width="14.42578125" customWidth="1" style="48" min="12040" max="12040"/>
    <col width="18.85546875" customWidth="1" style="48" min="12041" max="12041"/>
    <col width="14.42578125" customWidth="1" style="48" min="12042" max="12042"/>
    <col width="0.85546875" customWidth="1" style="48" min="12043" max="12288"/>
    <col width="6.140625" bestFit="1" customWidth="1" style="48" min="12289" max="12289"/>
    <col width="71.42578125" customWidth="1" style="48" min="12290" max="12290"/>
    <col width="20.5703125" customWidth="1" style="48" min="12291" max="12291"/>
    <col width="15.5703125" customWidth="1" style="48" min="12292" max="12292"/>
    <col width="15.28515625" customWidth="1" style="48" min="12293" max="12294"/>
    <col width="21.5703125" customWidth="1" style="48" min="12295" max="12295"/>
    <col width="14.42578125" customWidth="1" style="48" min="12296" max="12296"/>
    <col width="18.85546875" customWidth="1" style="48" min="12297" max="12297"/>
    <col width="14.42578125" customWidth="1" style="48" min="12298" max="12298"/>
    <col width="0.85546875" customWidth="1" style="48" min="12299" max="12544"/>
    <col width="6.140625" bestFit="1" customWidth="1" style="48" min="12545" max="12545"/>
    <col width="71.42578125" customWidth="1" style="48" min="12546" max="12546"/>
    <col width="20.5703125" customWidth="1" style="48" min="12547" max="12547"/>
    <col width="15.5703125" customWidth="1" style="48" min="12548" max="12548"/>
    <col width="15.28515625" customWidth="1" style="48" min="12549" max="12550"/>
    <col width="21.5703125" customWidth="1" style="48" min="12551" max="12551"/>
    <col width="14.42578125" customWidth="1" style="48" min="12552" max="12552"/>
    <col width="18.85546875" customWidth="1" style="48" min="12553" max="12553"/>
    <col width="14.42578125" customWidth="1" style="48" min="12554" max="12554"/>
    <col width="0.85546875" customWidth="1" style="48" min="12555" max="12800"/>
    <col width="6.140625" bestFit="1" customWidth="1" style="48" min="12801" max="12801"/>
    <col width="71.42578125" customWidth="1" style="48" min="12802" max="12802"/>
    <col width="20.5703125" customWidth="1" style="48" min="12803" max="12803"/>
    <col width="15.5703125" customWidth="1" style="48" min="12804" max="12804"/>
    <col width="15.28515625" customWidth="1" style="48" min="12805" max="12806"/>
    <col width="21.5703125" customWidth="1" style="48" min="12807" max="12807"/>
    <col width="14.42578125" customWidth="1" style="48" min="12808" max="12808"/>
    <col width="18.85546875" customWidth="1" style="48" min="12809" max="12809"/>
    <col width="14.42578125" customWidth="1" style="48" min="12810" max="12810"/>
    <col width="0.85546875" customWidth="1" style="48" min="12811" max="13056"/>
    <col width="6.140625" bestFit="1" customWidth="1" style="48" min="13057" max="13057"/>
    <col width="71.42578125" customWidth="1" style="48" min="13058" max="13058"/>
    <col width="20.5703125" customWidth="1" style="48" min="13059" max="13059"/>
    <col width="15.5703125" customWidth="1" style="48" min="13060" max="13060"/>
    <col width="15.28515625" customWidth="1" style="48" min="13061" max="13062"/>
    <col width="21.5703125" customWidth="1" style="48" min="13063" max="13063"/>
    <col width="14.42578125" customWidth="1" style="48" min="13064" max="13064"/>
    <col width="18.85546875" customWidth="1" style="48" min="13065" max="13065"/>
    <col width="14.42578125" customWidth="1" style="48" min="13066" max="13066"/>
    <col width="0.85546875" customWidth="1" style="48" min="13067" max="13312"/>
    <col width="6.140625" bestFit="1" customWidth="1" style="48" min="13313" max="13313"/>
    <col width="71.42578125" customWidth="1" style="48" min="13314" max="13314"/>
    <col width="20.5703125" customWidth="1" style="48" min="13315" max="13315"/>
    <col width="15.5703125" customWidth="1" style="48" min="13316" max="13316"/>
    <col width="15.28515625" customWidth="1" style="48" min="13317" max="13318"/>
    <col width="21.5703125" customWidth="1" style="48" min="13319" max="13319"/>
    <col width="14.42578125" customWidth="1" style="48" min="13320" max="13320"/>
    <col width="18.85546875" customWidth="1" style="48" min="13321" max="13321"/>
    <col width="14.42578125" customWidth="1" style="48" min="13322" max="13322"/>
    <col width="0.85546875" customWidth="1" style="48" min="13323" max="13568"/>
    <col width="6.140625" bestFit="1" customWidth="1" style="48" min="13569" max="13569"/>
    <col width="71.42578125" customWidth="1" style="48" min="13570" max="13570"/>
    <col width="20.5703125" customWidth="1" style="48" min="13571" max="13571"/>
    <col width="15.5703125" customWidth="1" style="48" min="13572" max="13572"/>
    <col width="15.28515625" customWidth="1" style="48" min="13573" max="13574"/>
    <col width="21.5703125" customWidth="1" style="48" min="13575" max="13575"/>
    <col width="14.42578125" customWidth="1" style="48" min="13576" max="13576"/>
    <col width="18.85546875" customWidth="1" style="48" min="13577" max="13577"/>
    <col width="14.42578125" customWidth="1" style="48" min="13578" max="13578"/>
    <col width="0.85546875" customWidth="1" style="48" min="13579" max="13824"/>
    <col width="6.140625" bestFit="1" customWidth="1" style="48" min="13825" max="13825"/>
    <col width="71.42578125" customWidth="1" style="48" min="13826" max="13826"/>
    <col width="20.5703125" customWidth="1" style="48" min="13827" max="13827"/>
    <col width="15.5703125" customWidth="1" style="48" min="13828" max="13828"/>
    <col width="15.28515625" customWidth="1" style="48" min="13829" max="13830"/>
    <col width="21.5703125" customWidth="1" style="48" min="13831" max="13831"/>
    <col width="14.42578125" customWidth="1" style="48" min="13832" max="13832"/>
    <col width="18.85546875" customWidth="1" style="48" min="13833" max="13833"/>
    <col width="14.42578125" customWidth="1" style="48" min="13834" max="13834"/>
    <col width="0.85546875" customWidth="1" style="48" min="13835" max="14080"/>
    <col width="6.140625" bestFit="1" customWidth="1" style="48" min="14081" max="14081"/>
    <col width="71.42578125" customWidth="1" style="48" min="14082" max="14082"/>
    <col width="20.5703125" customWidth="1" style="48" min="14083" max="14083"/>
    <col width="15.5703125" customWidth="1" style="48" min="14084" max="14084"/>
    <col width="15.28515625" customWidth="1" style="48" min="14085" max="14086"/>
    <col width="21.5703125" customWidth="1" style="48" min="14087" max="14087"/>
    <col width="14.42578125" customWidth="1" style="48" min="14088" max="14088"/>
    <col width="18.85546875" customWidth="1" style="48" min="14089" max="14089"/>
    <col width="14.42578125" customWidth="1" style="48" min="14090" max="14090"/>
    <col width="0.85546875" customWidth="1" style="48" min="14091" max="14336"/>
    <col width="6.140625" bestFit="1" customWidth="1" style="48" min="14337" max="14337"/>
    <col width="71.42578125" customWidth="1" style="48" min="14338" max="14338"/>
    <col width="20.5703125" customWidth="1" style="48" min="14339" max="14339"/>
    <col width="15.5703125" customWidth="1" style="48" min="14340" max="14340"/>
    <col width="15.28515625" customWidth="1" style="48" min="14341" max="14342"/>
    <col width="21.5703125" customWidth="1" style="48" min="14343" max="14343"/>
    <col width="14.42578125" customWidth="1" style="48" min="14344" max="14344"/>
    <col width="18.85546875" customWidth="1" style="48" min="14345" max="14345"/>
    <col width="14.42578125" customWidth="1" style="48" min="14346" max="14346"/>
    <col width="0.85546875" customWidth="1" style="48" min="14347" max="14592"/>
    <col width="6.140625" bestFit="1" customWidth="1" style="48" min="14593" max="14593"/>
    <col width="71.42578125" customWidth="1" style="48" min="14594" max="14594"/>
    <col width="20.5703125" customWidth="1" style="48" min="14595" max="14595"/>
    <col width="15.5703125" customWidth="1" style="48" min="14596" max="14596"/>
    <col width="15.28515625" customWidth="1" style="48" min="14597" max="14598"/>
    <col width="21.5703125" customWidth="1" style="48" min="14599" max="14599"/>
    <col width="14.42578125" customWidth="1" style="48" min="14600" max="14600"/>
    <col width="18.85546875" customWidth="1" style="48" min="14601" max="14601"/>
    <col width="14.42578125" customWidth="1" style="48" min="14602" max="14602"/>
    <col width="0.85546875" customWidth="1" style="48" min="14603" max="14848"/>
    <col width="6.140625" bestFit="1" customWidth="1" style="48" min="14849" max="14849"/>
    <col width="71.42578125" customWidth="1" style="48" min="14850" max="14850"/>
    <col width="20.5703125" customWidth="1" style="48" min="14851" max="14851"/>
    <col width="15.5703125" customWidth="1" style="48" min="14852" max="14852"/>
    <col width="15.28515625" customWidth="1" style="48" min="14853" max="14854"/>
    <col width="21.5703125" customWidth="1" style="48" min="14855" max="14855"/>
    <col width="14.42578125" customWidth="1" style="48" min="14856" max="14856"/>
    <col width="18.85546875" customWidth="1" style="48" min="14857" max="14857"/>
    <col width="14.42578125" customWidth="1" style="48" min="14858" max="14858"/>
    <col width="0.85546875" customWidth="1" style="48" min="14859" max="15104"/>
    <col width="6.140625" bestFit="1" customWidth="1" style="48" min="15105" max="15105"/>
    <col width="71.42578125" customWidth="1" style="48" min="15106" max="15106"/>
    <col width="20.5703125" customWidth="1" style="48" min="15107" max="15107"/>
    <col width="15.5703125" customWidth="1" style="48" min="15108" max="15108"/>
    <col width="15.28515625" customWidth="1" style="48" min="15109" max="15110"/>
    <col width="21.5703125" customWidth="1" style="48" min="15111" max="15111"/>
    <col width="14.42578125" customWidth="1" style="48" min="15112" max="15112"/>
    <col width="18.85546875" customWidth="1" style="48" min="15113" max="15113"/>
    <col width="14.42578125" customWidth="1" style="48" min="15114" max="15114"/>
    <col width="0.85546875" customWidth="1" style="48" min="15115" max="15360"/>
    <col width="6.140625" bestFit="1" customWidth="1" style="48" min="15361" max="15361"/>
    <col width="71.42578125" customWidth="1" style="48" min="15362" max="15362"/>
    <col width="20.5703125" customWidth="1" style="48" min="15363" max="15363"/>
    <col width="15.5703125" customWidth="1" style="48" min="15364" max="15364"/>
    <col width="15.28515625" customWidth="1" style="48" min="15365" max="15366"/>
    <col width="21.5703125" customWidth="1" style="48" min="15367" max="15367"/>
    <col width="14.42578125" customWidth="1" style="48" min="15368" max="15368"/>
    <col width="18.85546875" customWidth="1" style="48" min="15369" max="15369"/>
    <col width="14.42578125" customWidth="1" style="48" min="15370" max="15370"/>
    <col width="0.85546875" customWidth="1" style="48" min="15371" max="15616"/>
    <col width="6.140625" bestFit="1" customWidth="1" style="48" min="15617" max="15617"/>
    <col width="71.42578125" customWidth="1" style="48" min="15618" max="15618"/>
    <col width="20.5703125" customWidth="1" style="48" min="15619" max="15619"/>
    <col width="15.5703125" customWidth="1" style="48" min="15620" max="15620"/>
    <col width="15.28515625" customWidth="1" style="48" min="15621" max="15622"/>
    <col width="21.5703125" customWidth="1" style="48" min="15623" max="15623"/>
    <col width="14.42578125" customWidth="1" style="48" min="15624" max="15624"/>
    <col width="18.85546875" customWidth="1" style="48" min="15625" max="15625"/>
    <col width="14.42578125" customWidth="1" style="48" min="15626" max="15626"/>
    <col width="0.85546875" customWidth="1" style="48" min="15627" max="15872"/>
    <col width="6.140625" bestFit="1" customWidth="1" style="48" min="15873" max="15873"/>
    <col width="71.42578125" customWidth="1" style="48" min="15874" max="15874"/>
    <col width="20.5703125" customWidth="1" style="48" min="15875" max="15875"/>
    <col width="15.5703125" customWidth="1" style="48" min="15876" max="15876"/>
    <col width="15.28515625" customWidth="1" style="48" min="15877" max="15878"/>
    <col width="21.5703125" customWidth="1" style="48" min="15879" max="15879"/>
    <col width="14.42578125" customWidth="1" style="48" min="15880" max="15880"/>
    <col width="18.85546875" customWidth="1" style="48" min="15881" max="15881"/>
    <col width="14.42578125" customWidth="1" style="48" min="15882" max="15882"/>
    <col width="0.85546875" customWidth="1" style="48" min="15883" max="16128"/>
    <col width="6.140625" bestFit="1" customWidth="1" style="48" min="16129" max="16129"/>
    <col width="71.42578125" customWidth="1" style="48" min="16130" max="16130"/>
    <col width="20.5703125" customWidth="1" style="48" min="16131" max="16131"/>
    <col width="15.5703125" customWidth="1" style="48" min="16132" max="16132"/>
    <col width="15.28515625" customWidth="1" style="48" min="16133" max="16134"/>
    <col width="21.5703125" customWidth="1" style="48" min="16135" max="16135"/>
    <col width="14.42578125" customWidth="1" style="48" min="16136" max="16136"/>
    <col width="18.85546875" customWidth="1" style="48" min="16137" max="16137"/>
    <col width="14.42578125" customWidth="1" style="48" min="16138" max="16138"/>
    <col width="0.85546875" customWidth="1" style="48" min="16139" max="16384"/>
  </cols>
  <sheetData>
    <row r="1" ht="15.75" customHeight="1" s="794">
      <c r="I1" s="1059" t="inlineStr">
        <is>
          <t>Форма № 16д</t>
        </is>
      </c>
    </row>
    <row r="2" ht="6" customHeight="1" s="794"/>
    <row r="3" ht="15.75" customFormat="1" customHeight="1" s="49">
      <c r="B3" s="854" t="inlineStr">
        <is>
          <t>РАСШИФРОВКА</t>
        </is>
      </c>
      <c r="J3" s="208" t="n"/>
    </row>
    <row r="4" ht="17.25" customFormat="1" customHeight="1" s="558">
      <c r="B4" s="854" t="inlineStr">
        <is>
          <t>затрат на специальную технологическую оснастку</t>
        </is>
      </c>
      <c r="J4" s="208" t="n"/>
    </row>
    <row r="5" ht="34.5" customFormat="1" customHeight="1" s="558">
      <c r="A5" s="1" t="n"/>
      <c r="B5" s="1144" t="inlineStr">
        <is>
          <t>ТЕМА</t>
        </is>
      </c>
      <c r="C5" s="1409" t="n"/>
      <c r="D5" s="1409" t="n"/>
      <c r="E5" s="1409" t="n"/>
      <c r="F5" s="1409" t="n"/>
      <c r="G5" s="1409" t="n"/>
      <c r="H5" s="1409" t="n"/>
      <c r="I5" s="1409" t="n"/>
      <c r="J5" s="809" t="n"/>
    </row>
    <row r="6" ht="14.25" customFormat="1" customHeight="1" s="50">
      <c r="A6" s="1121" t="inlineStr">
        <is>
          <t>(наименование, шифр товара, работы, услуги)</t>
        </is>
      </c>
    </row>
    <row r="7" ht="12.75" customHeight="1" s="794">
      <c r="J7" s="559" t="n"/>
    </row>
    <row r="8" ht="23.25" customFormat="1" customHeight="1" s="1095">
      <c r="A8" s="975" t="inlineStr">
        <is>
          <t>№ п/п</t>
        </is>
      </c>
      <c r="B8" s="975" t="inlineStr">
        <is>
          <t>Наименование статей
затрат</t>
        </is>
      </c>
      <c r="C8" s="975" t="inlineStr">
        <is>
          <t>Затраты отчетного периода / периода, предшествующего планируемому
(год _____) (руб.)</t>
        </is>
      </c>
      <c r="D8" s="975" t="inlineStr">
        <is>
          <t>Стоимостная оценка затрат в условиях первого года производства (год ____)</t>
        </is>
      </c>
      <c r="E8" s="1417" t="n"/>
      <c r="F8" s="974" t="inlineStr">
        <is>
          <t>Планируемый период</t>
        </is>
      </c>
      <c r="G8" s="1412" t="n"/>
      <c r="H8" s="1412" t="n"/>
      <c r="I8" s="1412" t="n"/>
      <c r="J8" s="1410" t="n"/>
    </row>
    <row r="9" ht="24.75" customFormat="1" customHeight="1" s="1095">
      <c r="A9" s="1418" t="n"/>
      <c r="B9" s="1418" t="n"/>
      <c r="C9" s="1418" t="n"/>
      <c r="D9" s="1414" t="n"/>
      <c r="E9" s="1421" t="n"/>
      <c r="F9" s="1206" t="inlineStr">
        <is>
          <t>затраты в первом году производства (год _____) (руб.)</t>
        </is>
      </c>
      <c r="G9" s="1206" t="inlineStr">
        <is>
          <t>n-ый год производства (год ____)</t>
        </is>
      </c>
      <c r="H9" s="1412" t="n"/>
      <c r="I9" s="1410" t="n"/>
      <c r="J9" s="975" t="inlineStr">
        <is>
          <t>итого 
затрат за весь период производства (руб.)</t>
        </is>
      </c>
    </row>
    <row r="10" ht="55.5" customFormat="1" customHeight="1" s="1095">
      <c r="A10" s="1413" t="n"/>
      <c r="B10" s="1413" t="n"/>
      <c r="C10" s="1413" t="n"/>
      <c r="D10" s="1206" t="inlineStr">
        <is>
          <t>применяемый индекс цен</t>
        </is>
      </c>
      <c r="E10" s="1206" t="inlineStr">
        <is>
          <t>затраты (руб.)</t>
        </is>
      </c>
      <c r="F10" s="1413" t="n"/>
      <c r="G10" s="1206" t="inlineStr">
        <is>
          <t>стоимостная оценка затрат n-ого года в условиях первого года производства (руб.)</t>
        </is>
      </c>
      <c r="H10" s="1206" t="inlineStr">
        <is>
          <t>применяемый индекс цен</t>
        </is>
      </c>
      <c r="I10" s="1206" t="inlineStr">
        <is>
          <t>затраты в n-ом году производства (руб.)</t>
        </is>
      </c>
      <c r="J10" s="1413" t="n"/>
    </row>
    <row r="11" customFormat="1" s="1095">
      <c r="A11" s="974" t="n">
        <v>1</v>
      </c>
      <c r="B11" s="974" t="n">
        <v>2</v>
      </c>
      <c r="C11" s="974" t="n">
        <v>3</v>
      </c>
      <c r="D11" s="974" t="n">
        <v>4</v>
      </c>
      <c r="E11" s="974" t="n">
        <v>5</v>
      </c>
      <c r="F11" s="974" t="n">
        <v>6</v>
      </c>
      <c r="G11" s="974" t="n">
        <v>7</v>
      </c>
      <c r="H11" s="974" t="n">
        <v>8</v>
      </c>
      <c r="I11" s="974" t="n">
        <v>9</v>
      </c>
      <c r="J11" s="974" t="n">
        <v>10</v>
      </c>
    </row>
    <row r="12" ht="22.5" customFormat="1" customHeight="1" s="561">
      <c r="A12" s="234" t="n"/>
      <c r="B12" s="560" t="inlineStr">
        <is>
          <t>Затраты на специальную технологическую оснастку - всего:</t>
        </is>
      </c>
      <c r="C12" s="234" t="inlineStr">
        <is>
          <t>-</t>
        </is>
      </c>
      <c r="D12" s="234" t="inlineStr">
        <is>
          <t>-</t>
        </is>
      </c>
      <c r="E12" s="234" t="inlineStr">
        <is>
          <t>-</t>
        </is>
      </c>
      <c r="F12" s="234" t="inlineStr">
        <is>
          <t>-</t>
        </is>
      </c>
      <c r="G12" s="234" t="inlineStr">
        <is>
          <t>-</t>
        </is>
      </c>
      <c r="H12" s="234" t="inlineStr">
        <is>
          <t>-</t>
        </is>
      </c>
      <c r="I12" s="234" t="inlineStr">
        <is>
          <t>-</t>
        </is>
      </c>
      <c r="J12" s="234" t="inlineStr">
        <is>
          <t>-</t>
        </is>
      </c>
    </row>
    <row r="13" ht="13.5" customFormat="1" customHeight="1" s="561">
      <c r="A13" s="235" t="n"/>
      <c r="B13" s="562" t="inlineStr">
        <is>
          <t>в том числе:</t>
        </is>
      </c>
      <c r="C13" s="234" t="inlineStr">
        <is>
          <t>-</t>
        </is>
      </c>
      <c r="D13" s="234" t="inlineStr">
        <is>
          <t>-</t>
        </is>
      </c>
      <c r="E13" s="234" t="inlineStr">
        <is>
          <t>-</t>
        </is>
      </c>
      <c r="F13" s="234" t="inlineStr">
        <is>
          <t>-</t>
        </is>
      </c>
      <c r="G13" s="234" t="inlineStr">
        <is>
          <t>-</t>
        </is>
      </c>
      <c r="H13" s="234" t="inlineStr">
        <is>
          <t>-</t>
        </is>
      </c>
      <c r="I13" s="234" t="inlineStr">
        <is>
          <t>-</t>
        </is>
      </c>
      <c r="J13" s="234" t="inlineStr">
        <is>
          <t>-</t>
        </is>
      </c>
    </row>
    <row r="14" ht="23.25" customFormat="1" customHeight="1" s="1095">
      <c r="A14" s="235" t="inlineStr">
        <is>
          <t>1.</t>
        </is>
      </c>
      <c r="B14" s="562" t="inlineStr">
        <is>
          <t>Остаточная стоимость оснастки по состоянию на __.___._____</t>
        </is>
      </c>
      <c r="C14" s="235" t="inlineStr">
        <is>
          <t>-</t>
        </is>
      </c>
      <c r="D14" s="235" t="inlineStr">
        <is>
          <t>-</t>
        </is>
      </c>
      <c r="E14" s="235" t="inlineStr">
        <is>
          <t>-</t>
        </is>
      </c>
      <c r="F14" s="235" t="inlineStr">
        <is>
          <t>-</t>
        </is>
      </c>
      <c r="G14" s="235" t="inlineStr">
        <is>
          <t>-</t>
        </is>
      </c>
      <c r="H14" s="235" t="inlineStr">
        <is>
          <t>-</t>
        </is>
      </c>
      <c r="I14" s="235" t="inlineStr">
        <is>
          <t>-</t>
        </is>
      </c>
      <c r="J14" s="235" t="inlineStr">
        <is>
          <t>-</t>
        </is>
      </c>
    </row>
    <row r="15" ht="15.75" customFormat="1" customHeight="1" s="1095">
      <c r="A15" s="235" t="inlineStr">
        <is>
          <t>2.</t>
        </is>
      </c>
      <c r="B15" s="562" t="inlineStr">
        <is>
          <t>Стоимость приобретенной оснастки</t>
        </is>
      </c>
      <c r="C15" s="235" t="inlineStr">
        <is>
          <t>-</t>
        </is>
      </c>
      <c r="D15" s="235" t="inlineStr">
        <is>
          <t>-</t>
        </is>
      </c>
      <c r="E15" s="235" t="inlineStr">
        <is>
          <t>-</t>
        </is>
      </c>
      <c r="F15" s="235" t="inlineStr">
        <is>
          <t>-</t>
        </is>
      </c>
      <c r="G15" s="235" t="inlineStr">
        <is>
          <t>-</t>
        </is>
      </c>
      <c r="H15" s="235" t="inlineStr">
        <is>
          <t>-</t>
        </is>
      </c>
      <c r="I15" s="235" t="inlineStr">
        <is>
          <t>-</t>
        </is>
      </c>
      <c r="J15" s="235" t="inlineStr">
        <is>
          <t>-</t>
        </is>
      </c>
    </row>
    <row r="16" ht="15.75" customFormat="1" customHeight="1" s="1095">
      <c r="A16" s="235" t="inlineStr">
        <is>
          <t>3.</t>
        </is>
      </c>
      <c r="B16" s="562" t="inlineStr">
        <is>
          <t>Стоимость вновь изготовленной оснастки - всего:</t>
        </is>
      </c>
      <c r="C16" s="235" t="inlineStr">
        <is>
          <t>-</t>
        </is>
      </c>
      <c r="D16" s="235" t="inlineStr">
        <is>
          <t>-</t>
        </is>
      </c>
      <c r="E16" s="235" t="inlineStr">
        <is>
          <t>-</t>
        </is>
      </c>
      <c r="F16" s="235" t="inlineStr">
        <is>
          <t>-</t>
        </is>
      </c>
      <c r="G16" s="235" t="inlineStr">
        <is>
          <t>-</t>
        </is>
      </c>
      <c r="H16" s="235" t="inlineStr">
        <is>
          <t>-</t>
        </is>
      </c>
      <c r="I16" s="235" t="inlineStr">
        <is>
          <t>-</t>
        </is>
      </c>
      <c r="J16" s="235" t="inlineStr">
        <is>
          <t>-</t>
        </is>
      </c>
    </row>
    <row r="17" ht="12.75" customFormat="1" customHeight="1" s="1095">
      <c r="A17" s="235" t="n"/>
      <c r="B17" s="562" t="inlineStr">
        <is>
          <t xml:space="preserve">    в том числе:</t>
        </is>
      </c>
      <c r="C17" s="235" t="n"/>
      <c r="D17" s="235" t="n"/>
      <c r="E17" s="235" t="n"/>
      <c r="F17" s="235" t="n"/>
      <c r="G17" s="235" t="n"/>
      <c r="H17" s="235" t="n"/>
      <c r="I17" s="235" t="n"/>
      <c r="J17" s="235" t="n"/>
    </row>
    <row r="18" ht="17.25" customFormat="1" customHeight="1" s="1095">
      <c r="A18" s="235" t="n"/>
      <c r="B18" s="562" t="inlineStr">
        <is>
          <t xml:space="preserve">    материальные затраты</t>
        </is>
      </c>
      <c r="C18" s="235" t="inlineStr">
        <is>
          <t>-</t>
        </is>
      </c>
      <c r="D18" s="235" t="inlineStr">
        <is>
          <t>-</t>
        </is>
      </c>
      <c r="E18" s="235" t="inlineStr">
        <is>
          <t>-</t>
        </is>
      </c>
      <c r="F18" s="235" t="inlineStr">
        <is>
          <t>-</t>
        </is>
      </c>
      <c r="G18" s="235" t="inlineStr">
        <is>
          <t>-</t>
        </is>
      </c>
      <c r="H18" s="235" t="inlineStr">
        <is>
          <t>-</t>
        </is>
      </c>
      <c r="I18" s="235" t="inlineStr">
        <is>
          <t>-</t>
        </is>
      </c>
      <c r="J18" s="235" t="inlineStr">
        <is>
          <t>-</t>
        </is>
      </c>
    </row>
    <row r="19" ht="21" customFormat="1" customHeight="1" s="1095">
      <c r="A19" s="235" t="n"/>
      <c r="B19" s="562" t="inlineStr">
        <is>
          <t xml:space="preserve">    трудоемкость (____________)</t>
        </is>
      </c>
      <c r="C19" s="235" t="inlineStr">
        <is>
          <t>-</t>
        </is>
      </c>
      <c r="D19" s="235" t="inlineStr">
        <is>
          <t>-</t>
        </is>
      </c>
      <c r="E19" s="235" t="inlineStr">
        <is>
          <t>-</t>
        </is>
      </c>
      <c r="F19" s="235" t="inlineStr">
        <is>
          <t>-</t>
        </is>
      </c>
      <c r="G19" s="235" t="inlineStr">
        <is>
          <t>-</t>
        </is>
      </c>
      <c r="H19" s="235" t="inlineStr">
        <is>
          <t>-</t>
        </is>
      </c>
      <c r="I19" s="235" t="inlineStr">
        <is>
          <t>-</t>
        </is>
      </c>
      <c r="J19" s="235" t="inlineStr">
        <is>
          <t>-</t>
        </is>
      </c>
    </row>
    <row r="20" ht="19.5" customFormat="1" customHeight="1" s="1095">
      <c r="A20" s="235" t="n"/>
      <c r="B20" s="562" t="inlineStr">
        <is>
          <t xml:space="preserve">    затраты на оплату труда - всего:</t>
        </is>
      </c>
      <c r="C20" s="235" t="inlineStr">
        <is>
          <t>-</t>
        </is>
      </c>
      <c r="D20" s="235" t="inlineStr">
        <is>
          <t>-</t>
        </is>
      </c>
      <c r="E20" s="235" t="inlineStr">
        <is>
          <t>-</t>
        </is>
      </c>
      <c r="F20" s="235" t="inlineStr">
        <is>
          <t>-</t>
        </is>
      </c>
      <c r="G20" s="235" t="inlineStr">
        <is>
          <t>-</t>
        </is>
      </c>
      <c r="H20" s="235" t="inlineStr">
        <is>
          <t>-</t>
        </is>
      </c>
      <c r="I20" s="235" t="inlineStr">
        <is>
          <t>-</t>
        </is>
      </c>
      <c r="J20" s="235" t="inlineStr">
        <is>
          <t>-</t>
        </is>
      </c>
    </row>
    <row r="21" ht="12" customFormat="1" customHeight="1" s="1095">
      <c r="A21" s="235" t="n"/>
      <c r="B21" s="562" t="inlineStr">
        <is>
          <t xml:space="preserve">       в том числе:</t>
        </is>
      </c>
      <c r="C21" s="234" t="inlineStr">
        <is>
          <t>-</t>
        </is>
      </c>
      <c r="D21" s="234" t="inlineStr">
        <is>
          <t>-</t>
        </is>
      </c>
      <c r="E21" s="234" t="inlineStr">
        <is>
          <t>-</t>
        </is>
      </c>
      <c r="F21" s="234" t="inlineStr">
        <is>
          <t>-</t>
        </is>
      </c>
      <c r="G21" s="234" t="inlineStr">
        <is>
          <t>-</t>
        </is>
      </c>
      <c r="H21" s="234" t="inlineStr">
        <is>
          <t>-</t>
        </is>
      </c>
      <c r="I21" s="234" t="inlineStr">
        <is>
          <t>-</t>
        </is>
      </c>
      <c r="J21" s="234" t="inlineStr">
        <is>
          <t>-</t>
        </is>
      </c>
    </row>
    <row r="22" ht="15.75" customFormat="1" customHeight="1" s="1095">
      <c r="A22" s="235" t="n"/>
      <c r="B22" s="562" t="inlineStr">
        <is>
          <t xml:space="preserve">       - основная заработная плата</t>
        </is>
      </c>
      <c r="C22" s="235" t="inlineStr">
        <is>
          <t>-</t>
        </is>
      </c>
      <c r="D22" s="235" t="inlineStr">
        <is>
          <t>-</t>
        </is>
      </c>
      <c r="E22" s="235" t="inlineStr">
        <is>
          <t>-</t>
        </is>
      </c>
      <c r="F22" s="235" t="inlineStr">
        <is>
          <t>-</t>
        </is>
      </c>
      <c r="G22" s="235" t="inlineStr">
        <is>
          <t>-</t>
        </is>
      </c>
      <c r="H22" s="235" t="inlineStr">
        <is>
          <t>-</t>
        </is>
      </c>
      <c r="I22" s="235" t="inlineStr">
        <is>
          <t>-</t>
        </is>
      </c>
      <c r="J22" s="235" t="inlineStr">
        <is>
          <t>-</t>
        </is>
      </c>
    </row>
    <row r="23" ht="18.75" customFormat="1" customHeight="1" s="1095">
      <c r="A23" s="235" t="n"/>
      <c r="B23" s="562" t="inlineStr">
        <is>
          <t xml:space="preserve">       - дополнительная заработная плата</t>
        </is>
      </c>
      <c r="C23" s="235" t="inlineStr">
        <is>
          <t>-</t>
        </is>
      </c>
      <c r="D23" s="235" t="inlineStr">
        <is>
          <t>-</t>
        </is>
      </c>
      <c r="E23" s="235" t="inlineStr">
        <is>
          <t>-</t>
        </is>
      </c>
      <c r="F23" s="235" t="inlineStr">
        <is>
          <t>-</t>
        </is>
      </c>
      <c r="G23" s="235" t="inlineStr">
        <is>
          <t>-</t>
        </is>
      </c>
      <c r="H23" s="235" t="inlineStr">
        <is>
          <t>-</t>
        </is>
      </c>
      <c r="I23" s="235" t="inlineStr">
        <is>
          <t>-</t>
        </is>
      </c>
      <c r="J23" s="235" t="inlineStr">
        <is>
          <t>-</t>
        </is>
      </c>
    </row>
    <row r="24" ht="22.5" customFormat="1" customHeight="1" s="1095">
      <c r="A24" s="235" t="n"/>
      <c r="B24" s="562" t="inlineStr">
        <is>
          <t xml:space="preserve">    страховые взносы на обязательное социальное страхование</t>
        </is>
      </c>
      <c r="C24" s="235" t="inlineStr">
        <is>
          <t>-</t>
        </is>
      </c>
      <c r="D24" s="235" t="inlineStr">
        <is>
          <t>-</t>
        </is>
      </c>
      <c r="E24" s="235" t="inlineStr">
        <is>
          <t>-</t>
        </is>
      </c>
      <c r="F24" s="235" t="inlineStr">
        <is>
          <t>-</t>
        </is>
      </c>
      <c r="G24" s="235" t="inlineStr">
        <is>
          <t>-</t>
        </is>
      </c>
      <c r="H24" s="235" t="inlineStr">
        <is>
          <t>-</t>
        </is>
      </c>
      <c r="I24" s="235" t="inlineStr">
        <is>
          <t>-</t>
        </is>
      </c>
      <c r="J24" s="235" t="inlineStr">
        <is>
          <t>-</t>
        </is>
      </c>
    </row>
    <row r="25" ht="16.5" customFormat="1" customHeight="1" s="1095">
      <c r="A25" s="235" t="n"/>
      <c r="B25" s="562" t="inlineStr">
        <is>
          <t xml:space="preserve">    общепроизводственные затраты</t>
        </is>
      </c>
      <c r="C25" s="234" t="inlineStr">
        <is>
          <t>-</t>
        </is>
      </c>
      <c r="D25" s="234" t="inlineStr">
        <is>
          <t>-</t>
        </is>
      </c>
      <c r="E25" s="234" t="inlineStr">
        <is>
          <t>-</t>
        </is>
      </c>
      <c r="F25" s="234" t="inlineStr">
        <is>
          <t>-</t>
        </is>
      </c>
      <c r="G25" s="234" t="inlineStr">
        <is>
          <t>-</t>
        </is>
      </c>
      <c r="H25" s="234" t="inlineStr">
        <is>
          <t>-</t>
        </is>
      </c>
      <c r="I25" s="234" t="inlineStr">
        <is>
          <t>-</t>
        </is>
      </c>
      <c r="J25" s="234" t="inlineStr">
        <is>
          <t>-</t>
        </is>
      </c>
    </row>
    <row r="26" ht="20.25" customFormat="1" customHeight="1" s="1095">
      <c r="A26" s="235" t="inlineStr">
        <is>
          <t>4.</t>
        </is>
      </c>
      <c r="B26" s="562" t="inlineStr">
        <is>
          <t>Стоимость ремонта и поддержания в рабочем состоянии оснастки - всего:</t>
        </is>
      </c>
      <c r="C26" s="235" t="inlineStr">
        <is>
          <t>-</t>
        </is>
      </c>
      <c r="D26" s="235" t="inlineStr">
        <is>
          <t>-</t>
        </is>
      </c>
      <c r="E26" s="235" t="inlineStr">
        <is>
          <t>-</t>
        </is>
      </c>
      <c r="F26" s="235" t="inlineStr">
        <is>
          <t>-</t>
        </is>
      </c>
      <c r="G26" s="235" t="inlineStr">
        <is>
          <t>-</t>
        </is>
      </c>
      <c r="H26" s="235" t="inlineStr">
        <is>
          <t>-</t>
        </is>
      </c>
      <c r="I26" s="235" t="inlineStr">
        <is>
          <t>-</t>
        </is>
      </c>
      <c r="J26" s="235" t="inlineStr">
        <is>
          <t>-</t>
        </is>
      </c>
    </row>
    <row r="27" ht="16.5" customFormat="1" customHeight="1" s="1095">
      <c r="A27" s="235" t="n"/>
      <c r="B27" s="562" t="inlineStr">
        <is>
          <t xml:space="preserve">    в том числе:</t>
        </is>
      </c>
      <c r="C27" s="234" t="inlineStr">
        <is>
          <t>-</t>
        </is>
      </c>
      <c r="D27" s="234" t="inlineStr">
        <is>
          <t>-</t>
        </is>
      </c>
      <c r="E27" s="234" t="inlineStr">
        <is>
          <t>-</t>
        </is>
      </c>
      <c r="F27" s="234" t="inlineStr">
        <is>
          <t>-</t>
        </is>
      </c>
      <c r="G27" s="234" t="inlineStr">
        <is>
          <t>-</t>
        </is>
      </c>
      <c r="H27" s="234" t="inlineStr">
        <is>
          <t>-</t>
        </is>
      </c>
      <c r="I27" s="234" t="inlineStr">
        <is>
          <t>-</t>
        </is>
      </c>
      <c r="J27" s="234" t="inlineStr">
        <is>
          <t>-</t>
        </is>
      </c>
    </row>
    <row r="28" ht="16.5" customFormat="1" customHeight="1" s="1095">
      <c r="A28" s="235" t="n"/>
      <c r="B28" s="562" t="inlineStr">
        <is>
          <t xml:space="preserve">    материальные затраты</t>
        </is>
      </c>
      <c r="C28" s="235" t="inlineStr">
        <is>
          <t>-</t>
        </is>
      </c>
      <c r="D28" s="235" t="inlineStr">
        <is>
          <t>-</t>
        </is>
      </c>
      <c r="E28" s="235" t="inlineStr">
        <is>
          <t>-</t>
        </is>
      </c>
      <c r="F28" s="235" t="inlineStr">
        <is>
          <t>-</t>
        </is>
      </c>
      <c r="G28" s="235" t="inlineStr">
        <is>
          <t>-</t>
        </is>
      </c>
      <c r="H28" s="235" t="inlineStr">
        <is>
          <t>-</t>
        </is>
      </c>
      <c r="I28" s="235" t="inlineStr">
        <is>
          <t>-</t>
        </is>
      </c>
      <c r="J28" s="235" t="inlineStr">
        <is>
          <t>-</t>
        </is>
      </c>
    </row>
    <row r="29" ht="20.25" customFormat="1" customHeight="1" s="1095">
      <c r="A29" s="235" t="n"/>
      <c r="B29" s="562" t="inlineStr">
        <is>
          <t xml:space="preserve">    трудоемкость (____________)</t>
        </is>
      </c>
      <c r="C29" s="235" t="inlineStr">
        <is>
          <t>-</t>
        </is>
      </c>
      <c r="D29" s="235" t="inlineStr">
        <is>
          <t>-</t>
        </is>
      </c>
      <c r="E29" s="235" t="inlineStr">
        <is>
          <t>-</t>
        </is>
      </c>
      <c r="F29" s="235" t="inlineStr">
        <is>
          <t>-</t>
        </is>
      </c>
      <c r="G29" s="235" t="inlineStr">
        <is>
          <t>-</t>
        </is>
      </c>
      <c r="H29" s="235" t="inlineStr">
        <is>
          <t>-</t>
        </is>
      </c>
      <c r="I29" s="235" t="inlineStr">
        <is>
          <t>-</t>
        </is>
      </c>
      <c r="J29" s="235" t="inlineStr">
        <is>
          <t>-</t>
        </is>
      </c>
    </row>
    <row r="30" ht="16.5" customFormat="1" customHeight="1" s="1095">
      <c r="A30" s="235" t="n"/>
      <c r="B30" s="562" t="inlineStr">
        <is>
          <t xml:space="preserve">    затраты на оплату труда - всего:</t>
        </is>
      </c>
      <c r="C30" s="235" t="inlineStr">
        <is>
          <t>-</t>
        </is>
      </c>
      <c r="D30" s="235" t="inlineStr">
        <is>
          <t>-</t>
        </is>
      </c>
      <c r="E30" s="235" t="inlineStr">
        <is>
          <t>-</t>
        </is>
      </c>
      <c r="F30" s="235" t="inlineStr">
        <is>
          <t>-</t>
        </is>
      </c>
      <c r="G30" s="235" t="inlineStr">
        <is>
          <t>-</t>
        </is>
      </c>
      <c r="H30" s="235" t="inlineStr">
        <is>
          <t>-</t>
        </is>
      </c>
      <c r="I30" s="235" t="inlineStr">
        <is>
          <t>-</t>
        </is>
      </c>
      <c r="J30" s="235" t="inlineStr">
        <is>
          <t>-</t>
        </is>
      </c>
    </row>
    <row r="31" ht="16.5" customFormat="1" customHeight="1" s="1095">
      <c r="A31" s="235" t="n"/>
      <c r="B31" s="562" t="inlineStr">
        <is>
          <t xml:space="preserve">       в том числе:</t>
        </is>
      </c>
      <c r="C31" s="234" t="inlineStr">
        <is>
          <t>-</t>
        </is>
      </c>
      <c r="D31" s="234" t="inlineStr">
        <is>
          <t>-</t>
        </is>
      </c>
      <c r="E31" s="234" t="inlineStr">
        <is>
          <t>-</t>
        </is>
      </c>
      <c r="F31" s="234" t="inlineStr">
        <is>
          <t>-</t>
        </is>
      </c>
      <c r="G31" s="234" t="inlineStr">
        <is>
          <t>-</t>
        </is>
      </c>
      <c r="H31" s="234" t="inlineStr">
        <is>
          <t>-</t>
        </is>
      </c>
      <c r="I31" s="234" t="inlineStr">
        <is>
          <t>-</t>
        </is>
      </c>
      <c r="J31" s="234" t="inlineStr">
        <is>
          <t>-</t>
        </is>
      </c>
    </row>
    <row r="32" ht="16.5" customFormat="1" customHeight="1" s="1095">
      <c r="A32" s="235" t="n"/>
      <c r="B32" s="562" t="inlineStr">
        <is>
          <t xml:space="preserve">       - основная заработная плата</t>
        </is>
      </c>
      <c r="C32" s="235" t="inlineStr">
        <is>
          <t>-</t>
        </is>
      </c>
      <c r="D32" s="235" t="inlineStr">
        <is>
          <t>-</t>
        </is>
      </c>
      <c r="E32" s="235" t="inlineStr">
        <is>
          <t>-</t>
        </is>
      </c>
      <c r="F32" s="235" t="inlineStr">
        <is>
          <t>-</t>
        </is>
      </c>
      <c r="G32" s="235" t="inlineStr">
        <is>
          <t>-</t>
        </is>
      </c>
      <c r="H32" s="235" t="inlineStr">
        <is>
          <t>-</t>
        </is>
      </c>
      <c r="I32" s="235" t="inlineStr">
        <is>
          <t>-</t>
        </is>
      </c>
      <c r="J32" s="235" t="inlineStr">
        <is>
          <t>-</t>
        </is>
      </c>
    </row>
    <row r="33" ht="16.5" customFormat="1" customHeight="1" s="1095">
      <c r="A33" s="235" t="n"/>
      <c r="B33" s="562" t="inlineStr">
        <is>
          <t xml:space="preserve">       - дополнительная заработная плата</t>
        </is>
      </c>
      <c r="C33" s="235" t="inlineStr">
        <is>
          <t>-</t>
        </is>
      </c>
      <c r="D33" s="235" t="inlineStr">
        <is>
          <t>-</t>
        </is>
      </c>
      <c r="E33" s="235" t="inlineStr">
        <is>
          <t>-</t>
        </is>
      </c>
      <c r="F33" s="235" t="inlineStr">
        <is>
          <t>-</t>
        </is>
      </c>
      <c r="G33" s="235" t="inlineStr">
        <is>
          <t>-</t>
        </is>
      </c>
      <c r="H33" s="235" t="inlineStr">
        <is>
          <t>-</t>
        </is>
      </c>
      <c r="I33" s="235" t="inlineStr">
        <is>
          <t>-</t>
        </is>
      </c>
      <c r="J33" s="235" t="inlineStr">
        <is>
          <t>-</t>
        </is>
      </c>
    </row>
    <row r="34" ht="21" customFormat="1" customHeight="1" s="1095">
      <c r="A34" s="235" t="n"/>
      <c r="B34" s="562" t="inlineStr">
        <is>
          <t xml:space="preserve">    страховые взносы на обязательное социальное страхование</t>
        </is>
      </c>
      <c r="C34" s="235" t="inlineStr">
        <is>
          <t>-</t>
        </is>
      </c>
      <c r="D34" s="235" t="inlineStr">
        <is>
          <t>-</t>
        </is>
      </c>
      <c r="E34" s="235" t="inlineStr">
        <is>
          <t>-</t>
        </is>
      </c>
      <c r="F34" s="235" t="inlineStr">
        <is>
          <t>-</t>
        </is>
      </c>
      <c r="G34" s="235" t="inlineStr">
        <is>
          <t>-</t>
        </is>
      </c>
      <c r="H34" s="235" t="inlineStr">
        <is>
          <t>-</t>
        </is>
      </c>
      <c r="I34" s="235" t="inlineStr">
        <is>
          <t>-</t>
        </is>
      </c>
      <c r="J34" s="235" t="inlineStr">
        <is>
          <t>-</t>
        </is>
      </c>
    </row>
    <row r="35" ht="16.5" customFormat="1" customHeight="1" s="1095">
      <c r="A35" s="235" t="n"/>
      <c r="B35" s="562" t="inlineStr">
        <is>
          <t xml:space="preserve">    общепроизводственные затраты</t>
        </is>
      </c>
      <c r="C35" s="235" t="inlineStr">
        <is>
          <t>-</t>
        </is>
      </c>
      <c r="D35" s="235" t="inlineStr">
        <is>
          <t>-</t>
        </is>
      </c>
      <c r="E35" s="235" t="inlineStr">
        <is>
          <t>-</t>
        </is>
      </c>
      <c r="F35" s="235" t="inlineStr">
        <is>
          <t>-</t>
        </is>
      </c>
      <c r="G35" s="235" t="inlineStr">
        <is>
          <t>-</t>
        </is>
      </c>
      <c r="H35" s="235" t="inlineStr">
        <is>
          <t>-</t>
        </is>
      </c>
      <c r="I35" s="235" t="inlineStr">
        <is>
          <t>-</t>
        </is>
      </c>
      <c r="J35" s="235" t="inlineStr">
        <is>
          <t>-</t>
        </is>
      </c>
    </row>
    <row r="36" ht="30" customFormat="1" customHeight="1" s="1095">
      <c r="A36" s="563" t="n"/>
      <c r="B36" s="564" t="inlineStr">
        <is>
          <t>Количество изделий (комплектов и другое) с учетом периода использования, штук</t>
        </is>
      </c>
      <c r="C36" s="974" t="inlineStr">
        <is>
          <t>-</t>
        </is>
      </c>
      <c r="D36" s="974" t="inlineStr">
        <is>
          <t>-</t>
        </is>
      </c>
      <c r="E36" s="974" t="inlineStr">
        <is>
          <t>-</t>
        </is>
      </c>
      <c r="F36" s="974" t="inlineStr">
        <is>
          <t>-</t>
        </is>
      </c>
      <c r="G36" s="974" t="inlineStr">
        <is>
          <t>-</t>
        </is>
      </c>
      <c r="H36" s="974" t="inlineStr">
        <is>
          <t>-</t>
        </is>
      </c>
      <c r="I36" s="974" t="inlineStr">
        <is>
          <t>-</t>
        </is>
      </c>
      <c r="J36" s="974" t="inlineStr">
        <is>
          <t>-</t>
        </is>
      </c>
    </row>
    <row r="37" ht="19.5" customFormat="1" customHeight="1" s="1095">
      <c r="A37" s="975" t="n"/>
      <c r="B37" s="565" t="inlineStr">
        <is>
          <t>Затраты на единицу с учетом ставки погашения на единицу изделия</t>
        </is>
      </c>
      <c r="C37" s="975" t="inlineStr">
        <is>
          <t>-</t>
        </is>
      </c>
      <c r="D37" s="975" t="inlineStr">
        <is>
          <t>-</t>
        </is>
      </c>
      <c r="E37" s="975" t="inlineStr">
        <is>
          <t>-</t>
        </is>
      </c>
      <c r="F37" s="975" t="inlineStr">
        <is>
          <t>-</t>
        </is>
      </c>
      <c r="G37" s="975" t="inlineStr">
        <is>
          <t>-</t>
        </is>
      </c>
      <c r="H37" s="975" t="inlineStr">
        <is>
          <t>-</t>
        </is>
      </c>
      <c r="I37" s="975" t="inlineStr">
        <is>
          <t>-</t>
        </is>
      </c>
      <c r="J37" s="975" t="inlineStr">
        <is>
          <t>-</t>
        </is>
      </c>
    </row>
    <row r="38" ht="11.25" customFormat="1" customHeight="1" s="1095">
      <c r="A38" s="566" t="n"/>
      <c r="B38" s="240" t="n"/>
      <c r="C38" s="240" t="n"/>
      <c r="D38" s="240" t="n"/>
      <c r="E38" s="50" t="n"/>
      <c r="F38" s="50" t="n"/>
      <c r="G38" s="50" t="n"/>
      <c r="H38" s="50" t="n"/>
      <c r="I38" s="50" t="n"/>
      <c r="J38" s="50" t="n"/>
    </row>
    <row r="39" ht="18" customFormat="1" customHeight="1" s="1095">
      <c r="A39" s="567" t="n"/>
      <c r="B39" s="567" t="inlineStr">
        <is>
          <t>Ставка погашения на единицу изделия</t>
        </is>
      </c>
      <c r="C39" s="412" t="inlineStr">
        <is>
          <t>-</t>
        </is>
      </c>
      <c r="D39" s="18" t="n"/>
      <c r="E39" s="47" t="n"/>
      <c r="F39" s="47" t="n"/>
      <c r="G39" s="50" t="n"/>
      <c r="H39" s="50" t="n"/>
      <c r="I39" s="50" t="n"/>
      <c r="J39" s="50" t="n"/>
    </row>
    <row r="40" ht="20.25" customFormat="1" customHeight="1" s="1095">
      <c r="A40" s="954" t="n"/>
      <c r="B40" s="954" t="n"/>
      <c r="C40" s="954" t="n"/>
      <c r="D40" s="954" t="n"/>
    </row>
    <row r="41" ht="33" customFormat="1" customHeight="1" s="1095">
      <c r="B41" s="108" t="inlineStr">
        <is>
          <t>Начальник ОФЭиАУ НИОКР</t>
        </is>
      </c>
      <c r="C41" s="1157" t="inlineStr">
        <is>
          <t>Ответственный исполнитель</t>
        </is>
      </c>
      <c r="G41" s="1157" t="inlineStr">
        <is>
          <t>Руководитель договора</t>
        </is>
      </c>
      <c r="L41" s="959" t="n"/>
    </row>
    <row r="42" ht="30.75" customFormat="1" customHeight="1" s="1095">
      <c r="B42" s="2" t="inlineStr">
        <is>
          <t>_____________________ Н.О. Васецкая</t>
        </is>
      </c>
      <c r="C42" s="484" t="inlineStr">
        <is>
          <t>_____________________ И.О. Фамилия</t>
        </is>
      </c>
      <c r="D42" s="22" t="n"/>
      <c r="E42" s="31" t="n"/>
      <c r="G42" s="484" t="inlineStr">
        <is>
          <t>_____________________ А.И. Боровков</t>
        </is>
      </c>
      <c r="H42" s="22" t="n"/>
      <c r="L42" s="959" t="n"/>
    </row>
    <row r="43" ht="18.75" customFormat="1" customHeight="1" s="1095">
      <c r="B43" s="63" t="inlineStr">
        <is>
          <t xml:space="preserve">  (подпись)                                     (Ф.И.О.)</t>
        </is>
      </c>
      <c r="C43" s="63" t="inlineStr">
        <is>
          <t xml:space="preserve">  (подпись)                                        (Ф.И.О.)</t>
        </is>
      </c>
      <c r="D43" s="190" t="n"/>
      <c r="E43" s="31" t="n"/>
      <c r="G43" s="63" t="inlineStr">
        <is>
          <t xml:space="preserve">  (подпись)                                        (Ф.И.О.)</t>
        </is>
      </c>
      <c r="H43" s="190" t="n"/>
      <c r="L43" s="959" t="n"/>
    </row>
    <row r="44" ht="18.75" customFormat="1" customHeight="1" s="1095">
      <c r="B44" s="1239" t="inlineStr">
        <is>
          <t>«____» __________________ 2025 г.</t>
        </is>
      </c>
      <c r="C44" s="1239" t="inlineStr">
        <is>
          <t>«____» __________________ 2025 г.</t>
        </is>
      </c>
      <c r="D44" s="22" t="n"/>
      <c r="E44" s="22" t="n"/>
      <c r="G44" s="1239" t="inlineStr">
        <is>
          <t>«____» __________________ 2025 г.</t>
        </is>
      </c>
      <c r="H44" s="22" t="n"/>
      <c r="L44" s="238" t="n"/>
    </row>
    <row r="45" ht="20.25" customFormat="1" customHeight="1" s="1095">
      <c r="A45" s="954" t="n"/>
      <c r="B45" s="954" t="n"/>
      <c r="C45" s="954" t="n"/>
      <c r="D45" s="954" t="n"/>
    </row>
    <row r="46" ht="21.75" customHeight="1" s="794"/>
    <row r="47" ht="30.75" customHeight="1" s="794"/>
    <row r="48" ht="22.5" customHeight="1" s="794"/>
    <row r="49" ht="21" customHeight="1" s="794"/>
    <row r="50" ht="9.75" customHeight="1" s="794">
      <c r="A50" s="22" t="n"/>
      <c r="B50" s="22" t="n"/>
      <c r="C50" s="22" t="n"/>
      <c r="D50" s="22" t="n"/>
      <c r="E50" s="66" t="n"/>
      <c r="F50" s="66" t="n"/>
      <c r="G50" s="228" t="n"/>
      <c r="H50" s="1014" t="n"/>
    </row>
    <row r="51" ht="30" customHeight="1" s="794">
      <c r="A51" s="954" t="n"/>
      <c r="B51" s="954" t="n"/>
      <c r="C51" s="954" t="n"/>
      <c r="D51" s="954" t="n"/>
      <c r="E51" s="954" t="n"/>
      <c r="F51" s="954" t="n"/>
      <c r="G51" s="954" t="n"/>
      <c r="J51" s="27" t="n"/>
    </row>
    <row r="52" ht="15" customHeight="1" s="794">
      <c r="A52" s="24" t="n"/>
      <c r="B52" s="24" t="n"/>
      <c r="C52" s="24" t="n"/>
      <c r="D52" s="24" t="n"/>
      <c r="E52" s="22" t="n"/>
      <c r="F52" s="22" t="n"/>
      <c r="G52" s="228" t="n"/>
      <c r="J52" s="241" t="n"/>
    </row>
    <row r="53" ht="12.75" customHeight="1" s="794">
      <c r="A53" s="479" t="n"/>
      <c r="B53" s="479" t="n"/>
      <c r="C53" s="479" t="n"/>
      <c r="D53" s="479" t="n"/>
      <c r="E53" s="225" t="n"/>
      <c r="F53" s="225" t="n"/>
      <c r="G53" s="228" t="n"/>
      <c r="J53" s="241" t="n"/>
    </row>
    <row r="54" ht="15" customHeight="1" s="794">
      <c r="A54" s="239" t="n"/>
      <c r="B54" s="239" t="n"/>
      <c r="C54" s="239" t="n"/>
      <c r="D54" s="239" t="n"/>
      <c r="E54" s="13" t="n"/>
      <c r="F54" s="13" t="n"/>
      <c r="G54" s="228" t="n"/>
      <c r="J54" s="27" t="n"/>
    </row>
    <row r="55" ht="1.5" customHeight="1" s="794">
      <c r="A55" s="223" t="n"/>
      <c r="B55" s="223" t="n"/>
      <c r="C55" s="223" t="n"/>
      <c r="D55" s="223" t="n"/>
      <c r="E55" s="22" t="n"/>
      <c r="F55" s="22" t="n"/>
      <c r="G55" s="22" t="n"/>
    </row>
    <row r="56" ht="28.5" customHeight="1" s="794">
      <c r="A56" s="222" t="n"/>
      <c r="B56" s="222" t="n"/>
      <c r="C56" s="222" t="n"/>
      <c r="D56" s="222" t="n"/>
      <c r="E56" s="33" t="n"/>
      <c r="F56" s="33" t="n"/>
      <c r="G56" s="22" t="n"/>
    </row>
    <row r="57">
      <c r="A57" s="222" t="n"/>
      <c r="B57" s="222" t="n"/>
      <c r="C57" s="222" t="n"/>
      <c r="D57" s="222" t="n"/>
      <c r="E57" s="22" t="n"/>
      <c r="F57" s="22" t="n"/>
      <c r="G57" s="22" t="n"/>
    </row>
    <row r="58">
      <c r="A58" s="222" t="n"/>
      <c r="B58" s="222" t="n"/>
      <c r="C58" s="222" t="n"/>
      <c r="D58" s="222" t="n"/>
      <c r="E58" s="22" t="n"/>
      <c r="F58" s="22" t="n"/>
      <c r="G58" s="22" t="n"/>
    </row>
    <row r="59">
      <c r="A59" s="222" t="n"/>
      <c r="B59" s="222" t="n"/>
      <c r="C59" s="222" t="n"/>
      <c r="D59" s="222" t="n"/>
      <c r="E59" s="22" t="n"/>
      <c r="F59" s="22" t="n"/>
      <c r="G59" s="22" t="n"/>
    </row>
    <row r="60" ht="8.25" customHeight="1" s="794"/>
  </sheetData>
  <mergeCells count="15">
    <mergeCell ref="D8:E9"/>
    <mergeCell ref="C41:E41"/>
    <mergeCell ref="A8:A10"/>
    <mergeCell ref="A6:J6"/>
    <mergeCell ref="F9:F10"/>
    <mergeCell ref="J9:J10"/>
    <mergeCell ref="G41:H41"/>
    <mergeCell ref="B4:I4"/>
    <mergeCell ref="B3:I3"/>
    <mergeCell ref="B5:I5"/>
    <mergeCell ref="G9:I9"/>
    <mergeCell ref="B8:B10"/>
    <mergeCell ref="C8:C10"/>
    <mergeCell ref="F8:J8"/>
    <mergeCell ref="I1:J1"/>
  </mergeCells>
  <printOptions horizontalCentered="1"/>
  <pageMargins left="0.5905511811023623" right="0.5905511811023623" top="0.5511811023622047" bottom="0.5511811023622047" header="0.3149606299212598" footer="0.3149606299212598"/>
  <pageSetup orientation="landscape" paperSize="9" scale="62"/>
  <rowBreaks count="1" manualBreakCount="1">
    <brk id="54" min="0" max="6" man="1"/>
  </rowBreaks>
</worksheet>
</file>

<file path=xl/worksheets/sheet25.xml><?xml version="1.0" encoding="utf-8"?>
<worksheet xmlns="http://schemas.openxmlformats.org/spreadsheetml/2006/main">
  <sheetPr>
    <tabColor theme="4" tint="0.7999816888943144"/>
    <outlinePr summaryBelow="1" summaryRight="1"/>
    <pageSetUpPr fitToPage="1"/>
  </sheetPr>
  <dimension ref="A1:R46"/>
  <sheetViews>
    <sheetView view="pageBreakPreview" zoomScale="80" zoomScaleNormal="100" zoomScaleSheetLayoutView="80" workbookViewId="0">
      <selection activeCell="B4" sqref="B4:N4"/>
    </sheetView>
  </sheetViews>
  <sheetFormatPr baseColWidth="8" defaultRowHeight="15"/>
  <cols>
    <col width="5.42578125" customWidth="1" style="794" min="1" max="1"/>
    <col width="32.42578125" customWidth="1" style="794" min="2" max="2"/>
    <col width="8.85546875" customWidth="1" style="794" min="3" max="3"/>
    <col width="11.140625" customWidth="1" style="794" min="4" max="5"/>
    <col width="18.85546875" customWidth="1" style="794" min="6" max="6"/>
    <col width="22.140625" customWidth="1" style="794" min="7" max="7"/>
    <col width="14.85546875" customWidth="1" style="794" min="8" max="8"/>
    <col width="13.140625" customWidth="1" style="794" min="9" max="9"/>
    <col width="10.42578125" customWidth="1" style="794" min="10" max="10"/>
    <col width="11.28515625" customWidth="1" style="794" min="11" max="11"/>
    <col width="18.7109375" customWidth="1" style="794" min="12" max="12"/>
    <col width="13.7109375" customWidth="1" style="794" min="13" max="13"/>
    <col width="13.7109375" bestFit="1" customWidth="1" style="794" min="14" max="14"/>
    <col width="12.42578125" customWidth="1" style="794" min="15" max="15"/>
    <col width="5.42578125" customWidth="1" style="794" min="257" max="257"/>
    <col width="32.42578125" customWidth="1" style="794" min="258" max="258"/>
    <col width="11.140625" customWidth="1" style="794" min="259" max="261"/>
    <col width="18.85546875" customWidth="1" style="794" min="262" max="262"/>
    <col width="22.140625" customWidth="1" style="794" min="263" max="263"/>
    <col width="14.85546875" customWidth="1" style="794" min="264" max="264"/>
    <col width="16.140625" customWidth="1" style="794" min="265" max="265"/>
    <col width="10.42578125" customWidth="1" style="794" min="266" max="266"/>
    <col width="11.28515625" customWidth="1" style="794" min="267" max="267"/>
    <col width="18.7109375" customWidth="1" style="794" min="268" max="268"/>
    <col width="15.7109375" customWidth="1" style="794" min="269" max="269"/>
    <col width="13.7109375" bestFit="1" customWidth="1" style="794" min="270" max="270"/>
    <col width="13.7109375" customWidth="1" style="794" min="271" max="271"/>
    <col width="5.42578125" customWidth="1" style="794" min="513" max="513"/>
    <col width="32.42578125" customWidth="1" style="794" min="514" max="514"/>
    <col width="11.140625" customWidth="1" style="794" min="515" max="517"/>
    <col width="18.85546875" customWidth="1" style="794" min="518" max="518"/>
    <col width="22.140625" customWidth="1" style="794" min="519" max="519"/>
    <col width="14.85546875" customWidth="1" style="794" min="520" max="520"/>
    <col width="16.140625" customWidth="1" style="794" min="521" max="521"/>
    <col width="10.42578125" customWidth="1" style="794" min="522" max="522"/>
    <col width="11.28515625" customWidth="1" style="794" min="523" max="523"/>
    <col width="18.7109375" customWidth="1" style="794" min="524" max="524"/>
    <col width="15.7109375" customWidth="1" style="794" min="525" max="525"/>
    <col width="13.7109375" bestFit="1" customWidth="1" style="794" min="526" max="526"/>
    <col width="13.7109375" customWidth="1" style="794" min="527" max="527"/>
    <col width="5.42578125" customWidth="1" style="794" min="769" max="769"/>
    <col width="32.42578125" customWidth="1" style="794" min="770" max="770"/>
    <col width="11.140625" customWidth="1" style="794" min="771" max="773"/>
    <col width="18.85546875" customWidth="1" style="794" min="774" max="774"/>
    <col width="22.140625" customWidth="1" style="794" min="775" max="775"/>
    <col width="14.85546875" customWidth="1" style="794" min="776" max="776"/>
    <col width="16.140625" customWidth="1" style="794" min="777" max="777"/>
    <col width="10.42578125" customWidth="1" style="794" min="778" max="778"/>
    <col width="11.28515625" customWidth="1" style="794" min="779" max="779"/>
    <col width="18.7109375" customWidth="1" style="794" min="780" max="780"/>
    <col width="15.7109375" customWidth="1" style="794" min="781" max="781"/>
    <col width="13.7109375" bestFit="1" customWidth="1" style="794" min="782" max="782"/>
    <col width="13.7109375" customWidth="1" style="794" min="783" max="783"/>
    <col width="5.42578125" customWidth="1" style="794" min="1025" max="1025"/>
    <col width="32.42578125" customWidth="1" style="794" min="1026" max="1026"/>
    <col width="11.140625" customWidth="1" style="794" min="1027" max="1029"/>
    <col width="18.85546875" customWidth="1" style="794" min="1030" max="1030"/>
    <col width="22.140625" customWidth="1" style="794" min="1031" max="1031"/>
    <col width="14.85546875" customWidth="1" style="794" min="1032" max="1032"/>
    <col width="16.140625" customWidth="1" style="794" min="1033" max="1033"/>
    <col width="10.42578125" customWidth="1" style="794" min="1034" max="1034"/>
    <col width="11.28515625" customWidth="1" style="794" min="1035" max="1035"/>
    <col width="18.7109375" customWidth="1" style="794" min="1036" max="1036"/>
    <col width="15.7109375" customWidth="1" style="794" min="1037" max="1037"/>
    <col width="13.7109375" bestFit="1" customWidth="1" style="794" min="1038" max="1038"/>
    <col width="13.7109375" customWidth="1" style="794" min="1039" max="1039"/>
    <col width="5.42578125" customWidth="1" style="794" min="1281" max="1281"/>
    <col width="32.42578125" customWidth="1" style="794" min="1282" max="1282"/>
    <col width="11.140625" customWidth="1" style="794" min="1283" max="1285"/>
    <col width="18.85546875" customWidth="1" style="794" min="1286" max="1286"/>
    <col width="22.140625" customWidth="1" style="794" min="1287" max="1287"/>
    <col width="14.85546875" customWidth="1" style="794" min="1288" max="1288"/>
    <col width="16.140625" customWidth="1" style="794" min="1289" max="1289"/>
    <col width="10.42578125" customWidth="1" style="794" min="1290" max="1290"/>
    <col width="11.28515625" customWidth="1" style="794" min="1291" max="1291"/>
    <col width="18.7109375" customWidth="1" style="794" min="1292" max="1292"/>
    <col width="15.7109375" customWidth="1" style="794" min="1293" max="1293"/>
    <col width="13.7109375" bestFit="1" customWidth="1" style="794" min="1294" max="1294"/>
    <col width="13.7109375" customWidth="1" style="794" min="1295" max="1295"/>
    <col width="5.42578125" customWidth="1" style="794" min="1537" max="1537"/>
    <col width="32.42578125" customWidth="1" style="794" min="1538" max="1538"/>
    <col width="11.140625" customWidth="1" style="794" min="1539" max="1541"/>
    <col width="18.85546875" customWidth="1" style="794" min="1542" max="1542"/>
    <col width="22.140625" customWidth="1" style="794" min="1543" max="1543"/>
    <col width="14.85546875" customWidth="1" style="794" min="1544" max="1544"/>
    <col width="16.140625" customWidth="1" style="794" min="1545" max="1545"/>
    <col width="10.42578125" customWidth="1" style="794" min="1546" max="1546"/>
    <col width="11.28515625" customWidth="1" style="794" min="1547" max="1547"/>
    <col width="18.7109375" customWidth="1" style="794" min="1548" max="1548"/>
    <col width="15.7109375" customWidth="1" style="794" min="1549" max="1549"/>
    <col width="13.7109375" bestFit="1" customWidth="1" style="794" min="1550" max="1550"/>
    <col width="13.7109375" customWidth="1" style="794" min="1551" max="1551"/>
    <col width="5.42578125" customWidth="1" style="794" min="1793" max="1793"/>
    <col width="32.42578125" customWidth="1" style="794" min="1794" max="1794"/>
    <col width="11.140625" customWidth="1" style="794" min="1795" max="1797"/>
    <col width="18.85546875" customWidth="1" style="794" min="1798" max="1798"/>
    <col width="22.140625" customWidth="1" style="794" min="1799" max="1799"/>
    <col width="14.85546875" customWidth="1" style="794" min="1800" max="1800"/>
    <col width="16.140625" customWidth="1" style="794" min="1801" max="1801"/>
    <col width="10.42578125" customWidth="1" style="794" min="1802" max="1802"/>
    <col width="11.28515625" customWidth="1" style="794" min="1803" max="1803"/>
    <col width="18.7109375" customWidth="1" style="794" min="1804" max="1804"/>
    <col width="15.7109375" customWidth="1" style="794" min="1805" max="1805"/>
    <col width="13.7109375" bestFit="1" customWidth="1" style="794" min="1806" max="1806"/>
    <col width="13.7109375" customWidth="1" style="794" min="1807" max="1807"/>
    <col width="5.42578125" customWidth="1" style="794" min="2049" max="2049"/>
    <col width="32.42578125" customWidth="1" style="794" min="2050" max="2050"/>
    <col width="11.140625" customWidth="1" style="794" min="2051" max="2053"/>
    <col width="18.85546875" customWidth="1" style="794" min="2054" max="2054"/>
    <col width="22.140625" customWidth="1" style="794" min="2055" max="2055"/>
    <col width="14.85546875" customWidth="1" style="794" min="2056" max="2056"/>
    <col width="16.140625" customWidth="1" style="794" min="2057" max="2057"/>
    <col width="10.42578125" customWidth="1" style="794" min="2058" max="2058"/>
    <col width="11.28515625" customWidth="1" style="794" min="2059" max="2059"/>
    <col width="18.7109375" customWidth="1" style="794" min="2060" max="2060"/>
    <col width="15.7109375" customWidth="1" style="794" min="2061" max="2061"/>
    <col width="13.7109375" bestFit="1" customWidth="1" style="794" min="2062" max="2062"/>
    <col width="13.7109375" customWidth="1" style="794" min="2063" max="2063"/>
    <col width="5.42578125" customWidth="1" style="794" min="2305" max="2305"/>
    <col width="32.42578125" customWidth="1" style="794" min="2306" max="2306"/>
    <col width="11.140625" customWidth="1" style="794" min="2307" max="2309"/>
    <col width="18.85546875" customWidth="1" style="794" min="2310" max="2310"/>
    <col width="22.140625" customWidth="1" style="794" min="2311" max="2311"/>
    <col width="14.85546875" customWidth="1" style="794" min="2312" max="2312"/>
    <col width="16.140625" customWidth="1" style="794" min="2313" max="2313"/>
    <col width="10.42578125" customWidth="1" style="794" min="2314" max="2314"/>
    <col width="11.28515625" customWidth="1" style="794" min="2315" max="2315"/>
    <col width="18.7109375" customWidth="1" style="794" min="2316" max="2316"/>
    <col width="15.7109375" customWidth="1" style="794" min="2317" max="2317"/>
    <col width="13.7109375" bestFit="1" customWidth="1" style="794" min="2318" max="2318"/>
    <col width="13.7109375" customWidth="1" style="794" min="2319" max="2319"/>
    <col width="5.42578125" customWidth="1" style="794" min="2561" max="2561"/>
    <col width="32.42578125" customWidth="1" style="794" min="2562" max="2562"/>
    <col width="11.140625" customWidth="1" style="794" min="2563" max="2565"/>
    <col width="18.85546875" customWidth="1" style="794" min="2566" max="2566"/>
    <col width="22.140625" customWidth="1" style="794" min="2567" max="2567"/>
    <col width="14.85546875" customWidth="1" style="794" min="2568" max="2568"/>
    <col width="16.140625" customWidth="1" style="794" min="2569" max="2569"/>
    <col width="10.42578125" customWidth="1" style="794" min="2570" max="2570"/>
    <col width="11.28515625" customWidth="1" style="794" min="2571" max="2571"/>
    <col width="18.7109375" customWidth="1" style="794" min="2572" max="2572"/>
    <col width="15.7109375" customWidth="1" style="794" min="2573" max="2573"/>
    <col width="13.7109375" bestFit="1" customWidth="1" style="794" min="2574" max="2574"/>
    <col width="13.7109375" customWidth="1" style="794" min="2575" max="2575"/>
    <col width="5.42578125" customWidth="1" style="794" min="2817" max="2817"/>
    <col width="32.42578125" customWidth="1" style="794" min="2818" max="2818"/>
    <col width="11.140625" customWidth="1" style="794" min="2819" max="2821"/>
    <col width="18.85546875" customWidth="1" style="794" min="2822" max="2822"/>
    <col width="22.140625" customWidth="1" style="794" min="2823" max="2823"/>
    <col width="14.85546875" customWidth="1" style="794" min="2824" max="2824"/>
    <col width="16.140625" customWidth="1" style="794" min="2825" max="2825"/>
    <col width="10.42578125" customWidth="1" style="794" min="2826" max="2826"/>
    <col width="11.28515625" customWidth="1" style="794" min="2827" max="2827"/>
    <col width="18.7109375" customWidth="1" style="794" min="2828" max="2828"/>
    <col width="15.7109375" customWidth="1" style="794" min="2829" max="2829"/>
    <col width="13.7109375" bestFit="1" customWidth="1" style="794" min="2830" max="2830"/>
    <col width="13.7109375" customWidth="1" style="794" min="2831" max="2831"/>
    <col width="5.42578125" customWidth="1" style="794" min="3073" max="3073"/>
    <col width="32.42578125" customWidth="1" style="794" min="3074" max="3074"/>
    <col width="11.140625" customWidth="1" style="794" min="3075" max="3077"/>
    <col width="18.85546875" customWidth="1" style="794" min="3078" max="3078"/>
    <col width="22.140625" customWidth="1" style="794" min="3079" max="3079"/>
    <col width="14.85546875" customWidth="1" style="794" min="3080" max="3080"/>
    <col width="16.140625" customWidth="1" style="794" min="3081" max="3081"/>
    <col width="10.42578125" customWidth="1" style="794" min="3082" max="3082"/>
    <col width="11.28515625" customWidth="1" style="794" min="3083" max="3083"/>
    <col width="18.7109375" customWidth="1" style="794" min="3084" max="3084"/>
    <col width="15.7109375" customWidth="1" style="794" min="3085" max="3085"/>
    <col width="13.7109375" bestFit="1" customWidth="1" style="794" min="3086" max="3086"/>
    <col width="13.7109375" customWidth="1" style="794" min="3087" max="3087"/>
    <col width="5.42578125" customWidth="1" style="794" min="3329" max="3329"/>
    <col width="32.42578125" customWidth="1" style="794" min="3330" max="3330"/>
    <col width="11.140625" customWidth="1" style="794" min="3331" max="3333"/>
    <col width="18.85546875" customWidth="1" style="794" min="3334" max="3334"/>
    <col width="22.140625" customWidth="1" style="794" min="3335" max="3335"/>
    <col width="14.85546875" customWidth="1" style="794" min="3336" max="3336"/>
    <col width="16.140625" customWidth="1" style="794" min="3337" max="3337"/>
    <col width="10.42578125" customWidth="1" style="794" min="3338" max="3338"/>
    <col width="11.28515625" customWidth="1" style="794" min="3339" max="3339"/>
    <col width="18.7109375" customWidth="1" style="794" min="3340" max="3340"/>
    <col width="15.7109375" customWidth="1" style="794" min="3341" max="3341"/>
    <col width="13.7109375" bestFit="1" customWidth="1" style="794" min="3342" max="3342"/>
    <col width="13.7109375" customWidth="1" style="794" min="3343" max="3343"/>
    <col width="5.42578125" customWidth="1" style="794" min="3585" max="3585"/>
    <col width="32.42578125" customWidth="1" style="794" min="3586" max="3586"/>
    <col width="11.140625" customWidth="1" style="794" min="3587" max="3589"/>
    <col width="18.85546875" customWidth="1" style="794" min="3590" max="3590"/>
    <col width="22.140625" customWidth="1" style="794" min="3591" max="3591"/>
    <col width="14.85546875" customWidth="1" style="794" min="3592" max="3592"/>
    <col width="16.140625" customWidth="1" style="794" min="3593" max="3593"/>
    <col width="10.42578125" customWidth="1" style="794" min="3594" max="3594"/>
    <col width="11.28515625" customWidth="1" style="794" min="3595" max="3595"/>
    <col width="18.7109375" customWidth="1" style="794" min="3596" max="3596"/>
    <col width="15.7109375" customWidth="1" style="794" min="3597" max="3597"/>
    <col width="13.7109375" bestFit="1" customWidth="1" style="794" min="3598" max="3598"/>
    <col width="13.7109375" customWidth="1" style="794" min="3599" max="3599"/>
    <col width="5.42578125" customWidth="1" style="794" min="3841" max="3841"/>
    <col width="32.42578125" customWidth="1" style="794" min="3842" max="3842"/>
    <col width="11.140625" customWidth="1" style="794" min="3843" max="3845"/>
    <col width="18.85546875" customWidth="1" style="794" min="3846" max="3846"/>
    <col width="22.140625" customWidth="1" style="794" min="3847" max="3847"/>
    <col width="14.85546875" customWidth="1" style="794" min="3848" max="3848"/>
    <col width="16.140625" customWidth="1" style="794" min="3849" max="3849"/>
    <col width="10.42578125" customWidth="1" style="794" min="3850" max="3850"/>
    <col width="11.28515625" customWidth="1" style="794" min="3851" max="3851"/>
    <col width="18.7109375" customWidth="1" style="794" min="3852" max="3852"/>
    <col width="15.7109375" customWidth="1" style="794" min="3853" max="3853"/>
    <col width="13.7109375" bestFit="1" customWidth="1" style="794" min="3854" max="3854"/>
    <col width="13.7109375" customWidth="1" style="794" min="3855" max="3855"/>
    <col width="5.42578125" customWidth="1" style="794" min="4097" max="4097"/>
    <col width="32.42578125" customWidth="1" style="794" min="4098" max="4098"/>
    <col width="11.140625" customWidth="1" style="794" min="4099" max="4101"/>
    <col width="18.85546875" customWidth="1" style="794" min="4102" max="4102"/>
    <col width="22.140625" customWidth="1" style="794" min="4103" max="4103"/>
    <col width="14.85546875" customWidth="1" style="794" min="4104" max="4104"/>
    <col width="16.140625" customWidth="1" style="794" min="4105" max="4105"/>
    <col width="10.42578125" customWidth="1" style="794" min="4106" max="4106"/>
    <col width="11.28515625" customWidth="1" style="794" min="4107" max="4107"/>
    <col width="18.7109375" customWidth="1" style="794" min="4108" max="4108"/>
    <col width="15.7109375" customWidth="1" style="794" min="4109" max="4109"/>
    <col width="13.7109375" bestFit="1" customWidth="1" style="794" min="4110" max="4110"/>
    <col width="13.7109375" customWidth="1" style="794" min="4111" max="4111"/>
    <col width="5.42578125" customWidth="1" style="794" min="4353" max="4353"/>
    <col width="32.42578125" customWidth="1" style="794" min="4354" max="4354"/>
    <col width="11.140625" customWidth="1" style="794" min="4355" max="4357"/>
    <col width="18.85546875" customWidth="1" style="794" min="4358" max="4358"/>
    <col width="22.140625" customWidth="1" style="794" min="4359" max="4359"/>
    <col width="14.85546875" customWidth="1" style="794" min="4360" max="4360"/>
    <col width="16.140625" customWidth="1" style="794" min="4361" max="4361"/>
    <col width="10.42578125" customWidth="1" style="794" min="4362" max="4362"/>
    <col width="11.28515625" customWidth="1" style="794" min="4363" max="4363"/>
    <col width="18.7109375" customWidth="1" style="794" min="4364" max="4364"/>
    <col width="15.7109375" customWidth="1" style="794" min="4365" max="4365"/>
    <col width="13.7109375" bestFit="1" customWidth="1" style="794" min="4366" max="4366"/>
    <col width="13.7109375" customWidth="1" style="794" min="4367" max="4367"/>
    <col width="5.42578125" customWidth="1" style="794" min="4609" max="4609"/>
    <col width="32.42578125" customWidth="1" style="794" min="4610" max="4610"/>
    <col width="11.140625" customWidth="1" style="794" min="4611" max="4613"/>
    <col width="18.85546875" customWidth="1" style="794" min="4614" max="4614"/>
    <col width="22.140625" customWidth="1" style="794" min="4615" max="4615"/>
    <col width="14.85546875" customWidth="1" style="794" min="4616" max="4616"/>
    <col width="16.140625" customWidth="1" style="794" min="4617" max="4617"/>
    <col width="10.42578125" customWidth="1" style="794" min="4618" max="4618"/>
    <col width="11.28515625" customWidth="1" style="794" min="4619" max="4619"/>
    <col width="18.7109375" customWidth="1" style="794" min="4620" max="4620"/>
    <col width="15.7109375" customWidth="1" style="794" min="4621" max="4621"/>
    <col width="13.7109375" bestFit="1" customWidth="1" style="794" min="4622" max="4622"/>
    <col width="13.7109375" customWidth="1" style="794" min="4623" max="4623"/>
    <col width="5.42578125" customWidth="1" style="794" min="4865" max="4865"/>
    <col width="32.42578125" customWidth="1" style="794" min="4866" max="4866"/>
    <col width="11.140625" customWidth="1" style="794" min="4867" max="4869"/>
    <col width="18.85546875" customWidth="1" style="794" min="4870" max="4870"/>
    <col width="22.140625" customWidth="1" style="794" min="4871" max="4871"/>
    <col width="14.85546875" customWidth="1" style="794" min="4872" max="4872"/>
    <col width="16.140625" customWidth="1" style="794" min="4873" max="4873"/>
    <col width="10.42578125" customWidth="1" style="794" min="4874" max="4874"/>
    <col width="11.28515625" customWidth="1" style="794" min="4875" max="4875"/>
    <col width="18.7109375" customWidth="1" style="794" min="4876" max="4876"/>
    <col width="15.7109375" customWidth="1" style="794" min="4877" max="4877"/>
    <col width="13.7109375" bestFit="1" customWidth="1" style="794" min="4878" max="4878"/>
    <col width="13.7109375" customWidth="1" style="794" min="4879" max="4879"/>
    <col width="5.42578125" customWidth="1" style="794" min="5121" max="5121"/>
    <col width="32.42578125" customWidth="1" style="794" min="5122" max="5122"/>
    <col width="11.140625" customWidth="1" style="794" min="5123" max="5125"/>
    <col width="18.85546875" customWidth="1" style="794" min="5126" max="5126"/>
    <col width="22.140625" customWidth="1" style="794" min="5127" max="5127"/>
    <col width="14.85546875" customWidth="1" style="794" min="5128" max="5128"/>
    <col width="16.140625" customWidth="1" style="794" min="5129" max="5129"/>
    <col width="10.42578125" customWidth="1" style="794" min="5130" max="5130"/>
    <col width="11.28515625" customWidth="1" style="794" min="5131" max="5131"/>
    <col width="18.7109375" customWidth="1" style="794" min="5132" max="5132"/>
    <col width="15.7109375" customWidth="1" style="794" min="5133" max="5133"/>
    <col width="13.7109375" bestFit="1" customWidth="1" style="794" min="5134" max="5134"/>
    <col width="13.7109375" customWidth="1" style="794" min="5135" max="5135"/>
    <col width="5.42578125" customWidth="1" style="794" min="5377" max="5377"/>
    <col width="32.42578125" customWidth="1" style="794" min="5378" max="5378"/>
    <col width="11.140625" customWidth="1" style="794" min="5379" max="5381"/>
    <col width="18.85546875" customWidth="1" style="794" min="5382" max="5382"/>
    <col width="22.140625" customWidth="1" style="794" min="5383" max="5383"/>
    <col width="14.85546875" customWidth="1" style="794" min="5384" max="5384"/>
    <col width="16.140625" customWidth="1" style="794" min="5385" max="5385"/>
    <col width="10.42578125" customWidth="1" style="794" min="5386" max="5386"/>
    <col width="11.28515625" customWidth="1" style="794" min="5387" max="5387"/>
    <col width="18.7109375" customWidth="1" style="794" min="5388" max="5388"/>
    <col width="15.7109375" customWidth="1" style="794" min="5389" max="5389"/>
    <col width="13.7109375" bestFit="1" customWidth="1" style="794" min="5390" max="5390"/>
    <col width="13.7109375" customWidth="1" style="794" min="5391" max="5391"/>
    <col width="5.42578125" customWidth="1" style="794" min="5633" max="5633"/>
    <col width="32.42578125" customWidth="1" style="794" min="5634" max="5634"/>
    <col width="11.140625" customWidth="1" style="794" min="5635" max="5637"/>
    <col width="18.85546875" customWidth="1" style="794" min="5638" max="5638"/>
    <col width="22.140625" customWidth="1" style="794" min="5639" max="5639"/>
    <col width="14.85546875" customWidth="1" style="794" min="5640" max="5640"/>
    <col width="16.140625" customWidth="1" style="794" min="5641" max="5641"/>
    <col width="10.42578125" customWidth="1" style="794" min="5642" max="5642"/>
    <col width="11.28515625" customWidth="1" style="794" min="5643" max="5643"/>
    <col width="18.7109375" customWidth="1" style="794" min="5644" max="5644"/>
    <col width="15.7109375" customWidth="1" style="794" min="5645" max="5645"/>
    <col width="13.7109375" bestFit="1" customWidth="1" style="794" min="5646" max="5646"/>
    <col width="13.7109375" customWidth="1" style="794" min="5647" max="5647"/>
    <col width="5.42578125" customWidth="1" style="794" min="5889" max="5889"/>
    <col width="32.42578125" customWidth="1" style="794" min="5890" max="5890"/>
    <col width="11.140625" customWidth="1" style="794" min="5891" max="5893"/>
    <col width="18.85546875" customWidth="1" style="794" min="5894" max="5894"/>
    <col width="22.140625" customWidth="1" style="794" min="5895" max="5895"/>
    <col width="14.85546875" customWidth="1" style="794" min="5896" max="5896"/>
    <col width="16.140625" customWidth="1" style="794" min="5897" max="5897"/>
    <col width="10.42578125" customWidth="1" style="794" min="5898" max="5898"/>
    <col width="11.28515625" customWidth="1" style="794" min="5899" max="5899"/>
    <col width="18.7109375" customWidth="1" style="794" min="5900" max="5900"/>
    <col width="15.7109375" customWidth="1" style="794" min="5901" max="5901"/>
    <col width="13.7109375" bestFit="1" customWidth="1" style="794" min="5902" max="5902"/>
    <col width="13.7109375" customWidth="1" style="794" min="5903" max="5903"/>
    <col width="5.42578125" customWidth="1" style="794" min="6145" max="6145"/>
    <col width="32.42578125" customWidth="1" style="794" min="6146" max="6146"/>
    <col width="11.140625" customWidth="1" style="794" min="6147" max="6149"/>
    <col width="18.85546875" customWidth="1" style="794" min="6150" max="6150"/>
    <col width="22.140625" customWidth="1" style="794" min="6151" max="6151"/>
    <col width="14.85546875" customWidth="1" style="794" min="6152" max="6152"/>
    <col width="16.140625" customWidth="1" style="794" min="6153" max="6153"/>
    <col width="10.42578125" customWidth="1" style="794" min="6154" max="6154"/>
    <col width="11.28515625" customWidth="1" style="794" min="6155" max="6155"/>
    <col width="18.7109375" customWidth="1" style="794" min="6156" max="6156"/>
    <col width="15.7109375" customWidth="1" style="794" min="6157" max="6157"/>
    <col width="13.7109375" bestFit="1" customWidth="1" style="794" min="6158" max="6158"/>
    <col width="13.7109375" customWidth="1" style="794" min="6159" max="6159"/>
    <col width="5.42578125" customWidth="1" style="794" min="6401" max="6401"/>
    <col width="32.42578125" customWidth="1" style="794" min="6402" max="6402"/>
    <col width="11.140625" customWidth="1" style="794" min="6403" max="6405"/>
    <col width="18.85546875" customWidth="1" style="794" min="6406" max="6406"/>
    <col width="22.140625" customWidth="1" style="794" min="6407" max="6407"/>
    <col width="14.85546875" customWidth="1" style="794" min="6408" max="6408"/>
    <col width="16.140625" customWidth="1" style="794" min="6409" max="6409"/>
    <col width="10.42578125" customWidth="1" style="794" min="6410" max="6410"/>
    <col width="11.28515625" customWidth="1" style="794" min="6411" max="6411"/>
    <col width="18.7109375" customWidth="1" style="794" min="6412" max="6412"/>
    <col width="15.7109375" customWidth="1" style="794" min="6413" max="6413"/>
    <col width="13.7109375" bestFit="1" customWidth="1" style="794" min="6414" max="6414"/>
    <col width="13.7109375" customWidth="1" style="794" min="6415" max="6415"/>
    <col width="5.42578125" customWidth="1" style="794" min="6657" max="6657"/>
    <col width="32.42578125" customWidth="1" style="794" min="6658" max="6658"/>
    <col width="11.140625" customWidth="1" style="794" min="6659" max="6661"/>
    <col width="18.85546875" customWidth="1" style="794" min="6662" max="6662"/>
    <col width="22.140625" customWidth="1" style="794" min="6663" max="6663"/>
    <col width="14.85546875" customWidth="1" style="794" min="6664" max="6664"/>
    <col width="16.140625" customWidth="1" style="794" min="6665" max="6665"/>
    <col width="10.42578125" customWidth="1" style="794" min="6666" max="6666"/>
    <col width="11.28515625" customWidth="1" style="794" min="6667" max="6667"/>
    <col width="18.7109375" customWidth="1" style="794" min="6668" max="6668"/>
    <col width="15.7109375" customWidth="1" style="794" min="6669" max="6669"/>
    <col width="13.7109375" bestFit="1" customWidth="1" style="794" min="6670" max="6670"/>
    <col width="13.7109375" customWidth="1" style="794" min="6671" max="6671"/>
    <col width="5.42578125" customWidth="1" style="794" min="6913" max="6913"/>
    <col width="32.42578125" customWidth="1" style="794" min="6914" max="6914"/>
    <col width="11.140625" customWidth="1" style="794" min="6915" max="6917"/>
    <col width="18.85546875" customWidth="1" style="794" min="6918" max="6918"/>
    <col width="22.140625" customWidth="1" style="794" min="6919" max="6919"/>
    <col width="14.85546875" customWidth="1" style="794" min="6920" max="6920"/>
    <col width="16.140625" customWidth="1" style="794" min="6921" max="6921"/>
    <col width="10.42578125" customWidth="1" style="794" min="6922" max="6922"/>
    <col width="11.28515625" customWidth="1" style="794" min="6923" max="6923"/>
    <col width="18.7109375" customWidth="1" style="794" min="6924" max="6924"/>
    <col width="15.7109375" customWidth="1" style="794" min="6925" max="6925"/>
    <col width="13.7109375" bestFit="1" customWidth="1" style="794" min="6926" max="6926"/>
    <col width="13.7109375" customWidth="1" style="794" min="6927" max="6927"/>
    <col width="5.42578125" customWidth="1" style="794" min="7169" max="7169"/>
    <col width="32.42578125" customWidth="1" style="794" min="7170" max="7170"/>
    <col width="11.140625" customWidth="1" style="794" min="7171" max="7173"/>
    <col width="18.85546875" customWidth="1" style="794" min="7174" max="7174"/>
    <col width="22.140625" customWidth="1" style="794" min="7175" max="7175"/>
    <col width="14.85546875" customWidth="1" style="794" min="7176" max="7176"/>
    <col width="16.140625" customWidth="1" style="794" min="7177" max="7177"/>
    <col width="10.42578125" customWidth="1" style="794" min="7178" max="7178"/>
    <col width="11.28515625" customWidth="1" style="794" min="7179" max="7179"/>
    <col width="18.7109375" customWidth="1" style="794" min="7180" max="7180"/>
    <col width="15.7109375" customWidth="1" style="794" min="7181" max="7181"/>
    <col width="13.7109375" bestFit="1" customWidth="1" style="794" min="7182" max="7182"/>
    <col width="13.7109375" customWidth="1" style="794" min="7183" max="7183"/>
    <col width="5.42578125" customWidth="1" style="794" min="7425" max="7425"/>
    <col width="32.42578125" customWidth="1" style="794" min="7426" max="7426"/>
    <col width="11.140625" customWidth="1" style="794" min="7427" max="7429"/>
    <col width="18.85546875" customWidth="1" style="794" min="7430" max="7430"/>
    <col width="22.140625" customWidth="1" style="794" min="7431" max="7431"/>
    <col width="14.85546875" customWidth="1" style="794" min="7432" max="7432"/>
    <col width="16.140625" customWidth="1" style="794" min="7433" max="7433"/>
    <col width="10.42578125" customWidth="1" style="794" min="7434" max="7434"/>
    <col width="11.28515625" customWidth="1" style="794" min="7435" max="7435"/>
    <col width="18.7109375" customWidth="1" style="794" min="7436" max="7436"/>
    <col width="15.7109375" customWidth="1" style="794" min="7437" max="7437"/>
    <col width="13.7109375" bestFit="1" customWidth="1" style="794" min="7438" max="7438"/>
    <col width="13.7109375" customWidth="1" style="794" min="7439" max="7439"/>
    <col width="5.42578125" customWidth="1" style="794" min="7681" max="7681"/>
    <col width="32.42578125" customWidth="1" style="794" min="7682" max="7682"/>
    <col width="11.140625" customWidth="1" style="794" min="7683" max="7685"/>
    <col width="18.85546875" customWidth="1" style="794" min="7686" max="7686"/>
    <col width="22.140625" customWidth="1" style="794" min="7687" max="7687"/>
    <col width="14.85546875" customWidth="1" style="794" min="7688" max="7688"/>
    <col width="16.140625" customWidth="1" style="794" min="7689" max="7689"/>
    <col width="10.42578125" customWidth="1" style="794" min="7690" max="7690"/>
    <col width="11.28515625" customWidth="1" style="794" min="7691" max="7691"/>
    <col width="18.7109375" customWidth="1" style="794" min="7692" max="7692"/>
    <col width="15.7109375" customWidth="1" style="794" min="7693" max="7693"/>
    <col width="13.7109375" bestFit="1" customWidth="1" style="794" min="7694" max="7694"/>
    <col width="13.7109375" customWidth="1" style="794" min="7695" max="7695"/>
    <col width="5.42578125" customWidth="1" style="794" min="7937" max="7937"/>
    <col width="32.42578125" customWidth="1" style="794" min="7938" max="7938"/>
    <col width="11.140625" customWidth="1" style="794" min="7939" max="7941"/>
    <col width="18.85546875" customWidth="1" style="794" min="7942" max="7942"/>
    <col width="22.140625" customWidth="1" style="794" min="7943" max="7943"/>
    <col width="14.85546875" customWidth="1" style="794" min="7944" max="7944"/>
    <col width="16.140625" customWidth="1" style="794" min="7945" max="7945"/>
    <col width="10.42578125" customWidth="1" style="794" min="7946" max="7946"/>
    <col width="11.28515625" customWidth="1" style="794" min="7947" max="7947"/>
    <col width="18.7109375" customWidth="1" style="794" min="7948" max="7948"/>
    <col width="15.7109375" customWidth="1" style="794" min="7949" max="7949"/>
    <col width="13.7109375" bestFit="1" customWidth="1" style="794" min="7950" max="7950"/>
    <col width="13.7109375" customWidth="1" style="794" min="7951" max="7951"/>
    <col width="5.42578125" customWidth="1" style="794" min="8193" max="8193"/>
    <col width="32.42578125" customWidth="1" style="794" min="8194" max="8194"/>
    <col width="11.140625" customWidth="1" style="794" min="8195" max="8197"/>
    <col width="18.85546875" customWidth="1" style="794" min="8198" max="8198"/>
    <col width="22.140625" customWidth="1" style="794" min="8199" max="8199"/>
    <col width="14.85546875" customWidth="1" style="794" min="8200" max="8200"/>
    <col width="16.140625" customWidth="1" style="794" min="8201" max="8201"/>
    <col width="10.42578125" customWidth="1" style="794" min="8202" max="8202"/>
    <col width="11.28515625" customWidth="1" style="794" min="8203" max="8203"/>
    <col width="18.7109375" customWidth="1" style="794" min="8204" max="8204"/>
    <col width="15.7109375" customWidth="1" style="794" min="8205" max="8205"/>
    <col width="13.7109375" bestFit="1" customWidth="1" style="794" min="8206" max="8206"/>
    <col width="13.7109375" customWidth="1" style="794" min="8207" max="8207"/>
    <col width="5.42578125" customWidth="1" style="794" min="8449" max="8449"/>
    <col width="32.42578125" customWidth="1" style="794" min="8450" max="8450"/>
    <col width="11.140625" customWidth="1" style="794" min="8451" max="8453"/>
    <col width="18.85546875" customWidth="1" style="794" min="8454" max="8454"/>
    <col width="22.140625" customWidth="1" style="794" min="8455" max="8455"/>
    <col width="14.85546875" customWidth="1" style="794" min="8456" max="8456"/>
    <col width="16.140625" customWidth="1" style="794" min="8457" max="8457"/>
    <col width="10.42578125" customWidth="1" style="794" min="8458" max="8458"/>
    <col width="11.28515625" customWidth="1" style="794" min="8459" max="8459"/>
    <col width="18.7109375" customWidth="1" style="794" min="8460" max="8460"/>
    <col width="15.7109375" customWidth="1" style="794" min="8461" max="8461"/>
    <col width="13.7109375" bestFit="1" customWidth="1" style="794" min="8462" max="8462"/>
    <col width="13.7109375" customWidth="1" style="794" min="8463" max="8463"/>
    <col width="5.42578125" customWidth="1" style="794" min="8705" max="8705"/>
    <col width="32.42578125" customWidth="1" style="794" min="8706" max="8706"/>
    <col width="11.140625" customWidth="1" style="794" min="8707" max="8709"/>
    <col width="18.85546875" customWidth="1" style="794" min="8710" max="8710"/>
    <col width="22.140625" customWidth="1" style="794" min="8711" max="8711"/>
    <col width="14.85546875" customWidth="1" style="794" min="8712" max="8712"/>
    <col width="16.140625" customWidth="1" style="794" min="8713" max="8713"/>
    <col width="10.42578125" customWidth="1" style="794" min="8714" max="8714"/>
    <col width="11.28515625" customWidth="1" style="794" min="8715" max="8715"/>
    <col width="18.7109375" customWidth="1" style="794" min="8716" max="8716"/>
    <col width="15.7109375" customWidth="1" style="794" min="8717" max="8717"/>
    <col width="13.7109375" bestFit="1" customWidth="1" style="794" min="8718" max="8718"/>
    <col width="13.7109375" customWidth="1" style="794" min="8719" max="8719"/>
    <col width="5.42578125" customWidth="1" style="794" min="8961" max="8961"/>
    <col width="32.42578125" customWidth="1" style="794" min="8962" max="8962"/>
    <col width="11.140625" customWidth="1" style="794" min="8963" max="8965"/>
    <col width="18.85546875" customWidth="1" style="794" min="8966" max="8966"/>
    <col width="22.140625" customWidth="1" style="794" min="8967" max="8967"/>
    <col width="14.85546875" customWidth="1" style="794" min="8968" max="8968"/>
    <col width="16.140625" customWidth="1" style="794" min="8969" max="8969"/>
    <col width="10.42578125" customWidth="1" style="794" min="8970" max="8970"/>
    <col width="11.28515625" customWidth="1" style="794" min="8971" max="8971"/>
    <col width="18.7109375" customWidth="1" style="794" min="8972" max="8972"/>
    <col width="15.7109375" customWidth="1" style="794" min="8973" max="8973"/>
    <col width="13.7109375" bestFit="1" customWidth="1" style="794" min="8974" max="8974"/>
    <col width="13.7109375" customWidth="1" style="794" min="8975" max="8975"/>
    <col width="5.42578125" customWidth="1" style="794" min="9217" max="9217"/>
    <col width="32.42578125" customWidth="1" style="794" min="9218" max="9218"/>
    <col width="11.140625" customWidth="1" style="794" min="9219" max="9221"/>
    <col width="18.85546875" customWidth="1" style="794" min="9222" max="9222"/>
    <col width="22.140625" customWidth="1" style="794" min="9223" max="9223"/>
    <col width="14.85546875" customWidth="1" style="794" min="9224" max="9224"/>
    <col width="16.140625" customWidth="1" style="794" min="9225" max="9225"/>
    <col width="10.42578125" customWidth="1" style="794" min="9226" max="9226"/>
    <col width="11.28515625" customWidth="1" style="794" min="9227" max="9227"/>
    <col width="18.7109375" customWidth="1" style="794" min="9228" max="9228"/>
    <col width="15.7109375" customWidth="1" style="794" min="9229" max="9229"/>
    <col width="13.7109375" bestFit="1" customWidth="1" style="794" min="9230" max="9230"/>
    <col width="13.7109375" customWidth="1" style="794" min="9231" max="9231"/>
    <col width="5.42578125" customWidth="1" style="794" min="9473" max="9473"/>
    <col width="32.42578125" customWidth="1" style="794" min="9474" max="9474"/>
    <col width="11.140625" customWidth="1" style="794" min="9475" max="9477"/>
    <col width="18.85546875" customWidth="1" style="794" min="9478" max="9478"/>
    <col width="22.140625" customWidth="1" style="794" min="9479" max="9479"/>
    <col width="14.85546875" customWidth="1" style="794" min="9480" max="9480"/>
    <col width="16.140625" customWidth="1" style="794" min="9481" max="9481"/>
    <col width="10.42578125" customWidth="1" style="794" min="9482" max="9482"/>
    <col width="11.28515625" customWidth="1" style="794" min="9483" max="9483"/>
    <col width="18.7109375" customWidth="1" style="794" min="9484" max="9484"/>
    <col width="15.7109375" customWidth="1" style="794" min="9485" max="9485"/>
    <col width="13.7109375" bestFit="1" customWidth="1" style="794" min="9486" max="9486"/>
    <col width="13.7109375" customWidth="1" style="794" min="9487" max="9487"/>
    <col width="5.42578125" customWidth="1" style="794" min="9729" max="9729"/>
    <col width="32.42578125" customWidth="1" style="794" min="9730" max="9730"/>
    <col width="11.140625" customWidth="1" style="794" min="9731" max="9733"/>
    <col width="18.85546875" customWidth="1" style="794" min="9734" max="9734"/>
    <col width="22.140625" customWidth="1" style="794" min="9735" max="9735"/>
    <col width="14.85546875" customWidth="1" style="794" min="9736" max="9736"/>
    <col width="16.140625" customWidth="1" style="794" min="9737" max="9737"/>
    <col width="10.42578125" customWidth="1" style="794" min="9738" max="9738"/>
    <col width="11.28515625" customWidth="1" style="794" min="9739" max="9739"/>
    <col width="18.7109375" customWidth="1" style="794" min="9740" max="9740"/>
    <col width="15.7109375" customWidth="1" style="794" min="9741" max="9741"/>
    <col width="13.7109375" bestFit="1" customWidth="1" style="794" min="9742" max="9742"/>
    <col width="13.7109375" customWidth="1" style="794" min="9743" max="9743"/>
    <col width="5.42578125" customWidth="1" style="794" min="9985" max="9985"/>
    <col width="32.42578125" customWidth="1" style="794" min="9986" max="9986"/>
    <col width="11.140625" customWidth="1" style="794" min="9987" max="9989"/>
    <col width="18.85546875" customWidth="1" style="794" min="9990" max="9990"/>
    <col width="22.140625" customWidth="1" style="794" min="9991" max="9991"/>
    <col width="14.85546875" customWidth="1" style="794" min="9992" max="9992"/>
    <col width="16.140625" customWidth="1" style="794" min="9993" max="9993"/>
    <col width="10.42578125" customWidth="1" style="794" min="9994" max="9994"/>
    <col width="11.28515625" customWidth="1" style="794" min="9995" max="9995"/>
    <col width="18.7109375" customWidth="1" style="794" min="9996" max="9996"/>
    <col width="15.7109375" customWidth="1" style="794" min="9997" max="9997"/>
    <col width="13.7109375" bestFit="1" customWidth="1" style="794" min="9998" max="9998"/>
    <col width="13.7109375" customWidth="1" style="794" min="9999" max="9999"/>
    <col width="5.42578125" customWidth="1" style="794" min="10241" max="10241"/>
    <col width="32.42578125" customWidth="1" style="794" min="10242" max="10242"/>
    <col width="11.140625" customWidth="1" style="794" min="10243" max="10245"/>
    <col width="18.85546875" customWidth="1" style="794" min="10246" max="10246"/>
    <col width="22.140625" customWidth="1" style="794" min="10247" max="10247"/>
    <col width="14.85546875" customWidth="1" style="794" min="10248" max="10248"/>
    <col width="16.140625" customWidth="1" style="794" min="10249" max="10249"/>
    <col width="10.42578125" customWidth="1" style="794" min="10250" max="10250"/>
    <col width="11.28515625" customWidth="1" style="794" min="10251" max="10251"/>
    <col width="18.7109375" customWidth="1" style="794" min="10252" max="10252"/>
    <col width="15.7109375" customWidth="1" style="794" min="10253" max="10253"/>
    <col width="13.7109375" bestFit="1" customWidth="1" style="794" min="10254" max="10254"/>
    <col width="13.7109375" customWidth="1" style="794" min="10255" max="10255"/>
    <col width="5.42578125" customWidth="1" style="794" min="10497" max="10497"/>
    <col width="32.42578125" customWidth="1" style="794" min="10498" max="10498"/>
    <col width="11.140625" customWidth="1" style="794" min="10499" max="10501"/>
    <col width="18.85546875" customWidth="1" style="794" min="10502" max="10502"/>
    <col width="22.140625" customWidth="1" style="794" min="10503" max="10503"/>
    <col width="14.85546875" customWidth="1" style="794" min="10504" max="10504"/>
    <col width="16.140625" customWidth="1" style="794" min="10505" max="10505"/>
    <col width="10.42578125" customWidth="1" style="794" min="10506" max="10506"/>
    <col width="11.28515625" customWidth="1" style="794" min="10507" max="10507"/>
    <col width="18.7109375" customWidth="1" style="794" min="10508" max="10508"/>
    <col width="15.7109375" customWidth="1" style="794" min="10509" max="10509"/>
    <col width="13.7109375" bestFit="1" customWidth="1" style="794" min="10510" max="10510"/>
    <col width="13.7109375" customWidth="1" style="794" min="10511" max="10511"/>
    <col width="5.42578125" customWidth="1" style="794" min="10753" max="10753"/>
    <col width="32.42578125" customWidth="1" style="794" min="10754" max="10754"/>
    <col width="11.140625" customWidth="1" style="794" min="10755" max="10757"/>
    <col width="18.85546875" customWidth="1" style="794" min="10758" max="10758"/>
    <col width="22.140625" customWidth="1" style="794" min="10759" max="10759"/>
    <col width="14.85546875" customWidth="1" style="794" min="10760" max="10760"/>
    <col width="16.140625" customWidth="1" style="794" min="10761" max="10761"/>
    <col width="10.42578125" customWidth="1" style="794" min="10762" max="10762"/>
    <col width="11.28515625" customWidth="1" style="794" min="10763" max="10763"/>
    <col width="18.7109375" customWidth="1" style="794" min="10764" max="10764"/>
    <col width="15.7109375" customWidth="1" style="794" min="10765" max="10765"/>
    <col width="13.7109375" bestFit="1" customWidth="1" style="794" min="10766" max="10766"/>
    <col width="13.7109375" customWidth="1" style="794" min="10767" max="10767"/>
    <col width="5.42578125" customWidth="1" style="794" min="11009" max="11009"/>
    <col width="32.42578125" customWidth="1" style="794" min="11010" max="11010"/>
    <col width="11.140625" customWidth="1" style="794" min="11011" max="11013"/>
    <col width="18.85546875" customWidth="1" style="794" min="11014" max="11014"/>
    <col width="22.140625" customWidth="1" style="794" min="11015" max="11015"/>
    <col width="14.85546875" customWidth="1" style="794" min="11016" max="11016"/>
    <col width="16.140625" customWidth="1" style="794" min="11017" max="11017"/>
    <col width="10.42578125" customWidth="1" style="794" min="11018" max="11018"/>
    <col width="11.28515625" customWidth="1" style="794" min="11019" max="11019"/>
    <col width="18.7109375" customWidth="1" style="794" min="11020" max="11020"/>
    <col width="15.7109375" customWidth="1" style="794" min="11021" max="11021"/>
    <col width="13.7109375" bestFit="1" customWidth="1" style="794" min="11022" max="11022"/>
    <col width="13.7109375" customWidth="1" style="794" min="11023" max="11023"/>
    <col width="5.42578125" customWidth="1" style="794" min="11265" max="11265"/>
    <col width="32.42578125" customWidth="1" style="794" min="11266" max="11266"/>
    <col width="11.140625" customWidth="1" style="794" min="11267" max="11269"/>
    <col width="18.85546875" customWidth="1" style="794" min="11270" max="11270"/>
    <col width="22.140625" customWidth="1" style="794" min="11271" max="11271"/>
    <col width="14.85546875" customWidth="1" style="794" min="11272" max="11272"/>
    <col width="16.140625" customWidth="1" style="794" min="11273" max="11273"/>
    <col width="10.42578125" customWidth="1" style="794" min="11274" max="11274"/>
    <col width="11.28515625" customWidth="1" style="794" min="11275" max="11275"/>
    <col width="18.7109375" customWidth="1" style="794" min="11276" max="11276"/>
    <col width="15.7109375" customWidth="1" style="794" min="11277" max="11277"/>
    <col width="13.7109375" bestFit="1" customWidth="1" style="794" min="11278" max="11278"/>
    <col width="13.7109375" customWidth="1" style="794" min="11279" max="11279"/>
    <col width="5.42578125" customWidth="1" style="794" min="11521" max="11521"/>
    <col width="32.42578125" customWidth="1" style="794" min="11522" max="11522"/>
    <col width="11.140625" customWidth="1" style="794" min="11523" max="11525"/>
    <col width="18.85546875" customWidth="1" style="794" min="11526" max="11526"/>
    <col width="22.140625" customWidth="1" style="794" min="11527" max="11527"/>
    <col width="14.85546875" customWidth="1" style="794" min="11528" max="11528"/>
    <col width="16.140625" customWidth="1" style="794" min="11529" max="11529"/>
    <col width="10.42578125" customWidth="1" style="794" min="11530" max="11530"/>
    <col width="11.28515625" customWidth="1" style="794" min="11531" max="11531"/>
    <col width="18.7109375" customWidth="1" style="794" min="11532" max="11532"/>
    <col width="15.7109375" customWidth="1" style="794" min="11533" max="11533"/>
    <col width="13.7109375" bestFit="1" customWidth="1" style="794" min="11534" max="11534"/>
    <col width="13.7109375" customWidth="1" style="794" min="11535" max="11535"/>
    <col width="5.42578125" customWidth="1" style="794" min="11777" max="11777"/>
    <col width="32.42578125" customWidth="1" style="794" min="11778" max="11778"/>
    <col width="11.140625" customWidth="1" style="794" min="11779" max="11781"/>
    <col width="18.85546875" customWidth="1" style="794" min="11782" max="11782"/>
    <col width="22.140625" customWidth="1" style="794" min="11783" max="11783"/>
    <col width="14.85546875" customWidth="1" style="794" min="11784" max="11784"/>
    <col width="16.140625" customWidth="1" style="794" min="11785" max="11785"/>
    <col width="10.42578125" customWidth="1" style="794" min="11786" max="11786"/>
    <col width="11.28515625" customWidth="1" style="794" min="11787" max="11787"/>
    <col width="18.7109375" customWidth="1" style="794" min="11788" max="11788"/>
    <col width="15.7109375" customWidth="1" style="794" min="11789" max="11789"/>
    <col width="13.7109375" bestFit="1" customWidth="1" style="794" min="11790" max="11790"/>
    <col width="13.7109375" customWidth="1" style="794" min="11791" max="11791"/>
    <col width="5.42578125" customWidth="1" style="794" min="12033" max="12033"/>
    <col width="32.42578125" customWidth="1" style="794" min="12034" max="12034"/>
    <col width="11.140625" customWidth="1" style="794" min="12035" max="12037"/>
    <col width="18.85546875" customWidth="1" style="794" min="12038" max="12038"/>
    <col width="22.140625" customWidth="1" style="794" min="12039" max="12039"/>
    <col width="14.85546875" customWidth="1" style="794" min="12040" max="12040"/>
    <col width="16.140625" customWidth="1" style="794" min="12041" max="12041"/>
    <col width="10.42578125" customWidth="1" style="794" min="12042" max="12042"/>
    <col width="11.28515625" customWidth="1" style="794" min="12043" max="12043"/>
    <col width="18.7109375" customWidth="1" style="794" min="12044" max="12044"/>
    <col width="15.7109375" customWidth="1" style="794" min="12045" max="12045"/>
    <col width="13.7109375" bestFit="1" customWidth="1" style="794" min="12046" max="12046"/>
    <col width="13.7109375" customWidth="1" style="794" min="12047" max="12047"/>
    <col width="5.42578125" customWidth="1" style="794" min="12289" max="12289"/>
    <col width="32.42578125" customWidth="1" style="794" min="12290" max="12290"/>
    <col width="11.140625" customWidth="1" style="794" min="12291" max="12293"/>
    <col width="18.85546875" customWidth="1" style="794" min="12294" max="12294"/>
    <col width="22.140625" customWidth="1" style="794" min="12295" max="12295"/>
    <col width="14.85546875" customWidth="1" style="794" min="12296" max="12296"/>
    <col width="16.140625" customWidth="1" style="794" min="12297" max="12297"/>
    <col width="10.42578125" customWidth="1" style="794" min="12298" max="12298"/>
    <col width="11.28515625" customWidth="1" style="794" min="12299" max="12299"/>
    <col width="18.7109375" customWidth="1" style="794" min="12300" max="12300"/>
    <col width="15.7109375" customWidth="1" style="794" min="12301" max="12301"/>
    <col width="13.7109375" bestFit="1" customWidth="1" style="794" min="12302" max="12302"/>
    <col width="13.7109375" customWidth="1" style="794" min="12303" max="12303"/>
    <col width="5.42578125" customWidth="1" style="794" min="12545" max="12545"/>
    <col width="32.42578125" customWidth="1" style="794" min="12546" max="12546"/>
    <col width="11.140625" customWidth="1" style="794" min="12547" max="12549"/>
    <col width="18.85546875" customWidth="1" style="794" min="12550" max="12550"/>
    <col width="22.140625" customWidth="1" style="794" min="12551" max="12551"/>
    <col width="14.85546875" customWidth="1" style="794" min="12552" max="12552"/>
    <col width="16.140625" customWidth="1" style="794" min="12553" max="12553"/>
    <col width="10.42578125" customWidth="1" style="794" min="12554" max="12554"/>
    <col width="11.28515625" customWidth="1" style="794" min="12555" max="12555"/>
    <col width="18.7109375" customWidth="1" style="794" min="12556" max="12556"/>
    <col width="15.7109375" customWidth="1" style="794" min="12557" max="12557"/>
    <col width="13.7109375" bestFit="1" customWidth="1" style="794" min="12558" max="12558"/>
    <col width="13.7109375" customWidth="1" style="794" min="12559" max="12559"/>
    <col width="5.42578125" customWidth="1" style="794" min="12801" max="12801"/>
    <col width="32.42578125" customWidth="1" style="794" min="12802" max="12802"/>
    <col width="11.140625" customWidth="1" style="794" min="12803" max="12805"/>
    <col width="18.85546875" customWidth="1" style="794" min="12806" max="12806"/>
    <col width="22.140625" customWidth="1" style="794" min="12807" max="12807"/>
    <col width="14.85546875" customWidth="1" style="794" min="12808" max="12808"/>
    <col width="16.140625" customWidth="1" style="794" min="12809" max="12809"/>
    <col width="10.42578125" customWidth="1" style="794" min="12810" max="12810"/>
    <col width="11.28515625" customWidth="1" style="794" min="12811" max="12811"/>
    <col width="18.7109375" customWidth="1" style="794" min="12812" max="12812"/>
    <col width="15.7109375" customWidth="1" style="794" min="12813" max="12813"/>
    <col width="13.7109375" bestFit="1" customWidth="1" style="794" min="12814" max="12814"/>
    <col width="13.7109375" customWidth="1" style="794" min="12815" max="12815"/>
    <col width="5.42578125" customWidth="1" style="794" min="13057" max="13057"/>
    <col width="32.42578125" customWidth="1" style="794" min="13058" max="13058"/>
    <col width="11.140625" customWidth="1" style="794" min="13059" max="13061"/>
    <col width="18.85546875" customWidth="1" style="794" min="13062" max="13062"/>
    <col width="22.140625" customWidth="1" style="794" min="13063" max="13063"/>
    <col width="14.85546875" customWidth="1" style="794" min="13064" max="13064"/>
    <col width="16.140625" customWidth="1" style="794" min="13065" max="13065"/>
    <col width="10.42578125" customWidth="1" style="794" min="13066" max="13066"/>
    <col width="11.28515625" customWidth="1" style="794" min="13067" max="13067"/>
    <col width="18.7109375" customWidth="1" style="794" min="13068" max="13068"/>
    <col width="15.7109375" customWidth="1" style="794" min="13069" max="13069"/>
    <col width="13.7109375" bestFit="1" customWidth="1" style="794" min="13070" max="13070"/>
    <col width="13.7109375" customWidth="1" style="794" min="13071" max="13071"/>
    <col width="5.42578125" customWidth="1" style="794" min="13313" max="13313"/>
    <col width="32.42578125" customWidth="1" style="794" min="13314" max="13314"/>
    <col width="11.140625" customWidth="1" style="794" min="13315" max="13317"/>
    <col width="18.85546875" customWidth="1" style="794" min="13318" max="13318"/>
    <col width="22.140625" customWidth="1" style="794" min="13319" max="13319"/>
    <col width="14.85546875" customWidth="1" style="794" min="13320" max="13320"/>
    <col width="16.140625" customWidth="1" style="794" min="13321" max="13321"/>
    <col width="10.42578125" customWidth="1" style="794" min="13322" max="13322"/>
    <col width="11.28515625" customWidth="1" style="794" min="13323" max="13323"/>
    <col width="18.7109375" customWidth="1" style="794" min="13324" max="13324"/>
    <col width="15.7109375" customWidth="1" style="794" min="13325" max="13325"/>
    <col width="13.7109375" bestFit="1" customWidth="1" style="794" min="13326" max="13326"/>
    <col width="13.7109375" customWidth="1" style="794" min="13327" max="13327"/>
    <col width="5.42578125" customWidth="1" style="794" min="13569" max="13569"/>
    <col width="32.42578125" customWidth="1" style="794" min="13570" max="13570"/>
    <col width="11.140625" customWidth="1" style="794" min="13571" max="13573"/>
    <col width="18.85546875" customWidth="1" style="794" min="13574" max="13574"/>
    <col width="22.140625" customWidth="1" style="794" min="13575" max="13575"/>
    <col width="14.85546875" customWidth="1" style="794" min="13576" max="13576"/>
    <col width="16.140625" customWidth="1" style="794" min="13577" max="13577"/>
    <col width="10.42578125" customWidth="1" style="794" min="13578" max="13578"/>
    <col width="11.28515625" customWidth="1" style="794" min="13579" max="13579"/>
    <col width="18.7109375" customWidth="1" style="794" min="13580" max="13580"/>
    <col width="15.7109375" customWidth="1" style="794" min="13581" max="13581"/>
    <col width="13.7109375" bestFit="1" customWidth="1" style="794" min="13582" max="13582"/>
    <col width="13.7109375" customWidth="1" style="794" min="13583" max="13583"/>
    <col width="5.42578125" customWidth="1" style="794" min="13825" max="13825"/>
    <col width="32.42578125" customWidth="1" style="794" min="13826" max="13826"/>
    <col width="11.140625" customWidth="1" style="794" min="13827" max="13829"/>
    <col width="18.85546875" customWidth="1" style="794" min="13830" max="13830"/>
    <col width="22.140625" customWidth="1" style="794" min="13831" max="13831"/>
    <col width="14.85546875" customWidth="1" style="794" min="13832" max="13832"/>
    <col width="16.140625" customWidth="1" style="794" min="13833" max="13833"/>
    <col width="10.42578125" customWidth="1" style="794" min="13834" max="13834"/>
    <col width="11.28515625" customWidth="1" style="794" min="13835" max="13835"/>
    <col width="18.7109375" customWidth="1" style="794" min="13836" max="13836"/>
    <col width="15.7109375" customWidth="1" style="794" min="13837" max="13837"/>
    <col width="13.7109375" bestFit="1" customWidth="1" style="794" min="13838" max="13838"/>
    <col width="13.7109375" customWidth="1" style="794" min="13839" max="13839"/>
    <col width="5.42578125" customWidth="1" style="794" min="14081" max="14081"/>
    <col width="32.42578125" customWidth="1" style="794" min="14082" max="14082"/>
    <col width="11.140625" customWidth="1" style="794" min="14083" max="14085"/>
    <col width="18.85546875" customWidth="1" style="794" min="14086" max="14086"/>
    <col width="22.140625" customWidth="1" style="794" min="14087" max="14087"/>
    <col width="14.85546875" customWidth="1" style="794" min="14088" max="14088"/>
    <col width="16.140625" customWidth="1" style="794" min="14089" max="14089"/>
    <col width="10.42578125" customWidth="1" style="794" min="14090" max="14090"/>
    <col width="11.28515625" customWidth="1" style="794" min="14091" max="14091"/>
    <col width="18.7109375" customWidth="1" style="794" min="14092" max="14092"/>
    <col width="15.7109375" customWidth="1" style="794" min="14093" max="14093"/>
    <col width="13.7109375" bestFit="1" customWidth="1" style="794" min="14094" max="14094"/>
    <col width="13.7109375" customWidth="1" style="794" min="14095" max="14095"/>
    <col width="5.42578125" customWidth="1" style="794" min="14337" max="14337"/>
    <col width="32.42578125" customWidth="1" style="794" min="14338" max="14338"/>
    <col width="11.140625" customWidth="1" style="794" min="14339" max="14341"/>
    <col width="18.85546875" customWidth="1" style="794" min="14342" max="14342"/>
    <col width="22.140625" customWidth="1" style="794" min="14343" max="14343"/>
    <col width="14.85546875" customWidth="1" style="794" min="14344" max="14344"/>
    <col width="16.140625" customWidth="1" style="794" min="14345" max="14345"/>
    <col width="10.42578125" customWidth="1" style="794" min="14346" max="14346"/>
    <col width="11.28515625" customWidth="1" style="794" min="14347" max="14347"/>
    <col width="18.7109375" customWidth="1" style="794" min="14348" max="14348"/>
    <col width="15.7109375" customWidth="1" style="794" min="14349" max="14349"/>
    <col width="13.7109375" bestFit="1" customWidth="1" style="794" min="14350" max="14350"/>
    <col width="13.7109375" customWidth="1" style="794" min="14351" max="14351"/>
    <col width="5.42578125" customWidth="1" style="794" min="14593" max="14593"/>
    <col width="32.42578125" customWidth="1" style="794" min="14594" max="14594"/>
    <col width="11.140625" customWidth="1" style="794" min="14595" max="14597"/>
    <col width="18.85546875" customWidth="1" style="794" min="14598" max="14598"/>
    <col width="22.140625" customWidth="1" style="794" min="14599" max="14599"/>
    <col width="14.85546875" customWidth="1" style="794" min="14600" max="14600"/>
    <col width="16.140625" customWidth="1" style="794" min="14601" max="14601"/>
    <col width="10.42578125" customWidth="1" style="794" min="14602" max="14602"/>
    <col width="11.28515625" customWidth="1" style="794" min="14603" max="14603"/>
    <col width="18.7109375" customWidth="1" style="794" min="14604" max="14604"/>
    <col width="15.7109375" customWidth="1" style="794" min="14605" max="14605"/>
    <col width="13.7109375" bestFit="1" customWidth="1" style="794" min="14606" max="14606"/>
    <col width="13.7109375" customWidth="1" style="794" min="14607" max="14607"/>
    <col width="5.42578125" customWidth="1" style="794" min="14849" max="14849"/>
    <col width="32.42578125" customWidth="1" style="794" min="14850" max="14850"/>
    <col width="11.140625" customWidth="1" style="794" min="14851" max="14853"/>
    <col width="18.85546875" customWidth="1" style="794" min="14854" max="14854"/>
    <col width="22.140625" customWidth="1" style="794" min="14855" max="14855"/>
    <col width="14.85546875" customWidth="1" style="794" min="14856" max="14856"/>
    <col width="16.140625" customWidth="1" style="794" min="14857" max="14857"/>
    <col width="10.42578125" customWidth="1" style="794" min="14858" max="14858"/>
    <col width="11.28515625" customWidth="1" style="794" min="14859" max="14859"/>
    <col width="18.7109375" customWidth="1" style="794" min="14860" max="14860"/>
    <col width="15.7109375" customWidth="1" style="794" min="14861" max="14861"/>
    <col width="13.7109375" bestFit="1" customWidth="1" style="794" min="14862" max="14862"/>
    <col width="13.7109375" customWidth="1" style="794" min="14863" max="14863"/>
    <col width="5.42578125" customWidth="1" style="794" min="15105" max="15105"/>
    <col width="32.42578125" customWidth="1" style="794" min="15106" max="15106"/>
    <col width="11.140625" customWidth="1" style="794" min="15107" max="15109"/>
    <col width="18.85546875" customWidth="1" style="794" min="15110" max="15110"/>
    <col width="22.140625" customWidth="1" style="794" min="15111" max="15111"/>
    <col width="14.85546875" customWidth="1" style="794" min="15112" max="15112"/>
    <col width="16.140625" customWidth="1" style="794" min="15113" max="15113"/>
    <col width="10.42578125" customWidth="1" style="794" min="15114" max="15114"/>
    <col width="11.28515625" customWidth="1" style="794" min="15115" max="15115"/>
    <col width="18.7109375" customWidth="1" style="794" min="15116" max="15116"/>
    <col width="15.7109375" customWidth="1" style="794" min="15117" max="15117"/>
    <col width="13.7109375" bestFit="1" customWidth="1" style="794" min="15118" max="15118"/>
    <col width="13.7109375" customWidth="1" style="794" min="15119" max="15119"/>
    <col width="5.42578125" customWidth="1" style="794" min="15361" max="15361"/>
    <col width="32.42578125" customWidth="1" style="794" min="15362" max="15362"/>
    <col width="11.140625" customWidth="1" style="794" min="15363" max="15365"/>
    <col width="18.85546875" customWidth="1" style="794" min="15366" max="15366"/>
    <col width="22.140625" customWidth="1" style="794" min="15367" max="15367"/>
    <col width="14.85546875" customWidth="1" style="794" min="15368" max="15368"/>
    <col width="16.140625" customWidth="1" style="794" min="15369" max="15369"/>
    <col width="10.42578125" customWidth="1" style="794" min="15370" max="15370"/>
    <col width="11.28515625" customWidth="1" style="794" min="15371" max="15371"/>
    <col width="18.7109375" customWidth="1" style="794" min="15372" max="15372"/>
    <col width="15.7109375" customWidth="1" style="794" min="15373" max="15373"/>
    <col width="13.7109375" bestFit="1" customWidth="1" style="794" min="15374" max="15374"/>
    <col width="13.7109375" customWidth="1" style="794" min="15375" max="15375"/>
    <col width="5.42578125" customWidth="1" style="794" min="15617" max="15617"/>
    <col width="32.42578125" customWidth="1" style="794" min="15618" max="15618"/>
    <col width="11.140625" customWidth="1" style="794" min="15619" max="15621"/>
    <col width="18.85546875" customWidth="1" style="794" min="15622" max="15622"/>
    <col width="22.140625" customWidth="1" style="794" min="15623" max="15623"/>
    <col width="14.85546875" customWidth="1" style="794" min="15624" max="15624"/>
    <col width="16.140625" customWidth="1" style="794" min="15625" max="15625"/>
    <col width="10.42578125" customWidth="1" style="794" min="15626" max="15626"/>
    <col width="11.28515625" customWidth="1" style="794" min="15627" max="15627"/>
    <col width="18.7109375" customWidth="1" style="794" min="15628" max="15628"/>
    <col width="15.7109375" customWidth="1" style="794" min="15629" max="15629"/>
    <col width="13.7109375" bestFit="1" customWidth="1" style="794" min="15630" max="15630"/>
    <col width="13.7109375" customWidth="1" style="794" min="15631" max="15631"/>
    <col width="5.42578125" customWidth="1" style="794" min="15873" max="15873"/>
    <col width="32.42578125" customWidth="1" style="794" min="15874" max="15874"/>
    <col width="11.140625" customWidth="1" style="794" min="15875" max="15877"/>
    <col width="18.85546875" customWidth="1" style="794" min="15878" max="15878"/>
    <col width="22.140625" customWidth="1" style="794" min="15879" max="15879"/>
    <col width="14.85546875" customWidth="1" style="794" min="15880" max="15880"/>
    <col width="16.140625" customWidth="1" style="794" min="15881" max="15881"/>
    <col width="10.42578125" customWidth="1" style="794" min="15882" max="15882"/>
    <col width="11.28515625" customWidth="1" style="794" min="15883" max="15883"/>
    <col width="18.7109375" customWidth="1" style="794" min="15884" max="15884"/>
    <col width="15.7109375" customWidth="1" style="794" min="15885" max="15885"/>
    <col width="13.7109375" bestFit="1" customWidth="1" style="794" min="15886" max="15886"/>
    <col width="13.7109375" customWidth="1" style="794" min="15887" max="15887"/>
    <col width="5.42578125" customWidth="1" style="794" min="16129" max="16129"/>
    <col width="32.42578125" customWidth="1" style="794" min="16130" max="16130"/>
    <col width="11.140625" customWidth="1" style="794" min="16131" max="16133"/>
    <col width="18.85546875" customWidth="1" style="794" min="16134" max="16134"/>
    <col width="22.140625" customWidth="1" style="794" min="16135" max="16135"/>
    <col width="14.85546875" customWidth="1" style="794" min="16136" max="16136"/>
    <col width="16.140625" customWidth="1" style="794" min="16137" max="16137"/>
    <col width="10.42578125" customWidth="1" style="794" min="16138" max="16138"/>
    <col width="11.28515625" customWidth="1" style="794" min="16139" max="16139"/>
    <col width="18.7109375" customWidth="1" style="794" min="16140" max="16140"/>
    <col width="15.7109375" customWidth="1" style="794" min="16141" max="16141"/>
    <col width="13.7109375" bestFit="1" customWidth="1" style="794" min="16142" max="16142"/>
    <col width="13.7109375" customWidth="1" style="794" min="16143" max="16143"/>
  </cols>
  <sheetData>
    <row r="1" ht="18" customHeight="1" s="794">
      <c r="N1" s="1224" t="inlineStr">
        <is>
          <t>Форма № 17 (17д)</t>
        </is>
      </c>
    </row>
    <row r="2" ht="28.5" customHeight="1" s="794">
      <c r="B2" s="1225" t="inlineStr">
        <is>
          <t>РАСШИФРОВКА</t>
        </is>
      </c>
      <c r="O2" s="242" t="n"/>
    </row>
    <row r="3" ht="37.5" customHeight="1" s="794">
      <c r="B3" s="1226" t="inlineStr">
        <is>
          <t xml:space="preserve"> затрат на подготовку и освоение производства на ТЕМА</t>
        </is>
      </c>
      <c r="C3" s="1409" t="n"/>
      <c r="D3" s="1409" t="n"/>
      <c r="E3" s="1409" t="n"/>
      <c r="F3" s="1409" t="n"/>
      <c r="G3" s="1409" t="n"/>
      <c r="H3" s="1409" t="n"/>
      <c r="I3" s="1409" t="n"/>
      <c r="J3" s="1409" t="n"/>
      <c r="K3" s="1409" t="n"/>
      <c r="L3" s="1409" t="n"/>
      <c r="M3" s="1409" t="n"/>
      <c r="N3" s="1409" t="n"/>
      <c r="O3" s="243" t="n"/>
    </row>
    <row r="4" ht="14.25" customHeight="1" s="794">
      <c r="B4" s="1227" t="inlineStr">
        <is>
          <t>(наименование, шифр товара, работы, услуги)</t>
        </is>
      </c>
      <c r="O4" s="241" t="n"/>
    </row>
    <row r="5">
      <c r="A5" s="244" t="n"/>
      <c r="B5" s="244" t="n"/>
      <c r="C5" s="244" t="n"/>
      <c r="D5" s="244" t="n"/>
      <c r="E5" s="244" t="n"/>
      <c r="F5" s="244" t="n"/>
      <c r="G5" s="244" t="n"/>
      <c r="H5" s="1228" t="n"/>
      <c r="I5" s="1409" t="n"/>
      <c r="J5" s="1409" t="n"/>
      <c r="K5" s="1409" t="n"/>
      <c r="L5" s="244" t="n"/>
      <c r="M5" s="244" t="n"/>
      <c r="N5" s="244" t="n"/>
      <c r="O5" s="244" t="n"/>
    </row>
    <row r="6" ht="30.75" customHeight="1" s="794">
      <c r="A6" s="1206" t="inlineStr">
        <is>
          <t>№ п/п</t>
        </is>
      </c>
      <c r="B6" s="1206" t="inlineStr">
        <is>
          <t>Наименование статьи
затрат</t>
        </is>
      </c>
      <c r="C6" s="1206" t="inlineStr">
        <is>
          <t>Всего затрат (руб.)</t>
        </is>
      </c>
      <c r="D6" s="974" t="inlineStr">
        <is>
          <t>в том числе:</t>
        </is>
      </c>
      <c r="E6" s="1412" t="n"/>
      <c r="F6" s="1410" t="n"/>
      <c r="G6" s="1206" t="inlineStr">
        <is>
          <t>Начало промышленной эксплуатации (дата)</t>
        </is>
      </c>
      <c r="H6" s="1206" t="inlineStr">
        <is>
          <t>Нормативный срок освоения (месяцев, лет)</t>
        </is>
      </c>
      <c r="I6" s="1206" t="inlineStr">
        <is>
          <t>Количество видов продукции</t>
        </is>
      </c>
      <c r="J6" s="1206" t="inlineStr">
        <is>
          <t>Планируемый объем выпуска</t>
        </is>
      </c>
      <c r="K6" s="1410" t="n"/>
      <c r="L6" s="1206" t="inlineStr">
        <is>
          <t>Норма погашения на единицу изделия (руб.)</t>
        </is>
      </c>
      <c r="M6" s="1206" t="inlineStr">
        <is>
          <t>Погашено по состоянию на __.__.____ г.
 (руб.)</t>
        </is>
      </c>
      <c r="N6" s="1206" t="inlineStr">
        <is>
          <t>Остаток
к погашению (руб.)</t>
        </is>
      </c>
      <c r="O6" s="1206" t="inlineStr">
        <is>
          <t>Примечание</t>
        </is>
      </c>
    </row>
    <row r="7" ht="30.75" customHeight="1" s="794">
      <c r="A7" s="1418" t="n"/>
      <c r="B7" s="1418" t="n"/>
      <c r="C7" s="1418" t="n"/>
      <c r="D7" s="975" t="inlineStr">
        <is>
          <t>затраты
(на __.__.____ г.)</t>
        </is>
      </c>
      <c r="E7" s="1410" t="n"/>
      <c r="F7" s="975" t="inlineStr">
        <is>
          <t>плановые затраты
(с __.__.____ г. по __.__.____ г.)</t>
        </is>
      </c>
      <c r="G7" s="1418" t="n"/>
      <c r="H7" s="1418" t="n"/>
      <c r="I7" s="1418" t="n"/>
      <c r="J7" s="1206" t="inlineStr">
        <is>
          <t>единица измерения</t>
        </is>
      </c>
      <c r="K7" s="1206" t="inlineStr">
        <is>
          <t>количество</t>
        </is>
      </c>
      <c r="L7" s="1418" t="n"/>
      <c r="M7" s="1418" t="n"/>
      <c r="N7" s="1418" t="n"/>
      <c r="O7" s="1418" t="n"/>
    </row>
    <row r="8" ht="20.25" customHeight="1" s="794">
      <c r="A8" s="1413" t="n"/>
      <c r="B8" s="1413" t="n"/>
      <c r="C8" s="1413" t="n"/>
      <c r="D8" s="975" t="inlineStr">
        <is>
          <t>план</t>
        </is>
      </c>
      <c r="E8" s="975" t="inlineStr">
        <is>
          <t>факт</t>
        </is>
      </c>
      <c r="F8" s="1413" t="n"/>
      <c r="G8" s="1413" t="n"/>
      <c r="H8" s="1413" t="n"/>
      <c r="I8" s="1413" t="n"/>
      <c r="J8" s="1413" t="n"/>
      <c r="K8" s="1413" t="n"/>
      <c r="L8" s="1413" t="n"/>
      <c r="M8" s="1413" t="n"/>
      <c r="N8" s="1413" t="n"/>
      <c r="O8" s="1413" t="n"/>
    </row>
    <row r="9">
      <c r="A9" s="52" t="n">
        <v>1</v>
      </c>
      <c r="B9" s="52" t="n">
        <v>2</v>
      </c>
      <c r="C9" s="52" t="n">
        <v>3</v>
      </c>
      <c r="D9" s="232" t="inlineStr">
        <is>
          <t>3.1.1</t>
        </is>
      </c>
      <c r="E9" s="232" t="inlineStr">
        <is>
          <t>3.1.2</t>
        </is>
      </c>
      <c r="F9" s="232" t="inlineStr">
        <is>
          <t>3.2</t>
        </is>
      </c>
      <c r="G9" s="52" t="n">
        <v>4</v>
      </c>
      <c r="H9" s="52" t="n">
        <v>5</v>
      </c>
      <c r="I9" s="52" t="n">
        <v>6</v>
      </c>
      <c r="J9" s="52" t="n">
        <v>7</v>
      </c>
      <c r="K9" s="52" t="n">
        <v>8</v>
      </c>
      <c r="L9" s="52" t="n">
        <v>9</v>
      </c>
      <c r="M9" s="52" t="n">
        <v>10</v>
      </c>
      <c r="N9" s="52" t="n">
        <v>11</v>
      </c>
      <c r="O9" s="52" t="n">
        <v>12</v>
      </c>
    </row>
    <row r="10" ht="22.5" customHeight="1" s="794">
      <c r="A10" s="1212" t="inlineStr">
        <is>
          <t>1.</t>
        </is>
      </c>
      <c r="B10" s="53" t="inlineStr">
        <is>
          <t>Пусковые затраты, всего:</t>
        </is>
      </c>
      <c r="C10" s="62" t="inlineStr">
        <is>
          <t>-</t>
        </is>
      </c>
      <c r="D10" s="62" t="inlineStr">
        <is>
          <t>-</t>
        </is>
      </c>
      <c r="E10" s="62" t="inlineStr">
        <is>
          <t>-</t>
        </is>
      </c>
      <c r="F10" s="62" t="inlineStr">
        <is>
          <t>-</t>
        </is>
      </c>
      <c r="G10" s="62" t="inlineStr">
        <is>
          <t>-</t>
        </is>
      </c>
      <c r="H10" s="62" t="inlineStr">
        <is>
          <t>-</t>
        </is>
      </c>
      <c r="I10" s="62" t="inlineStr">
        <is>
          <t>-</t>
        </is>
      </c>
      <c r="J10" s="62" t="inlineStr">
        <is>
          <t>-</t>
        </is>
      </c>
      <c r="K10" s="62" t="inlineStr">
        <is>
          <t>-</t>
        </is>
      </c>
      <c r="L10" s="62" t="inlineStr">
        <is>
          <t>-</t>
        </is>
      </c>
      <c r="M10" s="62" t="inlineStr">
        <is>
          <t>-</t>
        </is>
      </c>
      <c r="N10" s="62" t="inlineStr">
        <is>
          <t>-</t>
        </is>
      </c>
      <c r="O10" s="62" t="inlineStr">
        <is>
          <t>-</t>
        </is>
      </c>
    </row>
    <row r="11" ht="15" customHeight="1" s="794">
      <c r="A11" s="1212" t="n"/>
      <c r="B11" s="53" t="inlineStr">
        <is>
          <t xml:space="preserve">в том числе: </t>
        </is>
      </c>
      <c r="C11" s="1206" t="inlineStr">
        <is>
          <t>-</t>
        </is>
      </c>
      <c r="D11" s="1206" t="inlineStr">
        <is>
          <t>-</t>
        </is>
      </c>
      <c r="E11" s="1206" t="inlineStr">
        <is>
          <t>-</t>
        </is>
      </c>
      <c r="F11" s="1206" t="inlineStr">
        <is>
          <t>-</t>
        </is>
      </c>
      <c r="G11" s="1206" t="inlineStr">
        <is>
          <t>-</t>
        </is>
      </c>
      <c r="H11" s="1206" t="inlineStr">
        <is>
          <t>-</t>
        </is>
      </c>
      <c r="I11" s="1206" t="inlineStr">
        <is>
          <t>-</t>
        </is>
      </c>
      <c r="J11" s="1206" t="inlineStr">
        <is>
          <t>-</t>
        </is>
      </c>
      <c r="K11" s="1206" t="inlineStr">
        <is>
          <t>-</t>
        </is>
      </c>
      <c r="L11" s="1206" t="inlineStr">
        <is>
          <t>-</t>
        </is>
      </c>
      <c r="M11" s="1206" t="inlineStr">
        <is>
          <t>-</t>
        </is>
      </c>
      <c r="N11" s="1206" t="inlineStr">
        <is>
          <t>-</t>
        </is>
      </c>
      <c r="O11" s="1206" t="inlineStr">
        <is>
          <t>-</t>
        </is>
      </c>
    </row>
    <row r="12">
      <c r="A12" s="1212" t="n"/>
      <c r="B12" s="1206" t="inlineStr">
        <is>
          <t>-</t>
        </is>
      </c>
      <c r="C12" s="1206" t="inlineStr">
        <is>
          <t>-</t>
        </is>
      </c>
      <c r="D12" s="1206" t="inlineStr">
        <is>
          <t>-</t>
        </is>
      </c>
      <c r="E12" s="1206" t="inlineStr">
        <is>
          <t>-</t>
        </is>
      </c>
      <c r="F12" s="1206" t="inlineStr">
        <is>
          <t>-</t>
        </is>
      </c>
      <c r="G12" s="1206" t="inlineStr">
        <is>
          <t>-</t>
        </is>
      </c>
      <c r="H12" s="1206" t="inlineStr">
        <is>
          <t>-</t>
        </is>
      </c>
      <c r="I12" s="1206" t="inlineStr">
        <is>
          <t>-</t>
        </is>
      </c>
      <c r="J12" s="1206" t="inlineStr">
        <is>
          <t>-</t>
        </is>
      </c>
      <c r="K12" s="1206" t="inlineStr">
        <is>
          <t>-</t>
        </is>
      </c>
      <c r="L12" s="1206" t="inlineStr">
        <is>
          <t>-</t>
        </is>
      </c>
      <c r="M12" s="1206" t="inlineStr">
        <is>
          <t>-</t>
        </is>
      </c>
      <c r="N12" s="1206" t="inlineStr">
        <is>
          <t>-</t>
        </is>
      </c>
      <c r="O12" s="1206" t="inlineStr">
        <is>
          <t>-</t>
        </is>
      </c>
    </row>
    <row r="13" ht="48" customHeight="1" s="794">
      <c r="A13" s="1212" t="inlineStr">
        <is>
          <t>2.</t>
        </is>
      </c>
      <c r="B13" s="53" t="inlineStr">
        <is>
          <t>Подготовка и освоение производства новых видов продукции, всего:</t>
        </is>
      </c>
      <c r="C13" s="62" t="inlineStr">
        <is>
          <t>-</t>
        </is>
      </c>
      <c r="D13" s="62" t="inlineStr">
        <is>
          <t>-</t>
        </is>
      </c>
      <c r="E13" s="62" t="inlineStr">
        <is>
          <t>-</t>
        </is>
      </c>
      <c r="F13" s="62" t="inlineStr">
        <is>
          <t>-</t>
        </is>
      </c>
      <c r="G13" s="62" t="inlineStr">
        <is>
          <t>-</t>
        </is>
      </c>
      <c r="H13" s="62" t="inlineStr">
        <is>
          <t>-</t>
        </is>
      </c>
      <c r="I13" s="62" t="inlineStr">
        <is>
          <t>-</t>
        </is>
      </c>
      <c r="J13" s="62" t="inlineStr">
        <is>
          <t>-</t>
        </is>
      </c>
      <c r="K13" s="62" t="inlineStr">
        <is>
          <t>-</t>
        </is>
      </c>
      <c r="L13" s="62" t="inlineStr">
        <is>
          <t>-</t>
        </is>
      </c>
      <c r="M13" s="62" t="inlineStr">
        <is>
          <t>-</t>
        </is>
      </c>
      <c r="N13" s="62" t="inlineStr">
        <is>
          <t>-</t>
        </is>
      </c>
      <c r="O13" s="62" t="inlineStr">
        <is>
          <t>-</t>
        </is>
      </c>
    </row>
    <row r="14" ht="17.25" customHeight="1" s="794">
      <c r="A14" s="1212" t="n"/>
      <c r="B14" s="53" t="inlineStr">
        <is>
          <t xml:space="preserve">в том числе: </t>
        </is>
      </c>
      <c r="C14" s="1206" t="inlineStr">
        <is>
          <t>-</t>
        </is>
      </c>
      <c r="D14" s="1206" t="inlineStr">
        <is>
          <t>-</t>
        </is>
      </c>
      <c r="E14" s="1206" t="inlineStr">
        <is>
          <t>-</t>
        </is>
      </c>
      <c r="F14" s="1206" t="inlineStr">
        <is>
          <t>-</t>
        </is>
      </c>
      <c r="G14" s="1206" t="inlineStr">
        <is>
          <t>-</t>
        </is>
      </c>
      <c r="H14" s="1206" t="inlineStr">
        <is>
          <t>-</t>
        </is>
      </c>
      <c r="I14" s="1206" t="inlineStr">
        <is>
          <t>-</t>
        </is>
      </c>
      <c r="J14" s="1206" t="inlineStr">
        <is>
          <t>-</t>
        </is>
      </c>
      <c r="K14" s="1206" t="inlineStr">
        <is>
          <t>-</t>
        </is>
      </c>
      <c r="L14" s="1206" t="inlineStr">
        <is>
          <t>-</t>
        </is>
      </c>
      <c r="M14" s="1206" t="inlineStr">
        <is>
          <t>-</t>
        </is>
      </c>
      <c r="N14" s="1206" t="inlineStr">
        <is>
          <t>-</t>
        </is>
      </c>
      <c r="O14" s="1206" t="inlineStr">
        <is>
          <t>-</t>
        </is>
      </c>
    </row>
    <row r="15" ht="78.75" customHeight="1" s="794">
      <c r="A15" s="54" t="inlineStr">
        <is>
          <t>2.1</t>
        </is>
      </c>
      <c r="B15" s="53" t="inlineStr">
        <is>
          <t xml:space="preserve">Подготовка и освоение видов продукции, производство которой возобновляется после длительного перерыва (два календарных года и более), всего: </t>
        </is>
      </c>
      <c r="C15" s="1206" t="inlineStr">
        <is>
          <t>-</t>
        </is>
      </c>
      <c r="D15" s="1206" t="inlineStr">
        <is>
          <t>-</t>
        </is>
      </c>
      <c r="E15" s="1206" t="inlineStr">
        <is>
          <t>-</t>
        </is>
      </c>
      <c r="F15" s="1206" t="inlineStr">
        <is>
          <t>-</t>
        </is>
      </c>
      <c r="G15" s="1206" t="inlineStr">
        <is>
          <t>-</t>
        </is>
      </c>
      <c r="H15" s="1206" t="inlineStr">
        <is>
          <t>-</t>
        </is>
      </c>
      <c r="I15" s="1206" t="inlineStr">
        <is>
          <t>-</t>
        </is>
      </c>
      <c r="J15" s="1206" t="inlineStr">
        <is>
          <t>-</t>
        </is>
      </c>
      <c r="K15" s="1206" t="inlineStr">
        <is>
          <t>-</t>
        </is>
      </c>
      <c r="L15" s="1206" t="inlineStr">
        <is>
          <t>-</t>
        </is>
      </c>
      <c r="M15" s="1206" t="inlineStr">
        <is>
          <t>-</t>
        </is>
      </c>
      <c r="N15" s="1206" t="inlineStr">
        <is>
          <t>-</t>
        </is>
      </c>
      <c r="O15" s="1206" t="inlineStr">
        <is>
          <t>-</t>
        </is>
      </c>
    </row>
    <row r="16" ht="15" customHeight="1" s="794">
      <c r="A16" s="1212" t="n"/>
      <c r="B16" s="53" t="inlineStr">
        <is>
          <t xml:space="preserve">в том числе: </t>
        </is>
      </c>
      <c r="C16" s="1206" t="inlineStr">
        <is>
          <t>-</t>
        </is>
      </c>
      <c r="D16" s="1206" t="inlineStr">
        <is>
          <t>-</t>
        </is>
      </c>
      <c r="E16" s="1206" t="inlineStr">
        <is>
          <t>-</t>
        </is>
      </c>
      <c r="F16" s="1206" t="inlineStr">
        <is>
          <t>-</t>
        </is>
      </c>
      <c r="G16" s="1206" t="inlineStr">
        <is>
          <t>-</t>
        </is>
      </c>
      <c r="H16" s="1206" t="inlineStr">
        <is>
          <t>-</t>
        </is>
      </c>
      <c r="I16" s="1206" t="inlineStr">
        <is>
          <t>-</t>
        </is>
      </c>
      <c r="J16" s="1206" t="inlineStr">
        <is>
          <t>-</t>
        </is>
      </c>
      <c r="K16" s="1206" t="inlineStr">
        <is>
          <t>-</t>
        </is>
      </c>
      <c r="L16" s="1206" t="inlineStr">
        <is>
          <t>-</t>
        </is>
      </c>
      <c r="M16" s="1206" t="inlineStr">
        <is>
          <t>-</t>
        </is>
      </c>
      <c r="N16" s="1206" t="inlineStr">
        <is>
          <t>-</t>
        </is>
      </c>
      <c r="O16" s="1206" t="inlineStr">
        <is>
          <t>-</t>
        </is>
      </c>
    </row>
    <row r="17">
      <c r="A17" s="1212" t="n"/>
      <c r="B17" s="1206" t="inlineStr">
        <is>
          <t>-</t>
        </is>
      </c>
      <c r="C17" s="1206" t="inlineStr">
        <is>
          <t>-</t>
        </is>
      </c>
      <c r="D17" s="1206" t="inlineStr">
        <is>
          <t>-</t>
        </is>
      </c>
      <c r="E17" s="1206" t="inlineStr">
        <is>
          <t>-</t>
        </is>
      </c>
      <c r="F17" s="1206" t="inlineStr">
        <is>
          <t>-</t>
        </is>
      </c>
      <c r="G17" s="1206" t="inlineStr">
        <is>
          <t>-</t>
        </is>
      </c>
      <c r="H17" s="1206" t="inlineStr">
        <is>
          <t>-</t>
        </is>
      </c>
      <c r="I17" s="1206" t="inlineStr">
        <is>
          <t>-</t>
        </is>
      </c>
      <c r="J17" s="1206" t="inlineStr">
        <is>
          <t>-</t>
        </is>
      </c>
      <c r="K17" s="1206" t="inlineStr">
        <is>
          <t>-</t>
        </is>
      </c>
      <c r="L17" s="1206" t="inlineStr">
        <is>
          <t>-</t>
        </is>
      </c>
      <c r="M17" s="1206" t="inlineStr">
        <is>
          <t>-</t>
        </is>
      </c>
      <c r="N17" s="1206" t="inlineStr">
        <is>
          <t>-</t>
        </is>
      </c>
      <c r="O17" s="1206" t="inlineStr">
        <is>
          <t>-</t>
        </is>
      </c>
    </row>
    <row r="18" ht="60" customHeight="1" s="794">
      <c r="A18" s="54" t="inlineStr">
        <is>
          <t>2.2</t>
        </is>
      </c>
      <c r="B18" s="53" t="inlineStr">
        <is>
          <t>Подготовка и освоение видов продукции, объемы производства которых увеличились в два и более раз, всего:</t>
        </is>
      </c>
      <c r="C18" s="1212" t="inlineStr">
        <is>
          <t>-</t>
        </is>
      </c>
      <c r="D18" s="1212" t="inlineStr">
        <is>
          <t>-</t>
        </is>
      </c>
      <c r="E18" s="1212" t="inlineStr">
        <is>
          <t>-</t>
        </is>
      </c>
      <c r="F18" s="1212" t="inlineStr">
        <is>
          <t>-</t>
        </is>
      </c>
      <c r="G18" s="1212" t="inlineStr">
        <is>
          <t>-</t>
        </is>
      </c>
      <c r="H18" s="1212" t="inlineStr">
        <is>
          <t>-</t>
        </is>
      </c>
      <c r="I18" s="1212" t="inlineStr">
        <is>
          <t>-</t>
        </is>
      </c>
      <c r="J18" s="1212" t="inlineStr">
        <is>
          <t>-</t>
        </is>
      </c>
      <c r="K18" s="1212" t="inlineStr">
        <is>
          <t>-</t>
        </is>
      </c>
      <c r="L18" s="1212" t="inlineStr">
        <is>
          <t>-</t>
        </is>
      </c>
      <c r="M18" s="1212" t="inlineStr">
        <is>
          <t>-</t>
        </is>
      </c>
      <c r="N18" s="1212" t="inlineStr">
        <is>
          <t>-</t>
        </is>
      </c>
      <c r="O18" s="1212" t="inlineStr">
        <is>
          <t>-</t>
        </is>
      </c>
    </row>
    <row r="19" ht="15.75" customHeight="1" s="794">
      <c r="A19" s="245" t="n"/>
      <c r="B19" s="246" t="inlineStr">
        <is>
          <t xml:space="preserve">в том числе: </t>
        </is>
      </c>
      <c r="C19" s="1212" t="inlineStr">
        <is>
          <t>-</t>
        </is>
      </c>
      <c r="D19" s="1212" t="inlineStr">
        <is>
          <t>-</t>
        </is>
      </c>
      <c r="E19" s="1212" t="inlineStr">
        <is>
          <t>-</t>
        </is>
      </c>
      <c r="F19" s="1212" t="inlineStr">
        <is>
          <t>-</t>
        </is>
      </c>
      <c r="G19" s="1212" t="inlineStr">
        <is>
          <t>-</t>
        </is>
      </c>
      <c r="H19" s="1212" t="inlineStr">
        <is>
          <t>-</t>
        </is>
      </c>
      <c r="I19" s="1212" t="inlineStr">
        <is>
          <t>-</t>
        </is>
      </c>
      <c r="J19" s="1212" t="inlineStr">
        <is>
          <t>-</t>
        </is>
      </c>
      <c r="K19" s="1212" t="inlineStr">
        <is>
          <t>-</t>
        </is>
      </c>
      <c r="L19" s="1212" t="inlineStr">
        <is>
          <t>-</t>
        </is>
      </c>
      <c r="M19" s="1212" t="inlineStr">
        <is>
          <t>-</t>
        </is>
      </c>
      <c r="N19" s="1212" t="inlineStr">
        <is>
          <t>-</t>
        </is>
      </c>
      <c r="O19" s="1212" t="inlineStr">
        <is>
          <t>-</t>
        </is>
      </c>
    </row>
    <row r="20">
      <c r="A20" s="1212" t="n"/>
      <c r="B20" s="1206" t="inlineStr">
        <is>
          <t>-</t>
        </is>
      </c>
      <c r="C20" s="1212" t="inlineStr">
        <is>
          <t>-</t>
        </is>
      </c>
      <c r="D20" s="1212" t="inlineStr">
        <is>
          <t>-</t>
        </is>
      </c>
      <c r="E20" s="1212" t="inlineStr">
        <is>
          <t>-</t>
        </is>
      </c>
      <c r="F20" s="1212" t="inlineStr">
        <is>
          <t>-</t>
        </is>
      </c>
      <c r="G20" s="1212" t="inlineStr">
        <is>
          <t>-</t>
        </is>
      </c>
      <c r="H20" s="1212" t="inlineStr">
        <is>
          <t>-</t>
        </is>
      </c>
      <c r="I20" s="1212" t="inlineStr">
        <is>
          <t>-</t>
        </is>
      </c>
      <c r="J20" s="1212" t="inlineStr">
        <is>
          <t>-</t>
        </is>
      </c>
      <c r="K20" s="1212" t="inlineStr">
        <is>
          <t>-</t>
        </is>
      </c>
      <c r="L20" s="1212" t="inlineStr">
        <is>
          <t>-</t>
        </is>
      </c>
      <c r="M20" s="1212" t="inlineStr">
        <is>
          <t>-</t>
        </is>
      </c>
      <c r="N20" s="1212" t="inlineStr">
        <is>
          <t>-</t>
        </is>
      </c>
      <c r="O20" s="1212" t="inlineStr">
        <is>
          <t>-</t>
        </is>
      </c>
    </row>
    <row r="21">
      <c r="A21" s="1229" t="inlineStr">
        <is>
          <t>ИТОГО (строка 1 + строка 2)</t>
        </is>
      </c>
      <c r="B21" s="1410" t="n"/>
      <c r="C21" s="1212" t="inlineStr">
        <is>
          <t>-</t>
        </is>
      </c>
      <c r="D21" s="1212" t="inlineStr">
        <is>
          <t>-</t>
        </is>
      </c>
      <c r="E21" s="1212" t="inlineStr">
        <is>
          <t>-</t>
        </is>
      </c>
      <c r="F21" s="1212" t="inlineStr">
        <is>
          <t>-</t>
        </is>
      </c>
      <c r="G21" s="1212" t="inlineStr">
        <is>
          <t>-</t>
        </is>
      </c>
      <c r="H21" s="1212" t="inlineStr">
        <is>
          <t>-</t>
        </is>
      </c>
      <c r="I21" s="1212" t="inlineStr">
        <is>
          <t>-</t>
        </is>
      </c>
      <c r="J21" s="1212" t="inlineStr">
        <is>
          <t>-</t>
        </is>
      </c>
      <c r="K21" s="1212" t="inlineStr">
        <is>
          <t>-</t>
        </is>
      </c>
      <c r="L21" s="1212" t="inlineStr">
        <is>
          <t>-</t>
        </is>
      </c>
      <c r="M21" s="1212" t="inlineStr">
        <is>
          <t>-</t>
        </is>
      </c>
      <c r="N21" s="1212" t="inlineStr">
        <is>
          <t>-</t>
        </is>
      </c>
      <c r="O21" s="1212" t="inlineStr">
        <is>
          <t>-</t>
        </is>
      </c>
    </row>
    <row r="22" ht="26.25" customHeight="1" s="794">
      <c r="A22" s="55" t="n"/>
      <c r="B22" s="55" t="n"/>
      <c r="C22" s="55" t="n"/>
      <c r="D22" s="55" t="n"/>
      <c r="E22" s="55" t="n"/>
      <c r="F22" s="55" t="n"/>
      <c r="G22" s="55" t="n"/>
      <c r="H22" s="55" t="n"/>
      <c r="I22" s="55" t="n"/>
      <c r="J22" s="55" t="n"/>
      <c r="K22" s="55" t="n"/>
      <c r="L22" s="55" t="n"/>
      <c r="M22" s="55" t="n"/>
      <c r="N22" s="55" t="n"/>
      <c r="O22" s="55" t="n"/>
    </row>
    <row r="23" ht="24" customHeight="1" s="794">
      <c r="A23" s="56" t="n"/>
      <c r="B23" s="1157" t="inlineStr">
        <is>
          <t>Начальник ОФЭиАУ НИОКР</t>
        </is>
      </c>
      <c r="D23" s="108" t="n"/>
      <c r="E23" s="108" t="n"/>
      <c r="G23" s="1157" t="inlineStr">
        <is>
          <t>Ответственный исполнитель</t>
        </is>
      </c>
      <c r="I23" s="18" t="n"/>
      <c r="J23" s="18" t="n"/>
      <c r="K23" s="18" t="n"/>
      <c r="L23" s="1157" t="inlineStr">
        <is>
          <t>Руководитель договора</t>
        </is>
      </c>
      <c r="N23" s="56" t="n"/>
      <c r="O23" s="56" t="n"/>
    </row>
    <row r="24" ht="39.75" customHeight="1" s="794">
      <c r="A24" s="30" t="n"/>
      <c r="B24" s="2" t="inlineStr">
        <is>
          <t>_____________________ Н.О. Васецкая</t>
        </is>
      </c>
      <c r="C24" s="31" t="n"/>
      <c r="D24" s="31" t="n"/>
      <c r="E24" s="31" t="n"/>
      <c r="G24" s="484" t="inlineStr">
        <is>
          <t>_____________________ И.О. Фамилия</t>
        </is>
      </c>
      <c r="H24" s="22" t="n"/>
      <c r="I24" s="18" t="n"/>
      <c r="J24" s="18" t="n"/>
      <c r="K24" s="18" t="n"/>
      <c r="L24" s="484" t="inlineStr">
        <is>
          <t>_____________________ А.И. Боровков</t>
        </is>
      </c>
      <c r="M24" s="22" t="n"/>
      <c r="N24" s="30" t="n"/>
      <c r="O24" s="18" t="n"/>
    </row>
    <row r="25" ht="18.75" customHeight="1" s="794">
      <c r="A25" s="30" t="n"/>
      <c r="B25" s="63" t="inlineStr">
        <is>
          <t xml:space="preserve">  (подпись)                                     (Ф.И.О.)</t>
        </is>
      </c>
      <c r="C25" s="31" t="n"/>
      <c r="D25" s="31" t="n"/>
      <c r="E25" s="31" t="n"/>
      <c r="G25" s="63" t="inlineStr">
        <is>
          <t xml:space="preserve">  (подпись)                                        (Ф.И.О.)</t>
        </is>
      </c>
      <c r="H25" s="190" t="n"/>
      <c r="I25" s="18" t="n"/>
      <c r="J25" s="18" t="n"/>
      <c r="K25" s="18" t="n"/>
      <c r="L25" s="63" t="inlineStr">
        <is>
          <t xml:space="preserve">  (подпись)                                        (Ф.И.О.)</t>
        </is>
      </c>
      <c r="M25" s="190" t="n"/>
      <c r="N25" s="30" t="n"/>
      <c r="O25" s="18" t="n"/>
    </row>
    <row r="26" ht="18.75" customHeight="1" s="794">
      <c r="A26" s="56" t="n"/>
      <c r="B26" s="1239" t="inlineStr">
        <is>
          <t>«____» __________________ 2025 г.</t>
        </is>
      </c>
      <c r="C26" s="22" t="n"/>
      <c r="D26" s="22" t="n"/>
      <c r="E26" s="22" t="n"/>
      <c r="G26" s="1239" t="inlineStr">
        <is>
          <t>«____» __________________ 2025 г.</t>
        </is>
      </c>
      <c r="H26" s="22" t="n"/>
      <c r="I26" s="18" t="n"/>
      <c r="J26" s="18" t="n"/>
      <c r="K26" s="18" t="n"/>
      <c r="L26" s="1239" t="inlineStr">
        <is>
          <t>«____» __________________ 2025 г.</t>
        </is>
      </c>
      <c r="M26" s="22" t="n"/>
      <c r="N26" s="57" t="n"/>
      <c r="O26" s="18" t="n"/>
    </row>
    <row r="27" ht="14.25" customHeight="1" s="794">
      <c r="A27" s="55" t="n"/>
      <c r="B27" s="55" t="n"/>
      <c r="C27" s="55" t="n"/>
      <c r="D27" s="55" t="n"/>
      <c r="E27" s="55" t="n"/>
      <c r="F27" s="55" t="n"/>
      <c r="G27" s="55" t="n"/>
      <c r="H27" s="55" t="n"/>
      <c r="I27" s="55" t="n"/>
      <c r="J27" s="55" t="n"/>
      <c r="K27" s="55" t="n"/>
      <c r="L27" s="55" t="n"/>
      <c r="M27" s="55" t="n"/>
      <c r="N27" s="55" t="n"/>
      <c r="O27" s="55" t="n"/>
    </row>
    <row r="28" ht="21.75" customHeight="1" s="794">
      <c r="B28" s="55" t="n"/>
    </row>
    <row r="29" ht="33.75" customHeight="1" s="794">
      <c r="P29" s="18" t="n"/>
      <c r="Q29" s="18" t="n"/>
      <c r="R29" s="247" t="n"/>
    </row>
    <row r="30" ht="15.75" customHeight="1" s="794">
      <c r="P30" s="18" t="n"/>
      <c r="Q30" s="18" t="n"/>
      <c r="R30" s="57" t="n"/>
    </row>
    <row r="31" ht="15.75" customHeight="1" s="794">
      <c r="P31" s="18" t="n"/>
      <c r="Q31" s="18" t="n"/>
      <c r="R31" s="248" t="n"/>
    </row>
    <row r="32" ht="15" customHeight="1" s="794">
      <c r="P32" s="18" t="n"/>
      <c r="Q32" s="18" t="n"/>
      <c r="R32" s="57" t="n"/>
    </row>
    <row r="33">
      <c r="B33" s="48" t="n"/>
      <c r="H33" s="57" t="n"/>
      <c r="I33" s="57" t="n"/>
      <c r="J33" s="57" t="n"/>
      <c r="K33" s="57" t="n"/>
      <c r="L33" s="285" t="n"/>
      <c r="M33" s="285" t="n"/>
      <c r="N33" s="57" t="n"/>
      <c r="O33" s="57" t="n"/>
      <c r="P33" s="57" t="n"/>
      <c r="Q33" s="57" t="n"/>
      <c r="R33" s="24" t="n"/>
    </row>
    <row r="34" ht="32.25" customHeight="1" s="794">
      <c r="B34" s="831" t="n"/>
      <c r="D34" s="831" t="n"/>
      <c r="E34" s="831" t="n"/>
      <c r="F34" s="831" t="n"/>
      <c r="H34" s="57" t="n"/>
      <c r="I34" s="249" t="n"/>
      <c r="J34" s="249" t="n"/>
      <c r="K34" s="249" t="n"/>
      <c r="P34" s="240" t="n"/>
      <c r="Q34" s="240" t="n"/>
      <c r="R34" s="240" t="n"/>
    </row>
    <row r="35" ht="15" customHeight="1" s="794">
      <c r="B35" s="18" t="n"/>
      <c r="H35" s="57" t="n"/>
      <c r="I35" s="250" t="n"/>
      <c r="J35" s="250" t="n"/>
      <c r="K35" s="250" t="n"/>
      <c r="P35" s="18" t="n"/>
      <c r="Q35" s="18" t="n"/>
      <c r="R35" s="18" t="n"/>
    </row>
    <row r="36" ht="14.25" customHeight="1" s="794">
      <c r="B36" s="251" t="n"/>
      <c r="H36" s="57" t="n"/>
      <c r="I36" s="250" t="n"/>
      <c r="J36" s="250" t="n"/>
      <c r="K36" s="250" t="n"/>
      <c r="P36" s="18" t="n"/>
      <c r="Q36" s="18" t="n"/>
      <c r="R36" s="18" t="n"/>
    </row>
    <row r="37" ht="20.25" customHeight="1" s="794">
      <c r="B37" s="252" t="n"/>
      <c r="H37" s="57" t="n"/>
      <c r="I37" s="250" t="n"/>
      <c r="J37" s="250" t="n"/>
      <c r="K37" s="250" t="n"/>
      <c r="P37" s="18" t="n"/>
      <c r="Q37" s="18" t="n"/>
      <c r="R37" s="57" t="n"/>
    </row>
    <row r="38" ht="15.75" customHeight="1" s="794">
      <c r="B38" s="227" t="n"/>
      <c r="G38" s="1021" t="n"/>
      <c r="I38" s="243" t="n"/>
      <c r="J38" s="57" t="n"/>
      <c r="K38" s="57" t="n"/>
      <c r="L38" s="57" t="n"/>
      <c r="M38" s="57" t="n"/>
      <c r="N38" s="57" t="n"/>
      <c r="O38" s="57" t="n"/>
      <c r="P38" s="57" t="n"/>
      <c r="Q38" s="57" t="n"/>
      <c r="R38" s="57" t="n"/>
    </row>
    <row r="39" ht="15" customHeight="1" s="794">
      <c r="B39" s="18" t="n"/>
      <c r="C39" s="57" t="n"/>
      <c r="D39" s="57" t="n"/>
      <c r="E39" s="57" t="n"/>
      <c r="F39" s="57" t="n"/>
      <c r="I39" s="253" t="n"/>
      <c r="J39" s="253" t="n"/>
      <c r="K39" s="253" t="n"/>
      <c r="L39" s="253" t="n"/>
      <c r="M39" s="253" t="n"/>
      <c r="N39" s="253" t="n"/>
      <c r="O39" s="56" t="n"/>
      <c r="P39" s="56" t="n"/>
      <c r="Q39" s="56" t="n"/>
      <c r="R39" s="56" t="n"/>
    </row>
    <row r="40" ht="21.75" customHeight="1" s="794">
      <c r="B40" s="58" t="n"/>
      <c r="C40" s="57" t="n"/>
      <c r="D40" s="57" t="n"/>
      <c r="E40" s="57" t="n"/>
      <c r="F40" s="57" t="n"/>
      <c r="H40" s="254" t="n"/>
      <c r="I40" s="253" t="n"/>
      <c r="J40" s="253" t="n"/>
      <c r="K40" s="253" t="n"/>
      <c r="L40" s="253" t="n"/>
      <c r="M40" s="253" t="n"/>
      <c r="N40" s="253" t="n"/>
      <c r="O40" s="56" t="n"/>
      <c r="P40" s="56" t="n"/>
      <c r="Q40" s="56" t="n"/>
      <c r="R40" s="56" t="n"/>
    </row>
    <row r="41">
      <c r="B41" s="58" t="n"/>
      <c r="C41" s="57" t="n"/>
      <c r="D41" s="57" t="n"/>
      <c r="E41" s="57" t="n"/>
      <c r="F41" s="57" t="n"/>
      <c r="I41" s="253" t="n"/>
      <c r="J41" s="253" t="n"/>
      <c r="K41" s="255" t="n"/>
      <c r="L41" s="255" t="n"/>
      <c r="M41" s="255" t="n"/>
      <c r="N41" s="255" t="n"/>
      <c r="O41" s="56" t="n"/>
      <c r="P41" s="57" t="n"/>
      <c r="Q41" s="57" t="n"/>
      <c r="R41" s="57" t="n"/>
    </row>
    <row r="42" ht="15" customHeight="1" s="794">
      <c r="B42" s="18" t="n"/>
      <c r="C42" s="57" t="n"/>
      <c r="D42" s="57" t="n"/>
      <c r="E42" s="57" t="n"/>
      <c r="F42" s="57" t="n"/>
      <c r="I42" s="253" t="n"/>
      <c r="J42" s="253" t="n"/>
      <c r="K42" s="253" t="n"/>
      <c r="L42" s="255" t="n"/>
      <c r="M42" s="255" t="n"/>
      <c r="N42" s="255" t="n"/>
      <c r="O42" s="56" t="n"/>
      <c r="P42" s="57" t="n"/>
      <c r="Q42" s="57" t="n"/>
      <c r="R42" s="57" t="n"/>
    </row>
    <row r="43" ht="18" customHeight="1" s="794">
      <c r="I43" s="57" t="n"/>
      <c r="J43" s="57" t="n"/>
      <c r="K43" s="57" t="n"/>
      <c r="L43" s="57" t="n"/>
      <c r="M43" s="57" t="n"/>
      <c r="N43" s="57" t="n"/>
    </row>
    <row r="44">
      <c r="G44" s="59" t="n"/>
    </row>
    <row r="46" ht="30.75" customHeight="1" s="794">
      <c r="A46" s="256" t="n"/>
      <c r="B46" s="229" t="n"/>
      <c r="C46" s="229" t="n"/>
      <c r="D46" s="229" t="n"/>
      <c r="E46" s="229" t="n"/>
      <c r="F46" s="229" t="n"/>
      <c r="G46" s="229" t="n"/>
      <c r="H46" s="229" t="n"/>
      <c r="I46" s="229" t="n"/>
      <c r="J46" s="229" t="n"/>
      <c r="K46" s="229" t="n"/>
      <c r="L46" s="229" t="n"/>
      <c r="M46" s="229" t="n"/>
      <c r="N46" s="229" t="n"/>
      <c r="O46" s="229" t="n"/>
    </row>
  </sheetData>
  <mergeCells count="26">
    <mergeCell ref="G23:H23"/>
    <mergeCell ref="N6:N8"/>
    <mergeCell ref="H5:K5"/>
    <mergeCell ref="I6:I8"/>
    <mergeCell ref="L6:L8"/>
    <mergeCell ref="J6:K6"/>
    <mergeCell ref="B4:N4"/>
    <mergeCell ref="B23:C23"/>
    <mergeCell ref="L23:M23"/>
    <mergeCell ref="J7:J8"/>
    <mergeCell ref="C6:C8"/>
    <mergeCell ref="B3:N3"/>
    <mergeCell ref="O6:O8"/>
    <mergeCell ref="N1:O1"/>
    <mergeCell ref="A21:B21"/>
    <mergeCell ref="D7:E7"/>
    <mergeCell ref="B34:C34"/>
    <mergeCell ref="K7:K8"/>
    <mergeCell ref="A6:A8"/>
    <mergeCell ref="B2:N2"/>
    <mergeCell ref="M6:M8"/>
    <mergeCell ref="H6:H8"/>
    <mergeCell ref="G6:G8"/>
    <mergeCell ref="F7:F8"/>
    <mergeCell ref="D6:F6"/>
    <mergeCell ref="B6:B8"/>
  </mergeCells>
  <conditionalFormatting sqref="I23:K26">
    <cfRule type="duplicateValues" priority="2" dxfId="0"/>
  </conditionalFormatting>
  <conditionalFormatting sqref="B39:B42">
    <cfRule type="duplicateValues" priority="1" dxfId="0"/>
  </conditionalFormatting>
  <conditionalFormatting sqref="O24:O26 P29:Q32">
    <cfRule type="expression" priority="3" dxfId="1" stopIfTrue="1">
      <formula>AND(COUNTIF($P$29:$Q$32, O24)+COUNTIF($O$24:$O$26, O24)&gt;1,NOT(ISBLANK(O24)))</formula>
    </cfRule>
  </conditionalFormatting>
  <printOptions horizontalCentered="1"/>
  <pageMargins left="0.25" right="0.25" top="0.75" bottom="0.75" header="0.3" footer="0.3"/>
  <pageSetup orientation="landscape" paperSize="8" scale="93"/>
</worksheet>
</file>

<file path=xl/worksheets/sheet26.xml><?xml version="1.0" encoding="utf-8"?>
<worksheet xmlns="http://schemas.openxmlformats.org/spreadsheetml/2006/main">
  <sheetPr>
    <tabColor theme="4" tint="0.7999816888943144"/>
    <outlinePr summaryBelow="1" summaryRight="1"/>
    <pageSetUpPr fitToPage="1"/>
  </sheetPr>
  <dimension ref="A1:I34"/>
  <sheetViews>
    <sheetView view="pageBreakPreview" zoomScale="85" zoomScaleNormal="85" zoomScaleSheetLayoutView="85" workbookViewId="0">
      <selection activeCell="A5" sqref="A5:G5"/>
    </sheetView>
  </sheetViews>
  <sheetFormatPr baseColWidth="8" defaultRowHeight="15"/>
  <cols>
    <col width="7.42578125" customWidth="1" style="794" min="1" max="1"/>
    <col width="40.7109375" customWidth="1" style="794" min="2" max="2"/>
    <col width="24.85546875" customWidth="1" style="794" min="3" max="3"/>
    <col width="21.7109375" customWidth="1" style="794" min="4" max="4"/>
    <col width="15.140625" customWidth="1" style="794" min="5" max="5"/>
    <col width="24.7109375" customWidth="1" style="794" min="6" max="6"/>
    <col width="16.85546875" customWidth="1" style="794" min="7" max="7"/>
    <col width="2.140625" customWidth="1" style="794" min="8" max="8"/>
    <col width="7.42578125" customWidth="1" style="794" min="257" max="257"/>
    <col width="45.140625" customWidth="1" style="794" min="258" max="258"/>
    <col width="26.5703125" customWidth="1" style="794" min="259" max="260"/>
    <col width="16.42578125" customWidth="1" style="794" min="261" max="261"/>
    <col width="29" customWidth="1" style="794" min="262" max="262"/>
    <col width="20.85546875" customWidth="1" style="794" min="263" max="263"/>
    <col width="2.140625" customWidth="1" style="794" min="264" max="264"/>
    <col width="7.42578125" customWidth="1" style="794" min="513" max="513"/>
    <col width="45.140625" customWidth="1" style="794" min="514" max="514"/>
    <col width="26.5703125" customWidth="1" style="794" min="515" max="516"/>
    <col width="16.42578125" customWidth="1" style="794" min="517" max="517"/>
    <col width="29" customWidth="1" style="794" min="518" max="518"/>
    <col width="20.85546875" customWidth="1" style="794" min="519" max="519"/>
    <col width="2.140625" customWidth="1" style="794" min="520" max="520"/>
    <col width="7.42578125" customWidth="1" style="794" min="769" max="769"/>
    <col width="45.140625" customWidth="1" style="794" min="770" max="770"/>
    <col width="26.5703125" customWidth="1" style="794" min="771" max="772"/>
    <col width="16.42578125" customWidth="1" style="794" min="773" max="773"/>
    <col width="29" customWidth="1" style="794" min="774" max="774"/>
    <col width="20.85546875" customWidth="1" style="794" min="775" max="775"/>
    <col width="2.140625" customWidth="1" style="794" min="776" max="776"/>
    <col width="7.42578125" customWidth="1" style="794" min="1025" max="1025"/>
    <col width="45.140625" customWidth="1" style="794" min="1026" max="1026"/>
    <col width="26.5703125" customWidth="1" style="794" min="1027" max="1028"/>
    <col width="16.42578125" customWidth="1" style="794" min="1029" max="1029"/>
    <col width="29" customWidth="1" style="794" min="1030" max="1030"/>
    <col width="20.85546875" customWidth="1" style="794" min="1031" max="1031"/>
    <col width="2.140625" customWidth="1" style="794" min="1032" max="1032"/>
    <col width="7.42578125" customWidth="1" style="794" min="1281" max="1281"/>
    <col width="45.140625" customWidth="1" style="794" min="1282" max="1282"/>
    <col width="26.5703125" customWidth="1" style="794" min="1283" max="1284"/>
    <col width="16.42578125" customWidth="1" style="794" min="1285" max="1285"/>
    <col width="29" customWidth="1" style="794" min="1286" max="1286"/>
    <col width="20.85546875" customWidth="1" style="794" min="1287" max="1287"/>
    <col width="2.140625" customWidth="1" style="794" min="1288" max="1288"/>
    <col width="7.42578125" customWidth="1" style="794" min="1537" max="1537"/>
    <col width="45.140625" customWidth="1" style="794" min="1538" max="1538"/>
    <col width="26.5703125" customWidth="1" style="794" min="1539" max="1540"/>
    <col width="16.42578125" customWidth="1" style="794" min="1541" max="1541"/>
    <col width="29" customWidth="1" style="794" min="1542" max="1542"/>
    <col width="20.85546875" customWidth="1" style="794" min="1543" max="1543"/>
    <col width="2.140625" customWidth="1" style="794" min="1544" max="1544"/>
    <col width="7.42578125" customWidth="1" style="794" min="1793" max="1793"/>
    <col width="45.140625" customWidth="1" style="794" min="1794" max="1794"/>
    <col width="26.5703125" customWidth="1" style="794" min="1795" max="1796"/>
    <col width="16.42578125" customWidth="1" style="794" min="1797" max="1797"/>
    <col width="29" customWidth="1" style="794" min="1798" max="1798"/>
    <col width="20.85546875" customWidth="1" style="794" min="1799" max="1799"/>
    <col width="2.140625" customWidth="1" style="794" min="1800" max="1800"/>
    <col width="7.42578125" customWidth="1" style="794" min="2049" max="2049"/>
    <col width="45.140625" customWidth="1" style="794" min="2050" max="2050"/>
    <col width="26.5703125" customWidth="1" style="794" min="2051" max="2052"/>
    <col width="16.42578125" customWidth="1" style="794" min="2053" max="2053"/>
    <col width="29" customWidth="1" style="794" min="2054" max="2054"/>
    <col width="20.85546875" customWidth="1" style="794" min="2055" max="2055"/>
    <col width="2.140625" customWidth="1" style="794" min="2056" max="2056"/>
    <col width="7.42578125" customWidth="1" style="794" min="2305" max="2305"/>
    <col width="45.140625" customWidth="1" style="794" min="2306" max="2306"/>
    <col width="26.5703125" customWidth="1" style="794" min="2307" max="2308"/>
    <col width="16.42578125" customWidth="1" style="794" min="2309" max="2309"/>
    <col width="29" customWidth="1" style="794" min="2310" max="2310"/>
    <col width="20.85546875" customWidth="1" style="794" min="2311" max="2311"/>
    <col width="2.140625" customWidth="1" style="794" min="2312" max="2312"/>
    <col width="7.42578125" customWidth="1" style="794" min="2561" max="2561"/>
    <col width="45.140625" customWidth="1" style="794" min="2562" max="2562"/>
    <col width="26.5703125" customWidth="1" style="794" min="2563" max="2564"/>
    <col width="16.42578125" customWidth="1" style="794" min="2565" max="2565"/>
    <col width="29" customWidth="1" style="794" min="2566" max="2566"/>
    <col width="20.85546875" customWidth="1" style="794" min="2567" max="2567"/>
    <col width="2.140625" customWidth="1" style="794" min="2568" max="2568"/>
    <col width="7.42578125" customWidth="1" style="794" min="2817" max="2817"/>
    <col width="45.140625" customWidth="1" style="794" min="2818" max="2818"/>
    <col width="26.5703125" customWidth="1" style="794" min="2819" max="2820"/>
    <col width="16.42578125" customWidth="1" style="794" min="2821" max="2821"/>
    <col width="29" customWidth="1" style="794" min="2822" max="2822"/>
    <col width="20.85546875" customWidth="1" style="794" min="2823" max="2823"/>
    <col width="2.140625" customWidth="1" style="794" min="2824" max="2824"/>
    <col width="7.42578125" customWidth="1" style="794" min="3073" max="3073"/>
    <col width="45.140625" customWidth="1" style="794" min="3074" max="3074"/>
    <col width="26.5703125" customWidth="1" style="794" min="3075" max="3076"/>
    <col width="16.42578125" customWidth="1" style="794" min="3077" max="3077"/>
    <col width="29" customWidth="1" style="794" min="3078" max="3078"/>
    <col width="20.85546875" customWidth="1" style="794" min="3079" max="3079"/>
    <col width="2.140625" customWidth="1" style="794" min="3080" max="3080"/>
    <col width="7.42578125" customWidth="1" style="794" min="3329" max="3329"/>
    <col width="45.140625" customWidth="1" style="794" min="3330" max="3330"/>
    <col width="26.5703125" customWidth="1" style="794" min="3331" max="3332"/>
    <col width="16.42578125" customWidth="1" style="794" min="3333" max="3333"/>
    <col width="29" customWidth="1" style="794" min="3334" max="3334"/>
    <col width="20.85546875" customWidth="1" style="794" min="3335" max="3335"/>
    <col width="2.140625" customWidth="1" style="794" min="3336" max="3336"/>
    <col width="7.42578125" customWidth="1" style="794" min="3585" max="3585"/>
    <col width="45.140625" customWidth="1" style="794" min="3586" max="3586"/>
    <col width="26.5703125" customWidth="1" style="794" min="3587" max="3588"/>
    <col width="16.42578125" customWidth="1" style="794" min="3589" max="3589"/>
    <col width="29" customWidth="1" style="794" min="3590" max="3590"/>
    <col width="20.85546875" customWidth="1" style="794" min="3591" max="3591"/>
    <col width="2.140625" customWidth="1" style="794" min="3592" max="3592"/>
    <col width="7.42578125" customWidth="1" style="794" min="3841" max="3841"/>
    <col width="45.140625" customWidth="1" style="794" min="3842" max="3842"/>
    <col width="26.5703125" customWidth="1" style="794" min="3843" max="3844"/>
    <col width="16.42578125" customWidth="1" style="794" min="3845" max="3845"/>
    <col width="29" customWidth="1" style="794" min="3846" max="3846"/>
    <col width="20.85546875" customWidth="1" style="794" min="3847" max="3847"/>
    <col width="2.140625" customWidth="1" style="794" min="3848" max="3848"/>
    <col width="7.42578125" customWidth="1" style="794" min="4097" max="4097"/>
    <col width="45.140625" customWidth="1" style="794" min="4098" max="4098"/>
    <col width="26.5703125" customWidth="1" style="794" min="4099" max="4100"/>
    <col width="16.42578125" customWidth="1" style="794" min="4101" max="4101"/>
    <col width="29" customWidth="1" style="794" min="4102" max="4102"/>
    <col width="20.85546875" customWidth="1" style="794" min="4103" max="4103"/>
    <col width="2.140625" customWidth="1" style="794" min="4104" max="4104"/>
    <col width="7.42578125" customWidth="1" style="794" min="4353" max="4353"/>
    <col width="45.140625" customWidth="1" style="794" min="4354" max="4354"/>
    <col width="26.5703125" customWidth="1" style="794" min="4355" max="4356"/>
    <col width="16.42578125" customWidth="1" style="794" min="4357" max="4357"/>
    <col width="29" customWidth="1" style="794" min="4358" max="4358"/>
    <col width="20.85546875" customWidth="1" style="794" min="4359" max="4359"/>
    <col width="2.140625" customWidth="1" style="794" min="4360" max="4360"/>
    <col width="7.42578125" customWidth="1" style="794" min="4609" max="4609"/>
    <col width="45.140625" customWidth="1" style="794" min="4610" max="4610"/>
    <col width="26.5703125" customWidth="1" style="794" min="4611" max="4612"/>
    <col width="16.42578125" customWidth="1" style="794" min="4613" max="4613"/>
    <col width="29" customWidth="1" style="794" min="4614" max="4614"/>
    <col width="20.85546875" customWidth="1" style="794" min="4615" max="4615"/>
    <col width="2.140625" customWidth="1" style="794" min="4616" max="4616"/>
    <col width="7.42578125" customWidth="1" style="794" min="4865" max="4865"/>
    <col width="45.140625" customWidth="1" style="794" min="4866" max="4866"/>
    <col width="26.5703125" customWidth="1" style="794" min="4867" max="4868"/>
    <col width="16.42578125" customWidth="1" style="794" min="4869" max="4869"/>
    <col width="29" customWidth="1" style="794" min="4870" max="4870"/>
    <col width="20.85546875" customWidth="1" style="794" min="4871" max="4871"/>
    <col width="2.140625" customWidth="1" style="794" min="4872" max="4872"/>
    <col width="7.42578125" customWidth="1" style="794" min="5121" max="5121"/>
    <col width="45.140625" customWidth="1" style="794" min="5122" max="5122"/>
    <col width="26.5703125" customWidth="1" style="794" min="5123" max="5124"/>
    <col width="16.42578125" customWidth="1" style="794" min="5125" max="5125"/>
    <col width="29" customWidth="1" style="794" min="5126" max="5126"/>
    <col width="20.85546875" customWidth="1" style="794" min="5127" max="5127"/>
    <col width="2.140625" customWidth="1" style="794" min="5128" max="5128"/>
    <col width="7.42578125" customWidth="1" style="794" min="5377" max="5377"/>
    <col width="45.140625" customWidth="1" style="794" min="5378" max="5378"/>
    <col width="26.5703125" customWidth="1" style="794" min="5379" max="5380"/>
    <col width="16.42578125" customWidth="1" style="794" min="5381" max="5381"/>
    <col width="29" customWidth="1" style="794" min="5382" max="5382"/>
    <col width="20.85546875" customWidth="1" style="794" min="5383" max="5383"/>
    <col width="2.140625" customWidth="1" style="794" min="5384" max="5384"/>
    <col width="7.42578125" customWidth="1" style="794" min="5633" max="5633"/>
    <col width="45.140625" customWidth="1" style="794" min="5634" max="5634"/>
    <col width="26.5703125" customWidth="1" style="794" min="5635" max="5636"/>
    <col width="16.42578125" customWidth="1" style="794" min="5637" max="5637"/>
    <col width="29" customWidth="1" style="794" min="5638" max="5638"/>
    <col width="20.85546875" customWidth="1" style="794" min="5639" max="5639"/>
    <col width="2.140625" customWidth="1" style="794" min="5640" max="5640"/>
    <col width="7.42578125" customWidth="1" style="794" min="5889" max="5889"/>
    <col width="45.140625" customWidth="1" style="794" min="5890" max="5890"/>
    <col width="26.5703125" customWidth="1" style="794" min="5891" max="5892"/>
    <col width="16.42578125" customWidth="1" style="794" min="5893" max="5893"/>
    <col width="29" customWidth="1" style="794" min="5894" max="5894"/>
    <col width="20.85546875" customWidth="1" style="794" min="5895" max="5895"/>
    <col width="2.140625" customWidth="1" style="794" min="5896" max="5896"/>
    <col width="7.42578125" customWidth="1" style="794" min="6145" max="6145"/>
    <col width="45.140625" customWidth="1" style="794" min="6146" max="6146"/>
    <col width="26.5703125" customWidth="1" style="794" min="6147" max="6148"/>
    <col width="16.42578125" customWidth="1" style="794" min="6149" max="6149"/>
    <col width="29" customWidth="1" style="794" min="6150" max="6150"/>
    <col width="20.85546875" customWidth="1" style="794" min="6151" max="6151"/>
    <col width="2.140625" customWidth="1" style="794" min="6152" max="6152"/>
    <col width="7.42578125" customWidth="1" style="794" min="6401" max="6401"/>
    <col width="45.140625" customWidth="1" style="794" min="6402" max="6402"/>
    <col width="26.5703125" customWidth="1" style="794" min="6403" max="6404"/>
    <col width="16.42578125" customWidth="1" style="794" min="6405" max="6405"/>
    <col width="29" customWidth="1" style="794" min="6406" max="6406"/>
    <col width="20.85546875" customWidth="1" style="794" min="6407" max="6407"/>
    <col width="2.140625" customWidth="1" style="794" min="6408" max="6408"/>
    <col width="7.42578125" customWidth="1" style="794" min="6657" max="6657"/>
    <col width="45.140625" customWidth="1" style="794" min="6658" max="6658"/>
    <col width="26.5703125" customWidth="1" style="794" min="6659" max="6660"/>
    <col width="16.42578125" customWidth="1" style="794" min="6661" max="6661"/>
    <col width="29" customWidth="1" style="794" min="6662" max="6662"/>
    <col width="20.85546875" customWidth="1" style="794" min="6663" max="6663"/>
    <col width="2.140625" customWidth="1" style="794" min="6664" max="6664"/>
    <col width="7.42578125" customWidth="1" style="794" min="6913" max="6913"/>
    <col width="45.140625" customWidth="1" style="794" min="6914" max="6914"/>
    <col width="26.5703125" customWidth="1" style="794" min="6915" max="6916"/>
    <col width="16.42578125" customWidth="1" style="794" min="6917" max="6917"/>
    <col width="29" customWidth="1" style="794" min="6918" max="6918"/>
    <col width="20.85546875" customWidth="1" style="794" min="6919" max="6919"/>
    <col width="2.140625" customWidth="1" style="794" min="6920" max="6920"/>
    <col width="7.42578125" customWidth="1" style="794" min="7169" max="7169"/>
    <col width="45.140625" customWidth="1" style="794" min="7170" max="7170"/>
    <col width="26.5703125" customWidth="1" style="794" min="7171" max="7172"/>
    <col width="16.42578125" customWidth="1" style="794" min="7173" max="7173"/>
    <col width="29" customWidth="1" style="794" min="7174" max="7174"/>
    <col width="20.85546875" customWidth="1" style="794" min="7175" max="7175"/>
    <col width="2.140625" customWidth="1" style="794" min="7176" max="7176"/>
    <col width="7.42578125" customWidth="1" style="794" min="7425" max="7425"/>
    <col width="45.140625" customWidth="1" style="794" min="7426" max="7426"/>
    <col width="26.5703125" customWidth="1" style="794" min="7427" max="7428"/>
    <col width="16.42578125" customWidth="1" style="794" min="7429" max="7429"/>
    <col width="29" customWidth="1" style="794" min="7430" max="7430"/>
    <col width="20.85546875" customWidth="1" style="794" min="7431" max="7431"/>
    <col width="2.140625" customWidth="1" style="794" min="7432" max="7432"/>
    <col width="7.42578125" customWidth="1" style="794" min="7681" max="7681"/>
    <col width="45.140625" customWidth="1" style="794" min="7682" max="7682"/>
    <col width="26.5703125" customWidth="1" style="794" min="7683" max="7684"/>
    <col width="16.42578125" customWidth="1" style="794" min="7685" max="7685"/>
    <col width="29" customWidth="1" style="794" min="7686" max="7686"/>
    <col width="20.85546875" customWidth="1" style="794" min="7687" max="7687"/>
    <col width="2.140625" customWidth="1" style="794" min="7688" max="7688"/>
    <col width="7.42578125" customWidth="1" style="794" min="7937" max="7937"/>
    <col width="45.140625" customWidth="1" style="794" min="7938" max="7938"/>
    <col width="26.5703125" customWidth="1" style="794" min="7939" max="7940"/>
    <col width="16.42578125" customWidth="1" style="794" min="7941" max="7941"/>
    <col width="29" customWidth="1" style="794" min="7942" max="7942"/>
    <col width="20.85546875" customWidth="1" style="794" min="7943" max="7943"/>
    <col width="2.140625" customWidth="1" style="794" min="7944" max="7944"/>
    <col width="7.42578125" customWidth="1" style="794" min="8193" max="8193"/>
    <col width="45.140625" customWidth="1" style="794" min="8194" max="8194"/>
    <col width="26.5703125" customWidth="1" style="794" min="8195" max="8196"/>
    <col width="16.42578125" customWidth="1" style="794" min="8197" max="8197"/>
    <col width="29" customWidth="1" style="794" min="8198" max="8198"/>
    <col width="20.85546875" customWidth="1" style="794" min="8199" max="8199"/>
    <col width="2.140625" customWidth="1" style="794" min="8200" max="8200"/>
    <col width="7.42578125" customWidth="1" style="794" min="8449" max="8449"/>
    <col width="45.140625" customWidth="1" style="794" min="8450" max="8450"/>
    <col width="26.5703125" customWidth="1" style="794" min="8451" max="8452"/>
    <col width="16.42578125" customWidth="1" style="794" min="8453" max="8453"/>
    <col width="29" customWidth="1" style="794" min="8454" max="8454"/>
    <col width="20.85546875" customWidth="1" style="794" min="8455" max="8455"/>
    <col width="2.140625" customWidth="1" style="794" min="8456" max="8456"/>
    <col width="7.42578125" customWidth="1" style="794" min="8705" max="8705"/>
    <col width="45.140625" customWidth="1" style="794" min="8706" max="8706"/>
    <col width="26.5703125" customWidth="1" style="794" min="8707" max="8708"/>
    <col width="16.42578125" customWidth="1" style="794" min="8709" max="8709"/>
    <col width="29" customWidth="1" style="794" min="8710" max="8710"/>
    <col width="20.85546875" customWidth="1" style="794" min="8711" max="8711"/>
    <col width="2.140625" customWidth="1" style="794" min="8712" max="8712"/>
    <col width="7.42578125" customWidth="1" style="794" min="8961" max="8961"/>
    <col width="45.140625" customWidth="1" style="794" min="8962" max="8962"/>
    <col width="26.5703125" customWidth="1" style="794" min="8963" max="8964"/>
    <col width="16.42578125" customWidth="1" style="794" min="8965" max="8965"/>
    <col width="29" customWidth="1" style="794" min="8966" max="8966"/>
    <col width="20.85546875" customWidth="1" style="794" min="8967" max="8967"/>
    <col width="2.140625" customWidth="1" style="794" min="8968" max="8968"/>
    <col width="7.42578125" customWidth="1" style="794" min="9217" max="9217"/>
    <col width="45.140625" customWidth="1" style="794" min="9218" max="9218"/>
    <col width="26.5703125" customWidth="1" style="794" min="9219" max="9220"/>
    <col width="16.42578125" customWidth="1" style="794" min="9221" max="9221"/>
    <col width="29" customWidth="1" style="794" min="9222" max="9222"/>
    <col width="20.85546875" customWidth="1" style="794" min="9223" max="9223"/>
    <col width="2.140625" customWidth="1" style="794" min="9224" max="9224"/>
    <col width="7.42578125" customWidth="1" style="794" min="9473" max="9473"/>
    <col width="45.140625" customWidth="1" style="794" min="9474" max="9474"/>
    <col width="26.5703125" customWidth="1" style="794" min="9475" max="9476"/>
    <col width="16.42578125" customWidth="1" style="794" min="9477" max="9477"/>
    <col width="29" customWidth="1" style="794" min="9478" max="9478"/>
    <col width="20.85546875" customWidth="1" style="794" min="9479" max="9479"/>
    <col width="2.140625" customWidth="1" style="794" min="9480" max="9480"/>
    <col width="7.42578125" customWidth="1" style="794" min="9729" max="9729"/>
    <col width="45.140625" customWidth="1" style="794" min="9730" max="9730"/>
    <col width="26.5703125" customWidth="1" style="794" min="9731" max="9732"/>
    <col width="16.42578125" customWidth="1" style="794" min="9733" max="9733"/>
    <col width="29" customWidth="1" style="794" min="9734" max="9734"/>
    <col width="20.85546875" customWidth="1" style="794" min="9735" max="9735"/>
    <col width="2.140625" customWidth="1" style="794" min="9736" max="9736"/>
    <col width="7.42578125" customWidth="1" style="794" min="9985" max="9985"/>
    <col width="45.140625" customWidth="1" style="794" min="9986" max="9986"/>
    <col width="26.5703125" customWidth="1" style="794" min="9987" max="9988"/>
    <col width="16.42578125" customWidth="1" style="794" min="9989" max="9989"/>
    <col width="29" customWidth="1" style="794" min="9990" max="9990"/>
    <col width="20.85546875" customWidth="1" style="794" min="9991" max="9991"/>
    <col width="2.140625" customWidth="1" style="794" min="9992" max="9992"/>
    <col width="7.42578125" customWidth="1" style="794" min="10241" max="10241"/>
    <col width="45.140625" customWidth="1" style="794" min="10242" max="10242"/>
    <col width="26.5703125" customWidth="1" style="794" min="10243" max="10244"/>
    <col width="16.42578125" customWidth="1" style="794" min="10245" max="10245"/>
    <col width="29" customWidth="1" style="794" min="10246" max="10246"/>
    <col width="20.85546875" customWidth="1" style="794" min="10247" max="10247"/>
    <col width="2.140625" customWidth="1" style="794" min="10248" max="10248"/>
    <col width="7.42578125" customWidth="1" style="794" min="10497" max="10497"/>
    <col width="45.140625" customWidth="1" style="794" min="10498" max="10498"/>
    <col width="26.5703125" customWidth="1" style="794" min="10499" max="10500"/>
    <col width="16.42578125" customWidth="1" style="794" min="10501" max="10501"/>
    <col width="29" customWidth="1" style="794" min="10502" max="10502"/>
    <col width="20.85546875" customWidth="1" style="794" min="10503" max="10503"/>
    <col width="2.140625" customWidth="1" style="794" min="10504" max="10504"/>
    <col width="7.42578125" customWidth="1" style="794" min="10753" max="10753"/>
    <col width="45.140625" customWidth="1" style="794" min="10754" max="10754"/>
    <col width="26.5703125" customWidth="1" style="794" min="10755" max="10756"/>
    <col width="16.42578125" customWidth="1" style="794" min="10757" max="10757"/>
    <col width="29" customWidth="1" style="794" min="10758" max="10758"/>
    <col width="20.85546875" customWidth="1" style="794" min="10759" max="10759"/>
    <col width="2.140625" customWidth="1" style="794" min="10760" max="10760"/>
    <col width="7.42578125" customWidth="1" style="794" min="11009" max="11009"/>
    <col width="45.140625" customWidth="1" style="794" min="11010" max="11010"/>
    <col width="26.5703125" customWidth="1" style="794" min="11011" max="11012"/>
    <col width="16.42578125" customWidth="1" style="794" min="11013" max="11013"/>
    <col width="29" customWidth="1" style="794" min="11014" max="11014"/>
    <col width="20.85546875" customWidth="1" style="794" min="11015" max="11015"/>
    <col width="2.140625" customWidth="1" style="794" min="11016" max="11016"/>
    <col width="7.42578125" customWidth="1" style="794" min="11265" max="11265"/>
    <col width="45.140625" customWidth="1" style="794" min="11266" max="11266"/>
    <col width="26.5703125" customWidth="1" style="794" min="11267" max="11268"/>
    <col width="16.42578125" customWidth="1" style="794" min="11269" max="11269"/>
    <col width="29" customWidth="1" style="794" min="11270" max="11270"/>
    <col width="20.85546875" customWidth="1" style="794" min="11271" max="11271"/>
    <col width="2.140625" customWidth="1" style="794" min="11272" max="11272"/>
    <col width="7.42578125" customWidth="1" style="794" min="11521" max="11521"/>
    <col width="45.140625" customWidth="1" style="794" min="11522" max="11522"/>
    <col width="26.5703125" customWidth="1" style="794" min="11523" max="11524"/>
    <col width="16.42578125" customWidth="1" style="794" min="11525" max="11525"/>
    <col width="29" customWidth="1" style="794" min="11526" max="11526"/>
    <col width="20.85546875" customWidth="1" style="794" min="11527" max="11527"/>
    <col width="2.140625" customWidth="1" style="794" min="11528" max="11528"/>
    <col width="7.42578125" customWidth="1" style="794" min="11777" max="11777"/>
    <col width="45.140625" customWidth="1" style="794" min="11778" max="11778"/>
    <col width="26.5703125" customWidth="1" style="794" min="11779" max="11780"/>
    <col width="16.42578125" customWidth="1" style="794" min="11781" max="11781"/>
    <col width="29" customWidth="1" style="794" min="11782" max="11782"/>
    <col width="20.85546875" customWidth="1" style="794" min="11783" max="11783"/>
    <col width="2.140625" customWidth="1" style="794" min="11784" max="11784"/>
    <col width="7.42578125" customWidth="1" style="794" min="12033" max="12033"/>
    <col width="45.140625" customWidth="1" style="794" min="12034" max="12034"/>
    <col width="26.5703125" customWidth="1" style="794" min="12035" max="12036"/>
    <col width="16.42578125" customWidth="1" style="794" min="12037" max="12037"/>
    <col width="29" customWidth="1" style="794" min="12038" max="12038"/>
    <col width="20.85546875" customWidth="1" style="794" min="12039" max="12039"/>
    <col width="2.140625" customWidth="1" style="794" min="12040" max="12040"/>
    <col width="7.42578125" customWidth="1" style="794" min="12289" max="12289"/>
    <col width="45.140625" customWidth="1" style="794" min="12290" max="12290"/>
    <col width="26.5703125" customWidth="1" style="794" min="12291" max="12292"/>
    <col width="16.42578125" customWidth="1" style="794" min="12293" max="12293"/>
    <col width="29" customWidth="1" style="794" min="12294" max="12294"/>
    <col width="20.85546875" customWidth="1" style="794" min="12295" max="12295"/>
    <col width="2.140625" customWidth="1" style="794" min="12296" max="12296"/>
    <col width="7.42578125" customWidth="1" style="794" min="12545" max="12545"/>
    <col width="45.140625" customWidth="1" style="794" min="12546" max="12546"/>
    <col width="26.5703125" customWidth="1" style="794" min="12547" max="12548"/>
    <col width="16.42578125" customWidth="1" style="794" min="12549" max="12549"/>
    <col width="29" customWidth="1" style="794" min="12550" max="12550"/>
    <col width="20.85546875" customWidth="1" style="794" min="12551" max="12551"/>
    <col width="2.140625" customWidth="1" style="794" min="12552" max="12552"/>
    <col width="7.42578125" customWidth="1" style="794" min="12801" max="12801"/>
    <col width="45.140625" customWidth="1" style="794" min="12802" max="12802"/>
    <col width="26.5703125" customWidth="1" style="794" min="12803" max="12804"/>
    <col width="16.42578125" customWidth="1" style="794" min="12805" max="12805"/>
    <col width="29" customWidth="1" style="794" min="12806" max="12806"/>
    <col width="20.85546875" customWidth="1" style="794" min="12807" max="12807"/>
    <col width="2.140625" customWidth="1" style="794" min="12808" max="12808"/>
    <col width="7.42578125" customWidth="1" style="794" min="13057" max="13057"/>
    <col width="45.140625" customWidth="1" style="794" min="13058" max="13058"/>
    <col width="26.5703125" customWidth="1" style="794" min="13059" max="13060"/>
    <col width="16.42578125" customWidth="1" style="794" min="13061" max="13061"/>
    <col width="29" customWidth="1" style="794" min="13062" max="13062"/>
    <col width="20.85546875" customWidth="1" style="794" min="13063" max="13063"/>
    <col width="2.140625" customWidth="1" style="794" min="13064" max="13064"/>
    <col width="7.42578125" customWidth="1" style="794" min="13313" max="13313"/>
    <col width="45.140625" customWidth="1" style="794" min="13314" max="13314"/>
    <col width="26.5703125" customWidth="1" style="794" min="13315" max="13316"/>
    <col width="16.42578125" customWidth="1" style="794" min="13317" max="13317"/>
    <col width="29" customWidth="1" style="794" min="13318" max="13318"/>
    <col width="20.85546875" customWidth="1" style="794" min="13319" max="13319"/>
    <col width="2.140625" customWidth="1" style="794" min="13320" max="13320"/>
    <col width="7.42578125" customWidth="1" style="794" min="13569" max="13569"/>
    <col width="45.140625" customWidth="1" style="794" min="13570" max="13570"/>
    <col width="26.5703125" customWidth="1" style="794" min="13571" max="13572"/>
    <col width="16.42578125" customWidth="1" style="794" min="13573" max="13573"/>
    <col width="29" customWidth="1" style="794" min="13574" max="13574"/>
    <col width="20.85546875" customWidth="1" style="794" min="13575" max="13575"/>
    <col width="2.140625" customWidth="1" style="794" min="13576" max="13576"/>
    <col width="7.42578125" customWidth="1" style="794" min="13825" max="13825"/>
    <col width="45.140625" customWidth="1" style="794" min="13826" max="13826"/>
    <col width="26.5703125" customWidth="1" style="794" min="13827" max="13828"/>
    <col width="16.42578125" customWidth="1" style="794" min="13829" max="13829"/>
    <col width="29" customWidth="1" style="794" min="13830" max="13830"/>
    <col width="20.85546875" customWidth="1" style="794" min="13831" max="13831"/>
    <col width="2.140625" customWidth="1" style="794" min="13832" max="13832"/>
    <col width="7.42578125" customWidth="1" style="794" min="14081" max="14081"/>
    <col width="45.140625" customWidth="1" style="794" min="14082" max="14082"/>
    <col width="26.5703125" customWidth="1" style="794" min="14083" max="14084"/>
    <col width="16.42578125" customWidth="1" style="794" min="14085" max="14085"/>
    <col width="29" customWidth="1" style="794" min="14086" max="14086"/>
    <col width="20.85546875" customWidth="1" style="794" min="14087" max="14087"/>
    <col width="2.140625" customWidth="1" style="794" min="14088" max="14088"/>
    <col width="7.42578125" customWidth="1" style="794" min="14337" max="14337"/>
    <col width="45.140625" customWidth="1" style="794" min="14338" max="14338"/>
    <col width="26.5703125" customWidth="1" style="794" min="14339" max="14340"/>
    <col width="16.42578125" customWidth="1" style="794" min="14341" max="14341"/>
    <col width="29" customWidth="1" style="794" min="14342" max="14342"/>
    <col width="20.85546875" customWidth="1" style="794" min="14343" max="14343"/>
    <col width="2.140625" customWidth="1" style="794" min="14344" max="14344"/>
    <col width="7.42578125" customWidth="1" style="794" min="14593" max="14593"/>
    <col width="45.140625" customWidth="1" style="794" min="14594" max="14594"/>
    <col width="26.5703125" customWidth="1" style="794" min="14595" max="14596"/>
    <col width="16.42578125" customWidth="1" style="794" min="14597" max="14597"/>
    <col width="29" customWidth="1" style="794" min="14598" max="14598"/>
    <col width="20.85546875" customWidth="1" style="794" min="14599" max="14599"/>
    <col width="2.140625" customWidth="1" style="794" min="14600" max="14600"/>
    <col width="7.42578125" customWidth="1" style="794" min="14849" max="14849"/>
    <col width="45.140625" customWidth="1" style="794" min="14850" max="14850"/>
    <col width="26.5703125" customWidth="1" style="794" min="14851" max="14852"/>
    <col width="16.42578125" customWidth="1" style="794" min="14853" max="14853"/>
    <col width="29" customWidth="1" style="794" min="14854" max="14854"/>
    <col width="20.85546875" customWidth="1" style="794" min="14855" max="14855"/>
    <col width="2.140625" customWidth="1" style="794" min="14856" max="14856"/>
    <col width="7.42578125" customWidth="1" style="794" min="15105" max="15105"/>
    <col width="45.140625" customWidth="1" style="794" min="15106" max="15106"/>
    <col width="26.5703125" customWidth="1" style="794" min="15107" max="15108"/>
    <col width="16.42578125" customWidth="1" style="794" min="15109" max="15109"/>
    <col width="29" customWidth="1" style="794" min="15110" max="15110"/>
    <col width="20.85546875" customWidth="1" style="794" min="15111" max="15111"/>
    <col width="2.140625" customWidth="1" style="794" min="15112" max="15112"/>
    <col width="7.42578125" customWidth="1" style="794" min="15361" max="15361"/>
    <col width="45.140625" customWidth="1" style="794" min="15362" max="15362"/>
    <col width="26.5703125" customWidth="1" style="794" min="15363" max="15364"/>
    <col width="16.42578125" customWidth="1" style="794" min="15365" max="15365"/>
    <col width="29" customWidth="1" style="794" min="15366" max="15366"/>
    <col width="20.85546875" customWidth="1" style="794" min="15367" max="15367"/>
    <col width="2.140625" customWidth="1" style="794" min="15368" max="15368"/>
    <col width="7.42578125" customWidth="1" style="794" min="15617" max="15617"/>
    <col width="45.140625" customWidth="1" style="794" min="15618" max="15618"/>
    <col width="26.5703125" customWidth="1" style="794" min="15619" max="15620"/>
    <col width="16.42578125" customWidth="1" style="794" min="15621" max="15621"/>
    <col width="29" customWidth="1" style="794" min="15622" max="15622"/>
    <col width="20.85546875" customWidth="1" style="794" min="15623" max="15623"/>
    <col width="2.140625" customWidth="1" style="794" min="15624" max="15624"/>
    <col width="7.42578125" customWidth="1" style="794" min="15873" max="15873"/>
    <col width="45.140625" customWidth="1" style="794" min="15874" max="15874"/>
    <col width="26.5703125" customWidth="1" style="794" min="15875" max="15876"/>
    <col width="16.42578125" customWidth="1" style="794" min="15877" max="15877"/>
    <col width="29" customWidth="1" style="794" min="15878" max="15878"/>
    <col width="20.85546875" customWidth="1" style="794" min="15879" max="15879"/>
    <col width="2.140625" customWidth="1" style="794" min="15880" max="15880"/>
    <col width="7.42578125" customWidth="1" style="794" min="16129" max="16129"/>
    <col width="45.140625" customWidth="1" style="794" min="16130" max="16130"/>
    <col width="26.5703125" customWidth="1" style="794" min="16131" max="16132"/>
    <col width="16.42578125" customWidth="1" style="794" min="16133" max="16133"/>
    <col width="29" customWidth="1" style="794" min="16134" max="16134"/>
    <col width="20.85546875" customWidth="1" style="794" min="16135" max="16135"/>
    <col width="2.140625" customWidth="1" style="794" min="16136" max="16136"/>
  </cols>
  <sheetData>
    <row r="1">
      <c r="A1" s="55" t="n"/>
      <c r="B1" s="55" t="n"/>
      <c r="C1" s="55" t="n"/>
      <c r="D1" s="55" t="n"/>
      <c r="E1" s="55" t="n"/>
      <c r="F1" s="55" t="n"/>
      <c r="G1" s="70" t="inlineStr">
        <is>
          <t>Форма № 18 (18д)</t>
        </is>
      </c>
      <c r="H1" s="55" t="n"/>
    </row>
    <row r="2">
      <c r="A2" s="55" t="n"/>
      <c r="B2" s="55" t="n"/>
      <c r="C2" s="55" t="n"/>
      <c r="D2" s="55" t="n"/>
      <c r="E2" s="55" t="n"/>
      <c r="F2" s="55" t="n"/>
      <c r="G2" s="55" t="n"/>
      <c r="H2" s="55" t="n"/>
    </row>
    <row r="3" ht="33" customHeight="1" s="794">
      <c r="A3" s="1232" t="inlineStr">
        <is>
          <t>РАСШИФРОВКА
прочих прямых затрат</t>
        </is>
      </c>
      <c r="H3" s="55" t="n"/>
    </row>
    <row r="4" ht="34.5" customHeight="1" s="794">
      <c r="A4" s="1234" t="inlineStr">
        <is>
          <t>ТЕМА</t>
        </is>
      </c>
      <c r="B4" s="1409" t="n"/>
      <c r="C4" s="1409" t="n"/>
      <c r="D4" s="1409" t="n"/>
      <c r="E4" s="1409" t="n"/>
      <c r="F4" s="1409" t="n"/>
      <c r="G4" s="1409" t="n"/>
      <c r="H4" s="55" t="n"/>
    </row>
    <row r="5">
      <c r="A5" s="1235" t="inlineStr">
        <is>
          <t>(наименование, шифр товара, работы, услуги)</t>
        </is>
      </c>
      <c r="B5" s="1416" t="n"/>
      <c r="C5" s="1416" t="n"/>
      <c r="D5" s="1416" t="n"/>
      <c r="E5" s="1416" t="n"/>
      <c r="F5" s="1416" t="n"/>
      <c r="G5" s="1416" t="n"/>
      <c r="H5" s="55" t="n"/>
    </row>
    <row r="6">
      <c r="A6" s="490" t="n"/>
      <c r="B6" s="490" t="n"/>
      <c r="C6" s="490" t="n"/>
      <c r="D6" s="490" t="n"/>
      <c r="E6" s="490" t="n"/>
      <c r="F6" s="490" t="n"/>
      <c r="G6" s="490" t="n"/>
      <c r="H6" s="55" t="n"/>
    </row>
    <row r="7" ht="10.5" customHeight="1" s="794">
      <c r="A7" s="55" t="n"/>
      <c r="B7" s="55" t="n"/>
      <c r="C7" s="55" t="n"/>
      <c r="D7" s="55" t="n"/>
      <c r="E7" s="55" t="n"/>
      <c r="F7" s="55" t="n"/>
      <c r="G7" s="1015" t="n"/>
      <c r="H7" s="55" t="n"/>
    </row>
    <row r="8" ht="30.75" customHeight="1" s="794">
      <c r="A8" s="1206" t="inlineStr">
        <is>
          <t>№ статей</t>
        </is>
      </c>
      <c r="B8" s="1212" t="inlineStr">
        <is>
          <t>Наименование статей затрат</t>
        </is>
      </c>
      <c r="C8" s="1206" t="inlineStr">
        <is>
          <t>Затраты отчетного периода / периода, предшествующего планируемому (год _____) (руб.)</t>
        </is>
      </c>
      <c r="D8" s="1410" t="n"/>
      <c r="E8" s="1206" t="inlineStr">
        <is>
          <t>Применяемый индекс цен</t>
        </is>
      </c>
      <c r="F8" s="1206" t="inlineStr">
        <is>
          <t>Затраты планируемого периода (год _____) (руб.)</t>
        </is>
      </c>
      <c r="G8" s="1206" t="inlineStr">
        <is>
          <t>Основания для включения затрат</t>
        </is>
      </c>
      <c r="H8" s="55" t="n"/>
    </row>
    <row r="9" ht="16.5" customHeight="1" s="794">
      <c r="A9" s="1413" t="n"/>
      <c r="B9" s="1413" t="n"/>
      <c r="C9" s="1230" t="inlineStr">
        <is>
          <t>план</t>
        </is>
      </c>
      <c r="D9" s="1230" t="inlineStr">
        <is>
          <t>факт</t>
        </is>
      </c>
      <c r="E9" s="1413" t="n"/>
      <c r="F9" s="1413" t="n"/>
      <c r="G9" s="1413" t="n"/>
      <c r="H9" s="55" t="n"/>
    </row>
    <row r="10">
      <c r="A10" s="1212" t="n">
        <v>1</v>
      </c>
      <c r="B10" s="1212" t="n">
        <v>2</v>
      </c>
      <c r="C10" s="257" t="inlineStr">
        <is>
          <t>3.1</t>
        </is>
      </c>
      <c r="D10" s="257" t="inlineStr">
        <is>
          <t>3.2</t>
        </is>
      </c>
      <c r="E10" s="257" t="inlineStr">
        <is>
          <t>4</t>
        </is>
      </c>
      <c r="F10" s="286" t="n">
        <v>5</v>
      </c>
      <c r="G10" s="1212" t="n">
        <v>6</v>
      </c>
      <c r="H10" s="55" t="n"/>
    </row>
    <row r="11" ht="36.75" customHeight="1" s="794">
      <c r="A11" s="1212" t="n">
        <v>1</v>
      </c>
      <c r="B11" s="60" t="inlineStr">
        <is>
          <t>Затраты по обязательным видам страхования, возникающим при производстве продукции</t>
        </is>
      </c>
      <c r="C11" s="1231" t="inlineStr">
        <is>
          <t>-</t>
        </is>
      </c>
      <c r="D11" s="1231" t="inlineStr">
        <is>
          <t>-</t>
        </is>
      </c>
      <c r="E11" s="1231" t="inlineStr">
        <is>
          <t>-</t>
        </is>
      </c>
      <c r="F11" s="1231" t="inlineStr">
        <is>
          <t>-</t>
        </is>
      </c>
      <c r="G11" s="1231" t="inlineStr">
        <is>
          <t>-</t>
        </is>
      </c>
      <c r="H11" s="55" t="n"/>
    </row>
    <row r="12" ht="17.25" customHeight="1" s="794">
      <c r="A12" s="1206" t="inlineStr">
        <is>
          <t>ИТОГО</t>
        </is>
      </c>
      <c r="B12" s="1410" t="n"/>
      <c r="C12" s="1231" t="n"/>
      <c r="D12" s="1231" t="inlineStr">
        <is>
          <t>-</t>
        </is>
      </c>
      <c r="E12" s="1231" t="inlineStr">
        <is>
          <t>-</t>
        </is>
      </c>
      <c r="F12" s="1231" t="inlineStr">
        <is>
          <t>-</t>
        </is>
      </c>
      <c r="G12" s="1231" t="inlineStr">
        <is>
          <t>-</t>
        </is>
      </c>
      <c r="H12" s="55" t="n"/>
    </row>
    <row r="13" ht="24.75" customHeight="1" s="794">
      <c r="A13" s="55" t="n"/>
      <c r="B13" s="55" t="n"/>
      <c r="C13" s="55" t="n"/>
      <c r="D13" s="55" t="n"/>
      <c r="E13" s="55" t="n"/>
      <c r="F13" s="55" t="n"/>
      <c r="G13" s="55" t="n"/>
      <c r="H13" s="55" t="n"/>
    </row>
    <row r="14" ht="27.75" customHeight="1" s="794">
      <c r="A14" s="27" t="n"/>
      <c r="B14" s="1157" t="inlineStr">
        <is>
          <t>Начальник ОФЭиАУ НИОКР</t>
        </is>
      </c>
      <c r="D14" s="108" t="n"/>
      <c r="E14" s="1157" t="inlineStr">
        <is>
          <t>Руководитель договора</t>
        </is>
      </c>
      <c r="H14" s="55" t="n"/>
    </row>
    <row r="15" ht="34.5" customHeight="1" s="794">
      <c r="A15" s="30" t="n"/>
      <c r="B15" s="2" t="inlineStr">
        <is>
          <t>_____________________ Н.О. Васецкая</t>
        </is>
      </c>
      <c r="C15" s="31" t="n"/>
      <c r="D15" s="31" t="n"/>
      <c r="E15" s="484" t="inlineStr">
        <is>
          <t>_____________________ А.И. Боровков</t>
        </is>
      </c>
      <c r="F15" s="22" t="n"/>
      <c r="H15" s="55" t="n"/>
    </row>
    <row r="16" ht="18" customHeight="1" s="794">
      <c r="A16" s="30" t="n"/>
      <c r="B16" s="63" t="inlineStr">
        <is>
          <t xml:space="preserve">  (подпись)                                     (Ф.И.О.)</t>
        </is>
      </c>
      <c r="C16" s="31" t="n"/>
      <c r="D16" s="31" t="n"/>
      <c r="E16" s="63" t="inlineStr">
        <is>
          <t xml:space="preserve">  (подпись)                                        (Ф.И.О.)</t>
        </is>
      </c>
      <c r="F16" s="190" t="n"/>
      <c r="H16" s="55" t="n"/>
    </row>
    <row r="17" ht="18.75" customHeight="1" s="794">
      <c r="A17" s="27" t="n"/>
      <c r="B17" s="391" t="inlineStr">
        <is>
          <t>«____» __________________ 2026 г.</t>
        </is>
      </c>
      <c r="C17" s="22" t="n"/>
      <c r="D17" s="22" t="n"/>
      <c r="E17" s="391" t="inlineStr">
        <is>
          <t>«____» __________________ 2026 г.</t>
        </is>
      </c>
      <c r="F17" s="22" t="n"/>
      <c r="H17" s="55" t="n"/>
    </row>
    <row r="18" ht="30" customHeight="1" s="794">
      <c r="A18" s="55" t="n"/>
      <c r="B18" s="55" t="n"/>
      <c r="C18" s="55" t="n"/>
      <c r="D18" s="55" t="n"/>
      <c r="E18" s="55" t="n"/>
      <c r="F18" s="55" t="n"/>
      <c r="G18" s="55" t="n"/>
      <c r="H18" s="55" t="n"/>
    </row>
    <row r="19" ht="15" customHeight="1" s="794">
      <c r="E19" s="1157" t="inlineStr">
        <is>
          <t>Ответственный исполнитель</t>
        </is>
      </c>
      <c r="H19" s="24" t="n"/>
    </row>
    <row r="20" ht="32.25" customHeight="1" s="794">
      <c r="A20" s="48" t="n"/>
      <c r="E20" s="484" t="inlineStr">
        <is>
          <t>_____________________ И.О. Фамилия</t>
        </is>
      </c>
      <c r="F20" s="22" t="n"/>
      <c r="H20" s="223" t="n"/>
    </row>
    <row r="21" ht="16.5" customHeight="1" s="794">
      <c r="A21" s="831" t="n"/>
      <c r="C21" s="831" t="n"/>
      <c r="D21" s="831" t="n"/>
      <c r="E21" s="63" t="inlineStr">
        <is>
          <t xml:space="preserve">  (подпись)                                        (Ф.И.О.)</t>
        </is>
      </c>
      <c r="F21" s="190" t="n"/>
      <c r="H21" s="42" t="n"/>
    </row>
    <row r="22" ht="21.75" customHeight="1" s="794">
      <c r="A22" s="18" t="n"/>
      <c r="E22" s="391" t="inlineStr">
        <is>
          <t>«____» __________________ 2026 г.</t>
        </is>
      </c>
      <c r="F22" s="22" t="n"/>
      <c r="H22" s="954" t="n"/>
      <c r="I22" s="954" t="n"/>
    </row>
    <row r="23" ht="15" customHeight="1" s="794">
      <c r="A23" s="251" t="n"/>
      <c r="H23" s="24" t="n"/>
    </row>
    <row r="24" ht="15" customHeight="1" s="794">
      <c r="A24" s="252" t="n"/>
      <c r="H24" s="24" t="n"/>
    </row>
    <row r="25">
      <c r="A25" s="55" t="n"/>
      <c r="B25" s="258" t="n"/>
      <c r="C25" s="258" t="n"/>
      <c r="D25" s="258" t="n"/>
      <c r="E25" s="258" t="n"/>
      <c r="H25" s="24" t="n"/>
    </row>
    <row r="26" ht="30" customHeight="1" s="794">
      <c r="A26" s="55" t="n"/>
      <c r="B26" s="18" t="n"/>
      <c r="C26" s="18" t="n"/>
      <c r="D26" s="18" t="n"/>
      <c r="E26" s="18" t="n"/>
      <c r="F26" s="226" t="n"/>
      <c r="G26" s="226" t="n"/>
      <c r="H26" s="226" t="n"/>
    </row>
    <row r="27">
      <c r="A27" s="55" t="n"/>
      <c r="B27" s="58" t="n"/>
      <c r="C27" s="58" t="n"/>
      <c r="D27" s="58" t="n"/>
      <c r="E27" s="58" t="n"/>
      <c r="F27" s="55" t="n"/>
      <c r="G27" s="55" t="n"/>
      <c r="H27" s="55" t="n"/>
    </row>
    <row r="28">
      <c r="A28" s="55" t="n"/>
      <c r="B28" s="58" t="n"/>
      <c r="C28" s="58" t="n"/>
      <c r="D28" s="58" t="n"/>
      <c r="E28" s="58" t="n"/>
      <c r="F28" s="55" t="n"/>
      <c r="G28" s="55" t="n"/>
      <c r="H28" s="55" t="n"/>
    </row>
    <row r="29" ht="22.5" customHeight="1" s="794">
      <c r="A29" s="55" t="n"/>
      <c r="B29" s="18" t="n"/>
      <c r="C29" s="18" t="n"/>
      <c r="D29" s="18" t="n"/>
      <c r="E29" s="18" t="n"/>
      <c r="F29" s="229" t="n"/>
      <c r="G29" s="229" t="n"/>
      <c r="H29" s="55" t="n"/>
    </row>
    <row r="30">
      <c r="A30" s="55" t="n"/>
      <c r="B30" s="223" t="n"/>
      <c r="C30" s="223" t="n"/>
      <c r="D30" s="223" t="n"/>
      <c r="E30" s="223" t="n"/>
      <c r="F30" s="55" t="n"/>
      <c r="G30" s="55" t="n"/>
      <c r="H30" s="55" t="n"/>
    </row>
    <row r="34">
      <c r="B34" s="259" t="n"/>
    </row>
  </sheetData>
  <mergeCells count="14">
    <mergeCell ref="A21:B21"/>
    <mergeCell ref="A8:A9"/>
    <mergeCell ref="E8:E9"/>
    <mergeCell ref="F8:F9"/>
    <mergeCell ref="A3:G3"/>
    <mergeCell ref="G8:G9"/>
    <mergeCell ref="E19:F19"/>
    <mergeCell ref="A4:G4"/>
    <mergeCell ref="B8:B9"/>
    <mergeCell ref="B14:C14"/>
    <mergeCell ref="E14:F14"/>
    <mergeCell ref="C8:D8"/>
    <mergeCell ref="A5:G5"/>
    <mergeCell ref="A12:B12"/>
  </mergeCells>
  <conditionalFormatting sqref="B26:E29 H19">
    <cfRule type="expression" priority="1" dxfId="1" stopIfTrue="1">
      <formula>AND(COUNTIF($H$19:$H$19, B19)+COUNTIF($B$26:$E$29, B19)&gt;1,NOT(ISBLANK(B19)))</formula>
    </cfRule>
  </conditionalFormatting>
  <printOptions horizontalCentered="1"/>
  <pageMargins left="0.25" right="0.25" top="0.75" bottom="0.75" header="0.3" footer="0.3"/>
  <pageSetup orientation="landscape" paperSize="8"/>
</worksheet>
</file>

<file path=xl/worksheets/sheet27.xml><?xml version="1.0" encoding="utf-8"?>
<worksheet xmlns="http://schemas.openxmlformats.org/spreadsheetml/2006/main">
  <sheetPr>
    <tabColor theme="4" tint="0.7999816888943144"/>
    <outlinePr summaryBelow="1" summaryRight="1"/>
    <pageSetUpPr fitToPage="1"/>
  </sheetPr>
  <dimension ref="A1:BI34"/>
  <sheetViews>
    <sheetView view="pageBreakPreview" zoomScale="85" zoomScaleNormal="100" zoomScaleSheetLayoutView="85" workbookViewId="0">
      <selection activeCell="B5" sqref="B5"/>
    </sheetView>
  </sheetViews>
  <sheetFormatPr baseColWidth="8" defaultColWidth="0.85546875" defaultRowHeight="12.75"/>
  <cols>
    <col width="12.5703125" customWidth="1" style="24" min="1" max="1"/>
    <col width="21.5703125" customWidth="1" style="24" min="2" max="2"/>
    <col width="17.85546875" customWidth="1" style="24" min="3" max="3"/>
    <col width="18.140625" customWidth="1" style="24" min="4" max="4"/>
    <col width="23.5703125" customWidth="1" style="24" min="5" max="5"/>
    <col width="9.7109375" customWidth="1" style="24" min="6" max="6"/>
    <col width="7.85546875" customWidth="1" style="24" min="7" max="7"/>
    <col width="7.140625" customWidth="1" style="24" min="8" max="8"/>
    <col width="10" customWidth="1" style="24" min="9" max="9"/>
    <col width="11.85546875" customWidth="1" style="24" min="10" max="10"/>
    <col width="9.42578125" customWidth="1" style="24" min="11" max="11"/>
    <col width="13.85546875" customWidth="1" style="24" min="12" max="12"/>
    <col width="9" customWidth="1" style="24" min="13" max="13"/>
    <col width="10.85546875" customWidth="1" style="24" min="14" max="14"/>
    <col width="10.140625" customWidth="1" style="24" min="15" max="15"/>
    <col width="8.5703125" customWidth="1" style="24" min="16" max="16"/>
    <col width="10.140625" customWidth="1" style="24" min="17" max="17"/>
    <col width="0.85546875" customWidth="1" style="24" min="18" max="256"/>
    <col width="12.5703125" customWidth="1" style="24" min="257" max="257"/>
    <col width="23.28515625" customWidth="1" style="24" min="258" max="258"/>
    <col width="15.85546875" customWidth="1" style="24" min="259" max="259"/>
    <col width="18.140625" customWidth="1" style="24" min="260" max="260"/>
    <col width="24.140625" customWidth="1" style="24" min="261" max="261"/>
    <col width="13.7109375" customWidth="1" style="24" min="262" max="262"/>
    <col width="8.5703125" customWidth="1" style="24" min="263" max="263"/>
    <col width="8.42578125" customWidth="1" style="24" min="264" max="264"/>
    <col width="10" customWidth="1" style="24" min="265" max="265"/>
    <col width="11.85546875" customWidth="1" style="24" min="266" max="266"/>
    <col width="9.42578125" customWidth="1" style="24" min="267" max="267"/>
    <col width="13.85546875" customWidth="1" style="24" min="268" max="268"/>
    <col width="9.5703125" customWidth="1" style="24" min="269" max="269"/>
    <col width="10.28515625" customWidth="1" style="24" min="270" max="270"/>
    <col width="9.5703125" customWidth="1" style="24" min="271" max="271"/>
    <col width="10.140625" customWidth="1" style="24" min="272" max="273"/>
    <col width="0.85546875" customWidth="1" style="24" min="274" max="512"/>
    <col width="12.5703125" customWidth="1" style="24" min="513" max="513"/>
    <col width="23.28515625" customWidth="1" style="24" min="514" max="514"/>
    <col width="15.85546875" customWidth="1" style="24" min="515" max="515"/>
    <col width="18.140625" customWidth="1" style="24" min="516" max="516"/>
    <col width="24.140625" customWidth="1" style="24" min="517" max="517"/>
    <col width="13.7109375" customWidth="1" style="24" min="518" max="518"/>
    <col width="8.5703125" customWidth="1" style="24" min="519" max="519"/>
    <col width="8.42578125" customWidth="1" style="24" min="520" max="520"/>
    <col width="10" customWidth="1" style="24" min="521" max="521"/>
    <col width="11.85546875" customWidth="1" style="24" min="522" max="522"/>
    <col width="9.42578125" customWidth="1" style="24" min="523" max="523"/>
    <col width="13.85546875" customWidth="1" style="24" min="524" max="524"/>
    <col width="9.5703125" customWidth="1" style="24" min="525" max="525"/>
    <col width="10.28515625" customWidth="1" style="24" min="526" max="526"/>
    <col width="9.5703125" customWidth="1" style="24" min="527" max="527"/>
    <col width="10.140625" customWidth="1" style="24" min="528" max="529"/>
    <col width="0.85546875" customWidth="1" style="24" min="530" max="768"/>
    <col width="12.5703125" customWidth="1" style="24" min="769" max="769"/>
    <col width="23.28515625" customWidth="1" style="24" min="770" max="770"/>
    <col width="15.85546875" customWidth="1" style="24" min="771" max="771"/>
    <col width="18.140625" customWidth="1" style="24" min="772" max="772"/>
    <col width="24.140625" customWidth="1" style="24" min="773" max="773"/>
    <col width="13.7109375" customWidth="1" style="24" min="774" max="774"/>
    <col width="8.5703125" customWidth="1" style="24" min="775" max="775"/>
    <col width="8.42578125" customWidth="1" style="24" min="776" max="776"/>
    <col width="10" customWidth="1" style="24" min="777" max="777"/>
    <col width="11.85546875" customWidth="1" style="24" min="778" max="778"/>
    <col width="9.42578125" customWidth="1" style="24" min="779" max="779"/>
    <col width="13.85546875" customWidth="1" style="24" min="780" max="780"/>
    <col width="9.5703125" customWidth="1" style="24" min="781" max="781"/>
    <col width="10.28515625" customWidth="1" style="24" min="782" max="782"/>
    <col width="9.5703125" customWidth="1" style="24" min="783" max="783"/>
    <col width="10.140625" customWidth="1" style="24" min="784" max="785"/>
    <col width="0.85546875" customWidth="1" style="24" min="786" max="1024"/>
    <col width="12.5703125" customWidth="1" style="24" min="1025" max="1025"/>
    <col width="23.28515625" customWidth="1" style="24" min="1026" max="1026"/>
    <col width="15.85546875" customWidth="1" style="24" min="1027" max="1027"/>
    <col width="18.140625" customWidth="1" style="24" min="1028" max="1028"/>
    <col width="24.140625" customWidth="1" style="24" min="1029" max="1029"/>
    <col width="13.7109375" customWidth="1" style="24" min="1030" max="1030"/>
    <col width="8.5703125" customWidth="1" style="24" min="1031" max="1031"/>
    <col width="8.42578125" customWidth="1" style="24" min="1032" max="1032"/>
    <col width="10" customWidth="1" style="24" min="1033" max="1033"/>
    <col width="11.85546875" customWidth="1" style="24" min="1034" max="1034"/>
    <col width="9.42578125" customWidth="1" style="24" min="1035" max="1035"/>
    <col width="13.85546875" customWidth="1" style="24" min="1036" max="1036"/>
    <col width="9.5703125" customWidth="1" style="24" min="1037" max="1037"/>
    <col width="10.28515625" customWidth="1" style="24" min="1038" max="1038"/>
    <col width="9.5703125" customWidth="1" style="24" min="1039" max="1039"/>
    <col width="10.140625" customWidth="1" style="24" min="1040" max="1041"/>
    <col width="0.85546875" customWidth="1" style="24" min="1042" max="1280"/>
    <col width="12.5703125" customWidth="1" style="24" min="1281" max="1281"/>
    <col width="23.28515625" customWidth="1" style="24" min="1282" max="1282"/>
    <col width="15.85546875" customWidth="1" style="24" min="1283" max="1283"/>
    <col width="18.140625" customWidth="1" style="24" min="1284" max="1284"/>
    <col width="24.140625" customWidth="1" style="24" min="1285" max="1285"/>
    <col width="13.7109375" customWidth="1" style="24" min="1286" max="1286"/>
    <col width="8.5703125" customWidth="1" style="24" min="1287" max="1287"/>
    <col width="8.42578125" customWidth="1" style="24" min="1288" max="1288"/>
    <col width="10" customWidth="1" style="24" min="1289" max="1289"/>
    <col width="11.85546875" customWidth="1" style="24" min="1290" max="1290"/>
    <col width="9.42578125" customWidth="1" style="24" min="1291" max="1291"/>
    <col width="13.85546875" customWidth="1" style="24" min="1292" max="1292"/>
    <col width="9.5703125" customWidth="1" style="24" min="1293" max="1293"/>
    <col width="10.28515625" customWidth="1" style="24" min="1294" max="1294"/>
    <col width="9.5703125" customWidth="1" style="24" min="1295" max="1295"/>
    <col width="10.140625" customWidth="1" style="24" min="1296" max="1297"/>
    <col width="0.85546875" customWidth="1" style="24" min="1298" max="1536"/>
    <col width="12.5703125" customWidth="1" style="24" min="1537" max="1537"/>
    <col width="23.28515625" customWidth="1" style="24" min="1538" max="1538"/>
    <col width="15.85546875" customWidth="1" style="24" min="1539" max="1539"/>
    <col width="18.140625" customWidth="1" style="24" min="1540" max="1540"/>
    <col width="24.140625" customWidth="1" style="24" min="1541" max="1541"/>
    <col width="13.7109375" customWidth="1" style="24" min="1542" max="1542"/>
    <col width="8.5703125" customWidth="1" style="24" min="1543" max="1543"/>
    <col width="8.42578125" customWidth="1" style="24" min="1544" max="1544"/>
    <col width="10" customWidth="1" style="24" min="1545" max="1545"/>
    <col width="11.85546875" customWidth="1" style="24" min="1546" max="1546"/>
    <col width="9.42578125" customWidth="1" style="24" min="1547" max="1547"/>
    <col width="13.85546875" customWidth="1" style="24" min="1548" max="1548"/>
    <col width="9.5703125" customWidth="1" style="24" min="1549" max="1549"/>
    <col width="10.28515625" customWidth="1" style="24" min="1550" max="1550"/>
    <col width="9.5703125" customWidth="1" style="24" min="1551" max="1551"/>
    <col width="10.140625" customWidth="1" style="24" min="1552" max="1553"/>
    <col width="0.85546875" customWidth="1" style="24" min="1554" max="1792"/>
    <col width="12.5703125" customWidth="1" style="24" min="1793" max="1793"/>
    <col width="23.28515625" customWidth="1" style="24" min="1794" max="1794"/>
    <col width="15.85546875" customWidth="1" style="24" min="1795" max="1795"/>
    <col width="18.140625" customWidth="1" style="24" min="1796" max="1796"/>
    <col width="24.140625" customWidth="1" style="24" min="1797" max="1797"/>
    <col width="13.7109375" customWidth="1" style="24" min="1798" max="1798"/>
    <col width="8.5703125" customWidth="1" style="24" min="1799" max="1799"/>
    <col width="8.42578125" customWidth="1" style="24" min="1800" max="1800"/>
    <col width="10" customWidth="1" style="24" min="1801" max="1801"/>
    <col width="11.85546875" customWidth="1" style="24" min="1802" max="1802"/>
    <col width="9.42578125" customWidth="1" style="24" min="1803" max="1803"/>
    <col width="13.85546875" customWidth="1" style="24" min="1804" max="1804"/>
    <col width="9.5703125" customWidth="1" style="24" min="1805" max="1805"/>
    <col width="10.28515625" customWidth="1" style="24" min="1806" max="1806"/>
    <col width="9.5703125" customWidth="1" style="24" min="1807" max="1807"/>
    <col width="10.140625" customWidth="1" style="24" min="1808" max="1809"/>
    <col width="0.85546875" customWidth="1" style="24" min="1810" max="2048"/>
    <col width="12.5703125" customWidth="1" style="24" min="2049" max="2049"/>
    <col width="23.28515625" customWidth="1" style="24" min="2050" max="2050"/>
    <col width="15.85546875" customWidth="1" style="24" min="2051" max="2051"/>
    <col width="18.140625" customWidth="1" style="24" min="2052" max="2052"/>
    <col width="24.140625" customWidth="1" style="24" min="2053" max="2053"/>
    <col width="13.7109375" customWidth="1" style="24" min="2054" max="2054"/>
    <col width="8.5703125" customWidth="1" style="24" min="2055" max="2055"/>
    <col width="8.42578125" customWidth="1" style="24" min="2056" max="2056"/>
    <col width="10" customWidth="1" style="24" min="2057" max="2057"/>
    <col width="11.85546875" customWidth="1" style="24" min="2058" max="2058"/>
    <col width="9.42578125" customWidth="1" style="24" min="2059" max="2059"/>
    <col width="13.85546875" customWidth="1" style="24" min="2060" max="2060"/>
    <col width="9.5703125" customWidth="1" style="24" min="2061" max="2061"/>
    <col width="10.28515625" customWidth="1" style="24" min="2062" max="2062"/>
    <col width="9.5703125" customWidth="1" style="24" min="2063" max="2063"/>
    <col width="10.140625" customWidth="1" style="24" min="2064" max="2065"/>
    <col width="0.85546875" customWidth="1" style="24" min="2066" max="2304"/>
    <col width="12.5703125" customWidth="1" style="24" min="2305" max="2305"/>
    <col width="23.28515625" customWidth="1" style="24" min="2306" max="2306"/>
    <col width="15.85546875" customWidth="1" style="24" min="2307" max="2307"/>
    <col width="18.140625" customWidth="1" style="24" min="2308" max="2308"/>
    <col width="24.140625" customWidth="1" style="24" min="2309" max="2309"/>
    <col width="13.7109375" customWidth="1" style="24" min="2310" max="2310"/>
    <col width="8.5703125" customWidth="1" style="24" min="2311" max="2311"/>
    <col width="8.42578125" customWidth="1" style="24" min="2312" max="2312"/>
    <col width="10" customWidth="1" style="24" min="2313" max="2313"/>
    <col width="11.85546875" customWidth="1" style="24" min="2314" max="2314"/>
    <col width="9.42578125" customWidth="1" style="24" min="2315" max="2315"/>
    <col width="13.85546875" customWidth="1" style="24" min="2316" max="2316"/>
    <col width="9.5703125" customWidth="1" style="24" min="2317" max="2317"/>
    <col width="10.28515625" customWidth="1" style="24" min="2318" max="2318"/>
    <col width="9.5703125" customWidth="1" style="24" min="2319" max="2319"/>
    <col width="10.140625" customWidth="1" style="24" min="2320" max="2321"/>
    <col width="0.85546875" customWidth="1" style="24" min="2322" max="2560"/>
    <col width="12.5703125" customWidth="1" style="24" min="2561" max="2561"/>
    <col width="23.28515625" customWidth="1" style="24" min="2562" max="2562"/>
    <col width="15.85546875" customWidth="1" style="24" min="2563" max="2563"/>
    <col width="18.140625" customWidth="1" style="24" min="2564" max="2564"/>
    <col width="24.140625" customWidth="1" style="24" min="2565" max="2565"/>
    <col width="13.7109375" customWidth="1" style="24" min="2566" max="2566"/>
    <col width="8.5703125" customWidth="1" style="24" min="2567" max="2567"/>
    <col width="8.42578125" customWidth="1" style="24" min="2568" max="2568"/>
    <col width="10" customWidth="1" style="24" min="2569" max="2569"/>
    <col width="11.85546875" customWidth="1" style="24" min="2570" max="2570"/>
    <col width="9.42578125" customWidth="1" style="24" min="2571" max="2571"/>
    <col width="13.85546875" customWidth="1" style="24" min="2572" max="2572"/>
    <col width="9.5703125" customWidth="1" style="24" min="2573" max="2573"/>
    <col width="10.28515625" customWidth="1" style="24" min="2574" max="2574"/>
    <col width="9.5703125" customWidth="1" style="24" min="2575" max="2575"/>
    <col width="10.140625" customWidth="1" style="24" min="2576" max="2577"/>
    <col width="0.85546875" customWidth="1" style="24" min="2578" max="2816"/>
    <col width="12.5703125" customWidth="1" style="24" min="2817" max="2817"/>
    <col width="23.28515625" customWidth="1" style="24" min="2818" max="2818"/>
    <col width="15.85546875" customWidth="1" style="24" min="2819" max="2819"/>
    <col width="18.140625" customWidth="1" style="24" min="2820" max="2820"/>
    <col width="24.140625" customWidth="1" style="24" min="2821" max="2821"/>
    <col width="13.7109375" customWidth="1" style="24" min="2822" max="2822"/>
    <col width="8.5703125" customWidth="1" style="24" min="2823" max="2823"/>
    <col width="8.42578125" customWidth="1" style="24" min="2824" max="2824"/>
    <col width="10" customWidth="1" style="24" min="2825" max="2825"/>
    <col width="11.85546875" customWidth="1" style="24" min="2826" max="2826"/>
    <col width="9.42578125" customWidth="1" style="24" min="2827" max="2827"/>
    <col width="13.85546875" customWidth="1" style="24" min="2828" max="2828"/>
    <col width="9.5703125" customWidth="1" style="24" min="2829" max="2829"/>
    <col width="10.28515625" customWidth="1" style="24" min="2830" max="2830"/>
    <col width="9.5703125" customWidth="1" style="24" min="2831" max="2831"/>
    <col width="10.140625" customWidth="1" style="24" min="2832" max="2833"/>
    <col width="0.85546875" customWidth="1" style="24" min="2834" max="3072"/>
    <col width="12.5703125" customWidth="1" style="24" min="3073" max="3073"/>
    <col width="23.28515625" customWidth="1" style="24" min="3074" max="3074"/>
    <col width="15.85546875" customWidth="1" style="24" min="3075" max="3075"/>
    <col width="18.140625" customWidth="1" style="24" min="3076" max="3076"/>
    <col width="24.140625" customWidth="1" style="24" min="3077" max="3077"/>
    <col width="13.7109375" customWidth="1" style="24" min="3078" max="3078"/>
    <col width="8.5703125" customWidth="1" style="24" min="3079" max="3079"/>
    <col width="8.42578125" customWidth="1" style="24" min="3080" max="3080"/>
    <col width="10" customWidth="1" style="24" min="3081" max="3081"/>
    <col width="11.85546875" customWidth="1" style="24" min="3082" max="3082"/>
    <col width="9.42578125" customWidth="1" style="24" min="3083" max="3083"/>
    <col width="13.85546875" customWidth="1" style="24" min="3084" max="3084"/>
    <col width="9.5703125" customWidth="1" style="24" min="3085" max="3085"/>
    <col width="10.28515625" customWidth="1" style="24" min="3086" max="3086"/>
    <col width="9.5703125" customWidth="1" style="24" min="3087" max="3087"/>
    <col width="10.140625" customWidth="1" style="24" min="3088" max="3089"/>
    <col width="0.85546875" customWidth="1" style="24" min="3090" max="3328"/>
    <col width="12.5703125" customWidth="1" style="24" min="3329" max="3329"/>
    <col width="23.28515625" customWidth="1" style="24" min="3330" max="3330"/>
    <col width="15.85546875" customWidth="1" style="24" min="3331" max="3331"/>
    <col width="18.140625" customWidth="1" style="24" min="3332" max="3332"/>
    <col width="24.140625" customWidth="1" style="24" min="3333" max="3333"/>
    <col width="13.7109375" customWidth="1" style="24" min="3334" max="3334"/>
    <col width="8.5703125" customWidth="1" style="24" min="3335" max="3335"/>
    <col width="8.42578125" customWidth="1" style="24" min="3336" max="3336"/>
    <col width="10" customWidth="1" style="24" min="3337" max="3337"/>
    <col width="11.85546875" customWidth="1" style="24" min="3338" max="3338"/>
    <col width="9.42578125" customWidth="1" style="24" min="3339" max="3339"/>
    <col width="13.85546875" customWidth="1" style="24" min="3340" max="3340"/>
    <col width="9.5703125" customWidth="1" style="24" min="3341" max="3341"/>
    <col width="10.28515625" customWidth="1" style="24" min="3342" max="3342"/>
    <col width="9.5703125" customWidth="1" style="24" min="3343" max="3343"/>
    <col width="10.140625" customWidth="1" style="24" min="3344" max="3345"/>
    <col width="0.85546875" customWidth="1" style="24" min="3346" max="3584"/>
    <col width="12.5703125" customWidth="1" style="24" min="3585" max="3585"/>
    <col width="23.28515625" customWidth="1" style="24" min="3586" max="3586"/>
    <col width="15.85546875" customWidth="1" style="24" min="3587" max="3587"/>
    <col width="18.140625" customWidth="1" style="24" min="3588" max="3588"/>
    <col width="24.140625" customWidth="1" style="24" min="3589" max="3589"/>
    <col width="13.7109375" customWidth="1" style="24" min="3590" max="3590"/>
    <col width="8.5703125" customWidth="1" style="24" min="3591" max="3591"/>
    <col width="8.42578125" customWidth="1" style="24" min="3592" max="3592"/>
    <col width="10" customWidth="1" style="24" min="3593" max="3593"/>
    <col width="11.85546875" customWidth="1" style="24" min="3594" max="3594"/>
    <col width="9.42578125" customWidth="1" style="24" min="3595" max="3595"/>
    <col width="13.85546875" customWidth="1" style="24" min="3596" max="3596"/>
    <col width="9.5703125" customWidth="1" style="24" min="3597" max="3597"/>
    <col width="10.28515625" customWidth="1" style="24" min="3598" max="3598"/>
    <col width="9.5703125" customWidth="1" style="24" min="3599" max="3599"/>
    <col width="10.140625" customWidth="1" style="24" min="3600" max="3601"/>
    <col width="0.85546875" customWidth="1" style="24" min="3602" max="3840"/>
    <col width="12.5703125" customWidth="1" style="24" min="3841" max="3841"/>
    <col width="23.28515625" customWidth="1" style="24" min="3842" max="3842"/>
    <col width="15.85546875" customWidth="1" style="24" min="3843" max="3843"/>
    <col width="18.140625" customWidth="1" style="24" min="3844" max="3844"/>
    <col width="24.140625" customWidth="1" style="24" min="3845" max="3845"/>
    <col width="13.7109375" customWidth="1" style="24" min="3846" max="3846"/>
    <col width="8.5703125" customWidth="1" style="24" min="3847" max="3847"/>
    <col width="8.42578125" customWidth="1" style="24" min="3848" max="3848"/>
    <col width="10" customWidth="1" style="24" min="3849" max="3849"/>
    <col width="11.85546875" customWidth="1" style="24" min="3850" max="3850"/>
    <col width="9.42578125" customWidth="1" style="24" min="3851" max="3851"/>
    <col width="13.85546875" customWidth="1" style="24" min="3852" max="3852"/>
    <col width="9.5703125" customWidth="1" style="24" min="3853" max="3853"/>
    <col width="10.28515625" customWidth="1" style="24" min="3854" max="3854"/>
    <col width="9.5703125" customWidth="1" style="24" min="3855" max="3855"/>
    <col width="10.140625" customWidth="1" style="24" min="3856" max="3857"/>
    <col width="0.85546875" customWidth="1" style="24" min="3858" max="4096"/>
    <col width="12.5703125" customWidth="1" style="24" min="4097" max="4097"/>
    <col width="23.28515625" customWidth="1" style="24" min="4098" max="4098"/>
    <col width="15.85546875" customWidth="1" style="24" min="4099" max="4099"/>
    <col width="18.140625" customWidth="1" style="24" min="4100" max="4100"/>
    <col width="24.140625" customWidth="1" style="24" min="4101" max="4101"/>
    <col width="13.7109375" customWidth="1" style="24" min="4102" max="4102"/>
    <col width="8.5703125" customWidth="1" style="24" min="4103" max="4103"/>
    <col width="8.42578125" customWidth="1" style="24" min="4104" max="4104"/>
    <col width="10" customWidth="1" style="24" min="4105" max="4105"/>
    <col width="11.85546875" customWidth="1" style="24" min="4106" max="4106"/>
    <col width="9.42578125" customWidth="1" style="24" min="4107" max="4107"/>
    <col width="13.85546875" customWidth="1" style="24" min="4108" max="4108"/>
    <col width="9.5703125" customWidth="1" style="24" min="4109" max="4109"/>
    <col width="10.28515625" customWidth="1" style="24" min="4110" max="4110"/>
    <col width="9.5703125" customWidth="1" style="24" min="4111" max="4111"/>
    <col width="10.140625" customWidth="1" style="24" min="4112" max="4113"/>
    <col width="0.85546875" customWidth="1" style="24" min="4114" max="4352"/>
    <col width="12.5703125" customWidth="1" style="24" min="4353" max="4353"/>
    <col width="23.28515625" customWidth="1" style="24" min="4354" max="4354"/>
    <col width="15.85546875" customWidth="1" style="24" min="4355" max="4355"/>
    <col width="18.140625" customWidth="1" style="24" min="4356" max="4356"/>
    <col width="24.140625" customWidth="1" style="24" min="4357" max="4357"/>
    <col width="13.7109375" customWidth="1" style="24" min="4358" max="4358"/>
    <col width="8.5703125" customWidth="1" style="24" min="4359" max="4359"/>
    <col width="8.42578125" customWidth="1" style="24" min="4360" max="4360"/>
    <col width="10" customWidth="1" style="24" min="4361" max="4361"/>
    <col width="11.85546875" customWidth="1" style="24" min="4362" max="4362"/>
    <col width="9.42578125" customWidth="1" style="24" min="4363" max="4363"/>
    <col width="13.85546875" customWidth="1" style="24" min="4364" max="4364"/>
    <col width="9.5703125" customWidth="1" style="24" min="4365" max="4365"/>
    <col width="10.28515625" customWidth="1" style="24" min="4366" max="4366"/>
    <col width="9.5703125" customWidth="1" style="24" min="4367" max="4367"/>
    <col width="10.140625" customWidth="1" style="24" min="4368" max="4369"/>
    <col width="0.85546875" customWidth="1" style="24" min="4370" max="4608"/>
    <col width="12.5703125" customWidth="1" style="24" min="4609" max="4609"/>
    <col width="23.28515625" customWidth="1" style="24" min="4610" max="4610"/>
    <col width="15.85546875" customWidth="1" style="24" min="4611" max="4611"/>
    <col width="18.140625" customWidth="1" style="24" min="4612" max="4612"/>
    <col width="24.140625" customWidth="1" style="24" min="4613" max="4613"/>
    <col width="13.7109375" customWidth="1" style="24" min="4614" max="4614"/>
    <col width="8.5703125" customWidth="1" style="24" min="4615" max="4615"/>
    <col width="8.42578125" customWidth="1" style="24" min="4616" max="4616"/>
    <col width="10" customWidth="1" style="24" min="4617" max="4617"/>
    <col width="11.85546875" customWidth="1" style="24" min="4618" max="4618"/>
    <col width="9.42578125" customWidth="1" style="24" min="4619" max="4619"/>
    <col width="13.85546875" customWidth="1" style="24" min="4620" max="4620"/>
    <col width="9.5703125" customWidth="1" style="24" min="4621" max="4621"/>
    <col width="10.28515625" customWidth="1" style="24" min="4622" max="4622"/>
    <col width="9.5703125" customWidth="1" style="24" min="4623" max="4623"/>
    <col width="10.140625" customWidth="1" style="24" min="4624" max="4625"/>
    <col width="0.85546875" customWidth="1" style="24" min="4626" max="4864"/>
    <col width="12.5703125" customWidth="1" style="24" min="4865" max="4865"/>
    <col width="23.28515625" customWidth="1" style="24" min="4866" max="4866"/>
    <col width="15.85546875" customWidth="1" style="24" min="4867" max="4867"/>
    <col width="18.140625" customWidth="1" style="24" min="4868" max="4868"/>
    <col width="24.140625" customWidth="1" style="24" min="4869" max="4869"/>
    <col width="13.7109375" customWidth="1" style="24" min="4870" max="4870"/>
    <col width="8.5703125" customWidth="1" style="24" min="4871" max="4871"/>
    <col width="8.42578125" customWidth="1" style="24" min="4872" max="4872"/>
    <col width="10" customWidth="1" style="24" min="4873" max="4873"/>
    <col width="11.85546875" customWidth="1" style="24" min="4874" max="4874"/>
    <col width="9.42578125" customWidth="1" style="24" min="4875" max="4875"/>
    <col width="13.85546875" customWidth="1" style="24" min="4876" max="4876"/>
    <col width="9.5703125" customWidth="1" style="24" min="4877" max="4877"/>
    <col width="10.28515625" customWidth="1" style="24" min="4878" max="4878"/>
    <col width="9.5703125" customWidth="1" style="24" min="4879" max="4879"/>
    <col width="10.140625" customWidth="1" style="24" min="4880" max="4881"/>
    <col width="0.85546875" customWidth="1" style="24" min="4882" max="5120"/>
    <col width="12.5703125" customWidth="1" style="24" min="5121" max="5121"/>
    <col width="23.28515625" customWidth="1" style="24" min="5122" max="5122"/>
    <col width="15.85546875" customWidth="1" style="24" min="5123" max="5123"/>
    <col width="18.140625" customWidth="1" style="24" min="5124" max="5124"/>
    <col width="24.140625" customWidth="1" style="24" min="5125" max="5125"/>
    <col width="13.7109375" customWidth="1" style="24" min="5126" max="5126"/>
    <col width="8.5703125" customWidth="1" style="24" min="5127" max="5127"/>
    <col width="8.42578125" customWidth="1" style="24" min="5128" max="5128"/>
    <col width="10" customWidth="1" style="24" min="5129" max="5129"/>
    <col width="11.85546875" customWidth="1" style="24" min="5130" max="5130"/>
    <col width="9.42578125" customWidth="1" style="24" min="5131" max="5131"/>
    <col width="13.85546875" customWidth="1" style="24" min="5132" max="5132"/>
    <col width="9.5703125" customWidth="1" style="24" min="5133" max="5133"/>
    <col width="10.28515625" customWidth="1" style="24" min="5134" max="5134"/>
    <col width="9.5703125" customWidth="1" style="24" min="5135" max="5135"/>
    <col width="10.140625" customWidth="1" style="24" min="5136" max="5137"/>
    <col width="0.85546875" customWidth="1" style="24" min="5138" max="5376"/>
    <col width="12.5703125" customWidth="1" style="24" min="5377" max="5377"/>
    <col width="23.28515625" customWidth="1" style="24" min="5378" max="5378"/>
    <col width="15.85546875" customWidth="1" style="24" min="5379" max="5379"/>
    <col width="18.140625" customWidth="1" style="24" min="5380" max="5380"/>
    <col width="24.140625" customWidth="1" style="24" min="5381" max="5381"/>
    <col width="13.7109375" customWidth="1" style="24" min="5382" max="5382"/>
    <col width="8.5703125" customWidth="1" style="24" min="5383" max="5383"/>
    <col width="8.42578125" customWidth="1" style="24" min="5384" max="5384"/>
    <col width="10" customWidth="1" style="24" min="5385" max="5385"/>
    <col width="11.85546875" customWidth="1" style="24" min="5386" max="5386"/>
    <col width="9.42578125" customWidth="1" style="24" min="5387" max="5387"/>
    <col width="13.85546875" customWidth="1" style="24" min="5388" max="5388"/>
    <col width="9.5703125" customWidth="1" style="24" min="5389" max="5389"/>
    <col width="10.28515625" customWidth="1" style="24" min="5390" max="5390"/>
    <col width="9.5703125" customWidth="1" style="24" min="5391" max="5391"/>
    <col width="10.140625" customWidth="1" style="24" min="5392" max="5393"/>
    <col width="0.85546875" customWidth="1" style="24" min="5394" max="5632"/>
    <col width="12.5703125" customWidth="1" style="24" min="5633" max="5633"/>
    <col width="23.28515625" customWidth="1" style="24" min="5634" max="5634"/>
    <col width="15.85546875" customWidth="1" style="24" min="5635" max="5635"/>
    <col width="18.140625" customWidth="1" style="24" min="5636" max="5636"/>
    <col width="24.140625" customWidth="1" style="24" min="5637" max="5637"/>
    <col width="13.7109375" customWidth="1" style="24" min="5638" max="5638"/>
    <col width="8.5703125" customWidth="1" style="24" min="5639" max="5639"/>
    <col width="8.42578125" customWidth="1" style="24" min="5640" max="5640"/>
    <col width="10" customWidth="1" style="24" min="5641" max="5641"/>
    <col width="11.85546875" customWidth="1" style="24" min="5642" max="5642"/>
    <col width="9.42578125" customWidth="1" style="24" min="5643" max="5643"/>
    <col width="13.85546875" customWidth="1" style="24" min="5644" max="5644"/>
    <col width="9.5703125" customWidth="1" style="24" min="5645" max="5645"/>
    <col width="10.28515625" customWidth="1" style="24" min="5646" max="5646"/>
    <col width="9.5703125" customWidth="1" style="24" min="5647" max="5647"/>
    <col width="10.140625" customWidth="1" style="24" min="5648" max="5649"/>
    <col width="0.85546875" customWidth="1" style="24" min="5650" max="5888"/>
    <col width="12.5703125" customWidth="1" style="24" min="5889" max="5889"/>
    <col width="23.28515625" customWidth="1" style="24" min="5890" max="5890"/>
    <col width="15.85546875" customWidth="1" style="24" min="5891" max="5891"/>
    <col width="18.140625" customWidth="1" style="24" min="5892" max="5892"/>
    <col width="24.140625" customWidth="1" style="24" min="5893" max="5893"/>
    <col width="13.7109375" customWidth="1" style="24" min="5894" max="5894"/>
    <col width="8.5703125" customWidth="1" style="24" min="5895" max="5895"/>
    <col width="8.42578125" customWidth="1" style="24" min="5896" max="5896"/>
    <col width="10" customWidth="1" style="24" min="5897" max="5897"/>
    <col width="11.85546875" customWidth="1" style="24" min="5898" max="5898"/>
    <col width="9.42578125" customWidth="1" style="24" min="5899" max="5899"/>
    <col width="13.85546875" customWidth="1" style="24" min="5900" max="5900"/>
    <col width="9.5703125" customWidth="1" style="24" min="5901" max="5901"/>
    <col width="10.28515625" customWidth="1" style="24" min="5902" max="5902"/>
    <col width="9.5703125" customWidth="1" style="24" min="5903" max="5903"/>
    <col width="10.140625" customWidth="1" style="24" min="5904" max="5905"/>
    <col width="0.85546875" customWidth="1" style="24" min="5906" max="6144"/>
    <col width="12.5703125" customWidth="1" style="24" min="6145" max="6145"/>
    <col width="23.28515625" customWidth="1" style="24" min="6146" max="6146"/>
    <col width="15.85546875" customWidth="1" style="24" min="6147" max="6147"/>
    <col width="18.140625" customWidth="1" style="24" min="6148" max="6148"/>
    <col width="24.140625" customWidth="1" style="24" min="6149" max="6149"/>
    <col width="13.7109375" customWidth="1" style="24" min="6150" max="6150"/>
    <col width="8.5703125" customWidth="1" style="24" min="6151" max="6151"/>
    <col width="8.42578125" customWidth="1" style="24" min="6152" max="6152"/>
    <col width="10" customWidth="1" style="24" min="6153" max="6153"/>
    <col width="11.85546875" customWidth="1" style="24" min="6154" max="6154"/>
    <col width="9.42578125" customWidth="1" style="24" min="6155" max="6155"/>
    <col width="13.85546875" customWidth="1" style="24" min="6156" max="6156"/>
    <col width="9.5703125" customWidth="1" style="24" min="6157" max="6157"/>
    <col width="10.28515625" customWidth="1" style="24" min="6158" max="6158"/>
    <col width="9.5703125" customWidth="1" style="24" min="6159" max="6159"/>
    <col width="10.140625" customWidth="1" style="24" min="6160" max="6161"/>
    <col width="0.85546875" customWidth="1" style="24" min="6162" max="6400"/>
    <col width="12.5703125" customWidth="1" style="24" min="6401" max="6401"/>
    <col width="23.28515625" customWidth="1" style="24" min="6402" max="6402"/>
    <col width="15.85546875" customWidth="1" style="24" min="6403" max="6403"/>
    <col width="18.140625" customWidth="1" style="24" min="6404" max="6404"/>
    <col width="24.140625" customWidth="1" style="24" min="6405" max="6405"/>
    <col width="13.7109375" customWidth="1" style="24" min="6406" max="6406"/>
    <col width="8.5703125" customWidth="1" style="24" min="6407" max="6407"/>
    <col width="8.42578125" customWidth="1" style="24" min="6408" max="6408"/>
    <col width="10" customWidth="1" style="24" min="6409" max="6409"/>
    <col width="11.85546875" customWidth="1" style="24" min="6410" max="6410"/>
    <col width="9.42578125" customWidth="1" style="24" min="6411" max="6411"/>
    <col width="13.85546875" customWidth="1" style="24" min="6412" max="6412"/>
    <col width="9.5703125" customWidth="1" style="24" min="6413" max="6413"/>
    <col width="10.28515625" customWidth="1" style="24" min="6414" max="6414"/>
    <col width="9.5703125" customWidth="1" style="24" min="6415" max="6415"/>
    <col width="10.140625" customWidth="1" style="24" min="6416" max="6417"/>
    <col width="0.85546875" customWidth="1" style="24" min="6418" max="6656"/>
    <col width="12.5703125" customWidth="1" style="24" min="6657" max="6657"/>
    <col width="23.28515625" customWidth="1" style="24" min="6658" max="6658"/>
    <col width="15.85546875" customWidth="1" style="24" min="6659" max="6659"/>
    <col width="18.140625" customWidth="1" style="24" min="6660" max="6660"/>
    <col width="24.140625" customWidth="1" style="24" min="6661" max="6661"/>
    <col width="13.7109375" customWidth="1" style="24" min="6662" max="6662"/>
    <col width="8.5703125" customWidth="1" style="24" min="6663" max="6663"/>
    <col width="8.42578125" customWidth="1" style="24" min="6664" max="6664"/>
    <col width="10" customWidth="1" style="24" min="6665" max="6665"/>
    <col width="11.85546875" customWidth="1" style="24" min="6666" max="6666"/>
    <col width="9.42578125" customWidth="1" style="24" min="6667" max="6667"/>
    <col width="13.85546875" customWidth="1" style="24" min="6668" max="6668"/>
    <col width="9.5703125" customWidth="1" style="24" min="6669" max="6669"/>
    <col width="10.28515625" customWidth="1" style="24" min="6670" max="6670"/>
    <col width="9.5703125" customWidth="1" style="24" min="6671" max="6671"/>
    <col width="10.140625" customWidth="1" style="24" min="6672" max="6673"/>
    <col width="0.85546875" customWidth="1" style="24" min="6674" max="6912"/>
    <col width="12.5703125" customWidth="1" style="24" min="6913" max="6913"/>
    <col width="23.28515625" customWidth="1" style="24" min="6914" max="6914"/>
    <col width="15.85546875" customWidth="1" style="24" min="6915" max="6915"/>
    <col width="18.140625" customWidth="1" style="24" min="6916" max="6916"/>
    <col width="24.140625" customWidth="1" style="24" min="6917" max="6917"/>
    <col width="13.7109375" customWidth="1" style="24" min="6918" max="6918"/>
    <col width="8.5703125" customWidth="1" style="24" min="6919" max="6919"/>
    <col width="8.42578125" customWidth="1" style="24" min="6920" max="6920"/>
    <col width="10" customWidth="1" style="24" min="6921" max="6921"/>
    <col width="11.85546875" customWidth="1" style="24" min="6922" max="6922"/>
    <col width="9.42578125" customWidth="1" style="24" min="6923" max="6923"/>
    <col width="13.85546875" customWidth="1" style="24" min="6924" max="6924"/>
    <col width="9.5703125" customWidth="1" style="24" min="6925" max="6925"/>
    <col width="10.28515625" customWidth="1" style="24" min="6926" max="6926"/>
    <col width="9.5703125" customWidth="1" style="24" min="6927" max="6927"/>
    <col width="10.140625" customWidth="1" style="24" min="6928" max="6929"/>
    <col width="0.85546875" customWidth="1" style="24" min="6930" max="7168"/>
    <col width="12.5703125" customWidth="1" style="24" min="7169" max="7169"/>
    <col width="23.28515625" customWidth="1" style="24" min="7170" max="7170"/>
    <col width="15.85546875" customWidth="1" style="24" min="7171" max="7171"/>
    <col width="18.140625" customWidth="1" style="24" min="7172" max="7172"/>
    <col width="24.140625" customWidth="1" style="24" min="7173" max="7173"/>
    <col width="13.7109375" customWidth="1" style="24" min="7174" max="7174"/>
    <col width="8.5703125" customWidth="1" style="24" min="7175" max="7175"/>
    <col width="8.42578125" customWidth="1" style="24" min="7176" max="7176"/>
    <col width="10" customWidth="1" style="24" min="7177" max="7177"/>
    <col width="11.85546875" customWidth="1" style="24" min="7178" max="7178"/>
    <col width="9.42578125" customWidth="1" style="24" min="7179" max="7179"/>
    <col width="13.85546875" customWidth="1" style="24" min="7180" max="7180"/>
    <col width="9.5703125" customWidth="1" style="24" min="7181" max="7181"/>
    <col width="10.28515625" customWidth="1" style="24" min="7182" max="7182"/>
    <col width="9.5703125" customWidth="1" style="24" min="7183" max="7183"/>
    <col width="10.140625" customWidth="1" style="24" min="7184" max="7185"/>
    <col width="0.85546875" customWidth="1" style="24" min="7186" max="7424"/>
    <col width="12.5703125" customWidth="1" style="24" min="7425" max="7425"/>
    <col width="23.28515625" customWidth="1" style="24" min="7426" max="7426"/>
    <col width="15.85546875" customWidth="1" style="24" min="7427" max="7427"/>
    <col width="18.140625" customWidth="1" style="24" min="7428" max="7428"/>
    <col width="24.140625" customWidth="1" style="24" min="7429" max="7429"/>
    <col width="13.7109375" customWidth="1" style="24" min="7430" max="7430"/>
    <col width="8.5703125" customWidth="1" style="24" min="7431" max="7431"/>
    <col width="8.42578125" customWidth="1" style="24" min="7432" max="7432"/>
    <col width="10" customWidth="1" style="24" min="7433" max="7433"/>
    <col width="11.85546875" customWidth="1" style="24" min="7434" max="7434"/>
    <col width="9.42578125" customWidth="1" style="24" min="7435" max="7435"/>
    <col width="13.85546875" customWidth="1" style="24" min="7436" max="7436"/>
    <col width="9.5703125" customWidth="1" style="24" min="7437" max="7437"/>
    <col width="10.28515625" customWidth="1" style="24" min="7438" max="7438"/>
    <col width="9.5703125" customWidth="1" style="24" min="7439" max="7439"/>
    <col width="10.140625" customWidth="1" style="24" min="7440" max="7441"/>
    <col width="0.85546875" customWidth="1" style="24" min="7442" max="7680"/>
    <col width="12.5703125" customWidth="1" style="24" min="7681" max="7681"/>
    <col width="23.28515625" customWidth="1" style="24" min="7682" max="7682"/>
    <col width="15.85546875" customWidth="1" style="24" min="7683" max="7683"/>
    <col width="18.140625" customWidth="1" style="24" min="7684" max="7684"/>
    <col width="24.140625" customWidth="1" style="24" min="7685" max="7685"/>
    <col width="13.7109375" customWidth="1" style="24" min="7686" max="7686"/>
    <col width="8.5703125" customWidth="1" style="24" min="7687" max="7687"/>
    <col width="8.42578125" customWidth="1" style="24" min="7688" max="7688"/>
    <col width="10" customWidth="1" style="24" min="7689" max="7689"/>
    <col width="11.85546875" customWidth="1" style="24" min="7690" max="7690"/>
    <col width="9.42578125" customWidth="1" style="24" min="7691" max="7691"/>
    <col width="13.85546875" customWidth="1" style="24" min="7692" max="7692"/>
    <col width="9.5703125" customWidth="1" style="24" min="7693" max="7693"/>
    <col width="10.28515625" customWidth="1" style="24" min="7694" max="7694"/>
    <col width="9.5703125" customWidth="1" style="24" min="7695" max="7695"/>
    <col width="10.140625" customWidth="1" style="24" min="7696" max="7697"/>
    <col width="0.85546875" customWidth="1" style="24" min="7698" max="7936"/>
    <col width="12.5703125" customWidth="1" style="24" min="7937" max="7937"/>
    <col width="23.28515625" customWidth="1" style="24" min="7938" max="7938"/>
    <col width="15.85546875" customWidth="1" style="24" min="7939" max="7939"/>
    <col width="18.140625" customWidth="1" style="24" min="7940" max="7940"/>
    <col width="24.140625" customWidth="1" style="24" min="7941" max="7941"/>
    <col width="13.7109375" customWidth="1" style="24" min="7942" max="7942"/>
    <col width="8.5703125" customWidth="1" style="24" min="7943" max="7943"/>
    <col width="8.42578125" customWidth="1" style="24" min="7944" max="7944"/>
    <col width="10" customWidth="1" style="24" min="7945" max="7945"/>
    <col width="11.85546875" customWidth="1" style="24" min="7946" max="7946"/>
    <col width="9.42578125" customWidth="1" style="24" min="7947" max="7947"/>
    <col width="13.85546875" customWidth="1" style="24" min="7948" max="7948"/>
    <col width="9.5703125" customWidth="1" style="24" min="7949" max="7949"/>
    <col width="10.28515625" customWidth="1" style="24" min="7950" max="7950"/>
    <col width="9.5703125" customWidth="1" style="24" min="7951" max="7951"/>
    <col width="10.140625" customWidth="1" style="24" min="7952" max="7953"/>
    <col width="0.85546875" customWidth="1" style="24" min="7954" max="8192"/>
    <col width="12.5703125" customWidth="1" style="24" min="8193" max="8193"/>
    <col width="23.28515625" customWidth="1" style="24" min="8194" max="8194"/>
    <col width="15.85546875" customWidth="1" style="24" min="8195" max="8195"/>
    <col width="18.140625" customWidth="1" style="24" min="8196" max="8196"/>
    <col width="24.140625" customWidth="1" style="24" min="8197" max="8197"/>
    <col width="13.7109375" customWidth="1" style="24" min="8198" max="8198"/>
    <col width="8.5703125" customWidth="1" style="24" min="8199" max="8199"/>
    <col width="8.42578125" customWidth="1" style="24" min="8200" max="8200"/>
    <col width="10" customWidth="1" style="24" min="8201" max="8201"/>
    <col width="11.85546875" customWidth="1" style="24" min="8202" max="8202"/>
    <col width="9.42578125" customWidth="1" style="24" min="8203" max="8203"/>
    <col width="13.85546875" customWidth="1" style="24" min="8204" max="8204"/>
    <col width="9.5703125" customWidth="1" style="24" min="8205" max="8205"/>
    <col width="10.28515625" customWidth="1" style="24" min="8206" max="8206"/>
    <col width="9.5703125" customWidth="1" style="24" min="8207" max="8207"/>
    <col width="10.140625" customWidth="1" style="24" min="8208" max="8209"/>
    <col width="0.85546875" customWidth="1" style="24" min="8210" max="8448"/>
    <col width="12.5703125" customWidth="1" style="24" min="8449" max="8449"/>
    <col width="23.28515625" customWidth="1" style="24" min="8450" max="8450"/>
    <col width="15.85546875" customWidth="1" style="24" min="8451" max="8451"/>
    <col width="18.140625" customWidth="1" style="24" min="8452" max="8452"/>
    <col width="24.140625" customWidth="1" style="24" min="8453" max="8453"/>
    <col width="13.7109375" customWidth="1" style="24" min="8454" max="8454"/>
    <col width="8.5703125" customWidth="1" style="24" min="8455" max="8455"/>
    <col width="8.42578125" customWidth="1" style="24" min="8456" max="8456"/>
    <col width="10" customWidth="1" style="24" min="8457" max="8457"/>
    <col width="11.85546875" customWidth="1" style="24" min="8458" max="8458"/>
    <col width="9.42578125" customWidth="1" style="24" min="8459" max="8459"/>
    <col width="13.85546875" customWidth="1" style="24" min="8460" max="8460"/>
    <col width="9.5703125" customWidth="1" style="24" min="8461" max="8461"/>
    <col width="10.28515625" customWidth="1" style="24" min="8462" max="8462"/>
    <col width="9.5703125" customWidth="1" style="24" min="8463" max="8463"/>
    <col width="10.140625" customWidth="1" style="24" min="8464" max="8465"/>
    <col width="0.85546875" customWidth="1" style="24" min="8466" max="8704"/>
    <col width="12.5703125" customWidth="1" style="24" min="8705" max="8705"/>
    <col width="23.28515625" customWidth="1" style="24" min="8706" max="8706"/>
    <col width="15.85546875" customWidth="1" style="24" min="8707" max="8707"/>
    <col width="18.140625" customWidth="1" style="24" min="8708" max="8708"/>
    <col width="24.140625" customWidth="1" style="24" min="8709" max="8709"/>
    <col width="13.7109375" customWidth="1" style="24" min="8710" max="8710"/>
    <col width="8.5703125" customWidth="1" style="24" min="8711" max="8711"/>
    <col width="8.42578125" customWidth="1" style="24" min="8712" max="8712"/>
    <col width="10" customWidth="1" style="24" min="8713" max="8713"/>
    <col width="11.85546875" customWidth="1" style="24" min="8714" max="8714"/>
    <col width="9.42578125" customWidth="1" style="24" min="8715" max="8715"/>
    <col width="13.85546875" customWidth="1" style="24" min="8716" max="8716"/>
    <col width="9.5703125" customWidth="1" style="24" min="8717" max="8717"/>
    <col width="10.28515625" customWidth="1" style="24" min="8718" max="8718"/>
    <col width="9.5703125" customWidth="1" style="24" min="8719" max="8719"/>
    <col width="10.140625" customWidth="1" style="24" min="8720" max="8721"/>
    <col width="0.85546875" customWidth="1" style="24" min="8722" max="8960"/>
    <col width="12.5703125" customWidth="1" style="24" min="8961" max="8961"/>
    <col width="23.28515625" customWidth="1" style="24" min="8962" max="8962"/>
    <col width="15.85546875" customWidth="1" style="24" min="8963" max="8963"/>
    <col width="18.140625" customWidth="1" style="24" min="8964" max="8964"/>
    <col width="24.140625" customWidth="1" style="24" min="8965" max="8965"/>
    <col width="13.7109375" customWidth="1" style="24" min="8966" max="8966"/>
    <col width="8.5703125" customWidth="1" style="24" min="8967" max="8967"/>
    <col width="8.42578125" customWidth="1" style="24" min="8968" max="8968"/>
    <col width="10" customWidth="1" style="24" min="8969" max="8969"/>
    <col width="11.85546875" customWidth="1" style="24" min="8970" max="8970"/>
    <col width="9.42578125" customWidth="1" style="24" min="8971" max="8971"/>
    <col width="13.85546875" customWidth="1" style="24" min="8972" max="8972"/>
    <col width="9.5703125" customWidth="1" style="24" min="8973" max="8973"/>
    <col width="10.28515625" customWidth="1" style="24" min="8974" max="8974"/>
    <col width="9.5703125" customWidth="1" style="24" min="8975" max="8975"/>
    <col width="10.140625" customWidth="1" style="24" min="8976" max="8977"/>
    <col width="0.85546875" customWidth="1" style="24" min="8978" max="9216"/>
    <col width="12.5703125" customWidth="1" style="24" min="9217" max="9217"/>
    <col width="23.28515625" customWidth="1" style="24" min="9218" max="9218"/>
    <col width="15.85546875" customWidth="1" style="24" min="9219" max="9219"/>
    <col width="18.140625" customWidth="1" style="24" min="9220" max="9220"/>
    <col width="24.140625" customWidth="1" style="24" min="9221" max="9221"/>
    <col width="13.7109375" customWidth="1" style="24" min="9222" max="9222"/>
    <col width="8.5703125" customWidth="1" style="24" min="9223" max="9223"/>
    <col width="8.42578125" customWidth="1" style="24" min="9224" max="9224"/>
    <col width="10" customWidth="1" style="24" min="9225" max="9225"/>
    <col width="11.85546875" customWidth="1" style="24" min="9226" max="9226"/>
    <col width="9.42578125" customWidth="1" style="24" min="9227" max="9227"/>
    <col width="13.85546875" customWidth="1" style="24" min="9228" max="9228"/>
    <col width="9.5703125" customWidth="1" style="24" min="9229" max="9229"/>
    <col width="10.28515625" customWidth="1" style="24" min="9230" max="9230"/>
    <col width="9.5703125" customWidth="1" style="24" min="9231" max="9231"/>
    <col width="10.140625" customWidth="1" style="24" min="9232" max="9233"/>
    <col width="0.85546875" customWidth="1" style="24" min="9234" max="9472"/>
    <col width="12.5703125" customWidth="1" style="24" min="9473" max="9473"/>
    <col width="23.28515625" customWidth="1" style="24" min="9474" max="9474"/>
    <col width="15.85546875" customWidth="1" style="24" min="9475" max="9475"/>
    <col width="18.140625" customWidth="1" style="24" min="9476" max="9476"/>
    <col width="24.140625" customWidth="1" style="24" min="9477" max="9477"/>
    <col width="13.7109375" customWidth="1" style="24" min="9478" max="9478"/>
    <col width="8.5703125" customWidth="1" style="24" min="9479" max="9479"/>
    <col width="8.42578125" customWidth="1" style="24" min="9480" max="9480"/>
    <col width="10" customWidth="1" style="24" min="9481" max="9481"/>
    <col width="11.85546875" customWidth="1" style="24" min="9482" max="9482"/>
    <col width="9.42578125" customWidth="1" style="24" min="9483" max="9483"/>
    <col width="13.85546875" customWidth="1" style="24" min="9484" max="9484"/>
    <col width="9.5703125" customWidth="1" style="24" min="9485" max="9485"/>
    <col width="10.28515625" customWidth="1" style="24" min="9486" max="9486"/>
    <col width="9.5703125" customWidth="1" style="24" min="9487" max="9487"/>
    <col width="10.140625" customWidth="1" style="24" min="9488" max="9489"/>
    <col width="0.85546875" customWidth="1" style="24" min="9490" max="9728"/>
    <col width="12.5703125" customWidth="1" style="24" min="9729" max="9729"/>
    <col width="23.28515625" customWidth="1" style="24" min="9730" max="9730"/>
    <col width="15.85546875" customWidth="1" style="24" min="9731" max="9731"/>
    <col width="18.140625" customWidth="1" style="24" min="9732" max="9732"/>
    <col width="24.140625" customWidth="1" style="24" min="9733" max="9733"/>
    <col width="13.7109375" customWidth="1" style="24" min="9734" max="9734"/>
    <col width="8.5703125" customWidth="1" style="24" min="9735" max="9735"/>
    <col width="8.42578125" customWidth="1" style="24" min="9736" max="9736"/>
    <col width="10" customWidth="1" style="24" min="9737" max="9737"/>
    <col width="11.85546875" customWidth="1" style="24" min="9738" max="9738"/>
    <col width="9.42578125" customWidth="1" style="24" min="9739" max="9739"/>
    <col width="13.85546875" customWidth="1" style="24" min="9740" max="9740"/>
    <col width="9.5703125" customWidth="1" style="24" min="9741" max="9741"/>
    <col width="10.28515625" customWidth="1" style="24" min="9742" max="9742"/>
    <col width="9.5703125" customWidth="1" style="24" min="9743" max="9743"/>
    <col width="10.140625" customWidth="1" style="24" min="9744" max="9745"/>
    <col width="0.85546875" customWidth="1" style="24" min="9746" max="9984"/>
    <col width="12.5703125" customWidth="1" style="24" min="9985" max="9985"/>
    <col width="23.28515625" customWidth="1" style="24" min="9986" max="9986"/>
    <col width="15.85546875" customWidth="1" style="24" min="9987" max="9987"/>
    <col width="18.140625" customWidth="1" style="24" min="9988" max="9988"/>
    <col width="24.140625" customWidth="1" style="24" min="9989" max="9989"/>
    <col width="13.7109375" customWidth="1" style="24" min="9990" max="9990"/>
    <col width="8.5703125" customWidth="1" style="24" min="9991" max="9991"/>
    <col width="8.42578125" customWidth="1" style="24" min="9992" max="9992"/>
    <col width="10" customWidth="1" style="24" min="9993" max="9993"/>
    <col width="11.85546875" customWidth="1" style="24" min="9994" max="9994"/>
    <col width="9.42578125" customWidth="1" style="24" min="9995" max="9995"/>
    <col width="13.85546875" customWidth="1" style="24" min="9996" max="9996"/>
    <col width="9.5703125" customWidth="1" style="24" min="9997" max="9997"/>
    <col width="10.28515625" customWidth="1" style="24" min="9998" max="9998"/>
    <col width="9.5703125" customWidth="1" style="24" min="9999" max="9999"/>
    <col width="10.140625" customWidth="1" style="24" min="10000" max="10001"/>
    <col width="0.85546875" customWidth="1" style="24" min="10002" max="10240"/>
    <col width="12.5703125" customWidth="1" style="24" min="10241" max="10241"/>
    <col width="23.28515625" customWidth="1" style="24" min="10242" max="10242"/>
    <col width="15.85546875" customWidth="1" style="24" min="10243" max="10243"/>
    <col width="18.140625" customWidth="1" style="24" min="10244" max="10244"/>
    <col width="24.140625" customWidth="1" style="24" min="10245" max="10245"/>
    <col width="13.7109375" customWidth="1" style="24" min="10246" max="10246"/>
    <col width="8.5703125" customWidth="1" style="24" min="10247" max="10247"/>
    <col width="8.42578125" customWidth="1" style="24" min="10248" max="10248"/>
    <col width="10" customWidth="1" style="24" min="10249" max="10249"/>
    <col width="11.85546875" customWidth="1" style="24" min="10250" max="10250"/>
    <col width="9.42578125" customWidth="1" style="24" min="10251" max="10251"/>
    <col width="13.85546875" customWidth="1" style="24" min="10252" max="10252"/>
    <col width="9.5703125" customWidth="1" style="24" min="10253" max="10253"/>
    <col width="10.28515625" customWidth="1" style="24" min="10254" max="10254"/>
    <col width="9.5703125" customWidth="1" style="24" min="10255" max="10255"/>
    <col width="10.140625" customWidth="1" style="24" min="10256" max="10257"/>
    <col width="0.85546875" customWidth="1" style="24" min="10258" max="10496"/>
    <col width="12.5703125" customWidth="1" style="24" min="10497" max="10497"/>
    <col width="23.28515625" customWidth="1" style="24" min="10498" max="10498"/>
    <col width="15.85546875" customWidth="1" style="24" min="10499" max="10499"/>
    <col width="18.140625" customWidth="1" style="24" min="10500" max="10500"/>
    <col width="24.140625" customWidth="1" style="24" min="10501" max="10501"/>
    <col width="13.7109375" customWidth="1" style="24" min="10502" max="10502"/>
    <col width="8.5703125" customWidth="1" style="24" min="10503" max="10503"/>
    <col width="8.42578125" customWidth="1" style="24" min="10504" max="10504"/>
    <col width="10" customWidth="1" style="24" min="10505" max="10505"/>
    <col width="11.85546875" customWidth="1" style="24" min="10506" max="10506"/>
    <col width="9.42578125" customWidth="1" style="24" min="10507" max="10507"/>
    <col width="13.85546875" customWidth="1" style="24" min="10508" max="10508"/>
    <col width="9.5703125" customWidth="1" style="24" min="10509" max="10509"/>
    <col width="10.28515625" customWidth="1" style="24" min="10510" max="10510"/>
    <col width="9.5703125" customWidth="1" style="24" min="10511" max="10511"/>
    <col width="10.140625" customWidth="1" style="24" min="10512" max="10513"/>
    <col width="0.85546875" customWidth="1" style="24" min="10514" max="10752"/>
    <col width="12.5703125" customWidth="1" style="24" min="10753" max="10753"/>
    <col width="23.28515625" customWidth="1" style="24" min="10754" max="10754"/>
    <col width="15.85546875" customWidth="1" style="24" min="10755" max="10755"/>
    <col width="18.140625" customWidth="1" style="24" min="10756" max="10756"/>
    <col width="24.140625" customWidth="1" style="24" min="10757" max="10757"/>
    <col width="13.7109375" customWidth="1" style="24" min="10758" max="10758"/>
    <col width="8.5703125" customWidth="1" style="24" min="10759" max="10759"/>
    <col width="8.42578125" customWidth="1" style="24" min="10760" max="10760"/>
    <col width="10" customWidth="1" style="24" min="10761" max="10761"/>
    <col width="11.85546875" customWidth="1" style="24" min="10762" max="10762"/>
    <col width="9.42578125" customWidth="1" style="24" min="10763" max="10763"/>
    <col width="13.85546875" customWidth="1" style="24" min="10764" max="10764"/>
    <col width="9.5703125" customWidth="1" style="24" min="10765" max="10765"/>
    <col width="10.28515625" customWidth="1" style="24" min="10766" max="10766"/>
    <col width="9.5703125" customWidth="1" style="24" min="10767" max="10767"/>
    <col width="10.140625" customWidth="1" style="24" min="10768" max="10769"/>
    <col width="0.85546875" customWidth="1" style="24" min="10770" max="11008"/>
    <col width="12.5703125" customWidth="1" style="24" min="11009" max="11009"/>
    <col width="23.28515625" customWidth="1" style="24" min="11010" max="11010"/>
    <col width="15.85546875" customWidth="1" style="24" min="11011" max="11011"/>
    <col width="18.140625" customWidth="1" style="24" min="11012" max="11012"/>
    <col width="24.140625" customWidth="1" style="24" min="11013" max="11013"/>
    <col width="13.7109375" customWidth="1" style="24" min="11014" max="11014"/>
    <col width="8.5703125" customWidth="1" style="24" min="11015" max="11015"/>
    <col width="8.42578125" customWidth="1" style="24" min="11016" max="11016"/>
    <col width="10" customWidth="1" style="24" min="11017" max="11017"/>
    <col width="11.85546875" customWidth="1" style="24" min="11018" max="11018"/>
    <col width="9.42578125" customWidth="1" style="24" min="11019" max="11019"/>
    <col width="13.85546875" customWidth="1" style="24" min="11020" max="11020"/>
    <col width="9.5703125" customWidth="1" style="24" min="11021" max="11021"/>
    <col width="10.28515625" customWidth="1" style="24" min="11022" max="11022"/>
    <col width="9.5703125" customWidth="1" style="24" min="11023" max="11023"/>
    <col width="10.140625" customWidth="1" style="24" min="11024" max="11025"/>
    <col width="0.85546875" customWidth="1" style="24" min="11026" max="11264"/>
    <col width="12.5703125" customWidth="1" style="24" min="11265" max="11265"/>
    <col width="23.28515625" customWidth="1" style="24" min="11266" max="11266"/>
    <col width="15.85546875" customWidth="1" style="24" min="11267" max="11267"/>
    <col width="18.140625" customWidth="1" style="24" min="11268" max="11268"/>
    <col width="24.140625" customWidth="1" style="24" min="11269" max="11269"/>
    <col width="13.7109375" customWidth="1" style="24" min="11270" max="11270"/>
    <col width="8.5703125" customWidth="1" style="24" min="11271" max="11271"/>
    <col width="8.42578125" customWidth="1" style="24" min="11272" max="11272"/>
    <col width="10" customWidth="1" style="24" min="11273" max="11273"/>
    <col width="11.85546875" customWidth="1" style="24" min="11274" max="11274"/>
    <col width="9.42578125" customWidth="1" style="24" min="11275" max="11275"/>
    <col width="13.85546875" customWidth="1" style="24" min="11276" max="11276"/>
    <col width="9.5703125" customWidth="1" style="24" min="11277" max="11277"/>
    <col width="10.28515625" customWidth="1" style="24" min="11278" max="11278"/>
    <col width="9.5703125" customWidth="1" style="24" min="11279" max="11279"/>
    <col width="10.140625" customWidth="1" style="24" min="11280" max="11281"/>
    <col width="0.85546875" customWidth="1" style="24" min="11282" max="11520"/>
    <col width="12.5703125" customWidth="1" style="24" min="11521" max="11521"/>
    <col width="23.28515625" customWidth="1" style="24" min="11522" max="11522"/>
    <col width="15.85546875" customWidth="1" style="24" min="11523" max="11523"/>
    <col width="18.140625" customWidth="1" style="24" min="11524" max="11524"/>
    <col width="24.140625" customWidth="1" style="24" min="11525" max="11525"/>
    <col width="13.7109375" customWidth="1" style="24" min="11526" max="11526"/>
    <col width="8.5703125" customWidth="1" style="24" min="11527" max="11527"/>
    <col width="8.42578125" customWidth="1" style="24" min="11528" max="11528"/>
    <col width="10" customWidth="1" style="24" min="11529" max="11529"/>
    <col width="11.85546875" customWidth="1" style="24" min="11530" max="11530"/>
    <col width="9.42578125" customWidth="1" style="24" min="11531" max="11531"/>
    <col width="13.85546875" customWidth="1" style="24" min="11532" max="11532"/>
    <col width="9.5703125" customWidth="1" style="24" min="11533" max="11533"/>
    <col width="10.28515625" customWidth="1" style="24" min="11534" max="11534"/>
    <col width="9.5703125" customWidth="1" style="24" min="11535" max="11535"/>
    <col width="10.140625" customWidth="1" style="24" min="11536" max="11537"/>
    <col width="0.85546875" customWidth="1" style="24" min="11538" max="11776"/>
    <col width="12.5703125" customWidth="1" style="24" min="11777" max="11777"/>
    <col width="23.28515625" customWidth="1" style="24" min="11778" max="11778"/>
    <col width="15.85546875" customWidth="1" style="24" min="11779" max="11779"/>
    <col width="18.140625" customWidth="1" style="24" min="11780" max="11780"/>
    <col width="24.140625" customWidth="1" style="24" min="11781" max="11781"/>
    <col width="13.7109375" customWidth="1" style="24" min="11782" max="11782"/>
    <col width="8.5703125" customWidth="1" style="24" min="11783" max="11783"/>
    <col width="8.42578125" customWidth="1" style="24" min="11784" max="11784"/>
    <col width="10" customWidth="1" style="24" min="11785" max="11785"/>
    <col width="11.85546875" customWidth="1" style="24" min="11786" max="11786"/>
    <col width="9.42578125" customWidth="1" style="24" min="11787" max="11787"/>
    <col width="13.85546875" customWidth="1" style="24" min="11788" max="11788"/>
    <col width="9.5703125" customWidth="1" style="24" min="11789" max="11789"/>
    <col width="10.28515625" customWidth="1" style="24" min="11790" max="11790"/>
    <col width="9.5703125" customWidth="1" style="24" min="11791" max="11791"/>
    <col width="10.140625" customWidth="1" style="24" min="11792" max="11793"/>
    <col width="0.85546875" customWidth="1" style="24" min="11794" max="12032"/>
    <col width="12.5703125" customWidth="1" style="24" min="12033" max="12033"/>
    <col width="23.28515625" customWidth="1" style="24" min="12034" max="12034"/>
    <col width="15.85546875" customWidth="1" style="24" min="12035" max="12035"/>
    <col width="18.140625" customWidth="1" style="24" min="12036" max="12036"/>
    <col width="24.140625" customWidth="1" style="24" min="12037" max="12037"/>
    <col width="13.7109375" customWidth="1" style="24" min="12038" max="12038"/>
    <col width="8.5703125" customWidth="1" style="24" min="12039" max="12039"/>
    <col width="8.42578125" customWidth="1" style="24" min="12040" max="12040"/>
    <col width="10" customWidth="1" style="24" min="12041" max="12041"/>
    <col width="11.85546875" customWidth="1" style="24" min="12042" max="12042"/>
    <col width="9.42578125" customWidth="1" style="24" min="12043" max="12043"/>
    <col width="13.85546875" customWidth="1" style="24" min="12044" max="12044"/>
    <col width="9.5703125" customWidth="1" style="24" min="12045" max="12045"/>
    <col width="10.28515625" customWidth="1" style="24" min="12046" max="12046"/>
    <col width="9.5703125" customWidth="1" style="24" min="12047" max="12047"/>
    <col width="10.140625" customWidth="1" style="24" min="12048" max="12049"/>
    <col width="0.85546875" customWidth="1" style="24" min="12050" max="12288"/>
    <col width="12.5703125" customWidth="1" style="24" min="12289" max="12289"/>
    <col width="23.28515625" customWidth="1" style="24" min="12290" max="12290"/>
    <col width="15.85546875" customWidth="1" style="24" min="12291" max="12291"/>
    <col width="18.140625" customWidth="1" style="24" min="12292" max="12292"/>
    <col width="24.140625" customWidth="1" style="24" min="12293" max="12293"/>
    <col width="13.7109375" customWidth="1" style="24" min="12294" max="12294"/>
    <col width="8.5703125" customWidth="1" style="24" min="12295" max="12295"/>
    <col width="8.42578125" customWidth="1" style="24" min="12296" max="12296"/>
    <col width="10" customWidth="1" style="24" min="12297" max="12297"/>
    <col width="11.85546875" customWidth="1" style="24" min="12298" max="12298"/>
    <col width="9.42578125" customWidth="1" style="24" min="12299" max="12299"/>
    <col width="13.85546875" customWidth="1" style="24" min="12300" max="12300"/>
    <col width="9.5703125" customWidth="1" style="24" min="12301" max="12301"/>
    <col width="10.28515625" customWidth="1" style="24" min="12302" max="12302"/>
    <col width="9.5703125" customWidth="1" style="24" min="12303" max="12303"/>
    <col width="10.140625" customWidth="1" style="24" min="12304" max="12305"/>
    <col width="0.85546875" customWidth="1" style="24" min="12306" max="12544"/>
    <col width="12.5703125" customWidth="1" style="24" min="12545" max="12545"/>
    <col width="23.28515625" customWidth="1" style="24" min="12546" max="12546"/>
    <col width="15.85546875" customWidth="1" style="24" min="12547" max="12547"/>
    <col width="18.140625" customWidth="1" style="24" min="12548" max="12548"/>
    <col width="24.140625" customWidth="1" style="24" min="12549" max="12549"/>
    <col width="13.7109375" customWidth="1" style="24" min="12550" max="12550"/>
    <col width="8.5703125" customWidth="1" style="24" min="12551" max="12551"/>
    <col width="8.42578125" customWidth="1" style="24" min="12552" max="12552"/>
    <col width="10" customWidth="1" style="24" min="12553" max="12553"/>
    <col width="11.85546875" customWidth="1" style="24" min="12554" max="12554"/>
    <col width="9.42578125" customWidth="1" style="24" min="12555" max="12555"/>
    <col width="13.85546875" customWidth="1" style="24" min="12556" max="12556"/>
    <col width="9.5703125" customWidth="1" style="24" min="12557" max="12557"/>
    <col width="10.28515625" customWidth="1" style="24" min="12558" max="12558"/>
    <col width="9.5703125" customWidth="1" style="24" min="12559" max="12559"/>
    <col width="10.140625" customWidth="1" style="24" min="12560" max="12561"/>
    <col width="0.85546875" customWidth="1" style="24" min="12562" max="12800"/>
    <col width="12.5703125" customWidth="1" style="24" min="12801" max="12801"/>
    <col width="23.28515625" customWidth="1" style="24" min="12802" max="12802"/>
    <col width="15.85546875" customWidth="1" style="24" min="12803" max="12803"/>
    <col width="18.140625" customWidth="1" style="24" min="12804" max="12804"/>
    <col width="24.140625" customWidth="1" style="24" min="12805" max="12805"/>
    <col width="13.7109375" customWidth="1" style="24" min="12806" max="12806"/>
    <col width="8.5703125" customWidth="1" style="24" min="12807" max="12807"/>
    <col width="8.42578125" customWidth="1" style="24" min="12808" max="12808"/>
    <col width="10" customWidth="1" style="24" min="12809" max="12809"/>
    <col width="11.85546875" customWidth="1" style="24" min="12810" max="12810"/>
    <col width="9.42578125" customWidth="1" style="24" min="12811" max="12811"/>
    <col width="13.85546875" customWidth="1" style="24" min="12812" max="12812"/>
    <col width="9.5703125" customWidth="1" style="24" min="12813" max="12813"/>
    <col width="10.28515625" customWidth="1" style="24" min="12814" max="12814"/>
    <col width="9.5703125" customWidth="1" style="24" min="12815" max="12815"/>
    <col width="10.140625" customWidth="1" style="24" min="12816" max="12817"/>
    <col width="0.85546875" customWidth="1" style="24" min="12818" max="13056"/>
    <col width="12.5703125" customWidth="1" style="24" min="13057" max="13057"/>
    <col width="23.28515625" customWidth="1" style="24" min="13058" max="13058"/>
    <col width="15.85546875" customWidth="1" style="24" min="13059" max="13059"/>
    <col width="18.140625" customWidth="1" style="24" min="13060" max="13060"/>
    <col width="24.140625" customWidth="1" style="24" min="13061" max="13061"/>
    <col width="13.7109375" customWidth="1" style="24" min="13062" max="13062"/>
    <col width="8.5703125" customWidth="1" style="24" min="13063" max="13063"/>
    <col width="8.42578125" customWidth="1" style="24" min="13064" max="13064"/>
    <col width="10" customWidth="1" style="24" min="13065" max="13065"/>
    <col width="11.85546875" customWidth="1" style="24" min="13066" max="13066"/>
    <col width="9.42578125" customWidth="1" style="24" min="13067" max="13067"/>
    <col width="13.85546875" customWidth="1" style="24" min="13068" max="13068"/>
    <col width="9.5703125" customWidth="1" style="24" min="13069" max="13069"/>
    <col width="10.28515625" customWidth="1" style="24" min="13070" max="13070"/>
    <col width="9.5703125" customWidth="1" style="24" min="13071" max="13071"/>
    <col width="10.140625" customWidth="1" style="24" min="13072" max="13073"/>
    <col width="0.85546875" customWidth="1" style="24" min="13074" max="13312"/>
    <col width="12.5703125" customWidth="1" style="24" min="13313" max="13313"/>
    <col width="23.28515625" customWidth="1" style="24" min="13314" max="13314"/>
    <col width="15.85546875" customWidth="1" style="24" min="13315" max="13315"/>
    <col width="18.140625" customWidth="1" style="24" min="13316" max="13316"/>
    <col width="24.140625" customWidth="1" style="24" min="13317" max="13317"/>
    <col width="13.7109375" customWidth="1" style="24" min="13318" max="13318"/>
    <col width="8.5703125" customWidth="1" style="24" min="13319" max="13319"/>
    <col width="8.42578125" customWidth="1" style="24" min="13320" max="13320"/>
    <col width="10" customWidth="1" style="24" min="13321" max="13321"/>
    <col width="11.85546875" customWidth="1" style="24" min="13322" max="13322"/>
    <col width="9.42578125" customWidth="1" style="24" min="13323" max="13323"/>
    <col width="13.85546875" customWidth="1" style="24" min="13324" max="13324"/>
    <col width="9.5703125" customWidth="1" style="24" min="13325" max="13325"/>
    <col width="10.28515625" customWidth="1" style="24" min="13326" max="13326"/>
    <col width="9.5703125" customWidth="1" style="24" min="13327" max="13327"/>
    <col width="10.140625" customWidth="1" style="24" min="13328" max="13329"/>
    <col width="0.85546875" customWidth="1" style="24" min="13330" max="13568"/>
    <col width="12.5703125" customWidth="1" style="24" min="13569" max="13569"/>
    <col width="23.28515625" customWidth="1" style="24" min="13570" max="13570"/>
    <col width="15.85546875" customWidth="1" style="24" min="13571" max="13571"/>
    <col width="18.140625" customWidth="1" style="24" min="13572" max="13572"/>
    <col width="24.140625" customWidth="1" style="24" min="13573" max="13573"/>
    <col width="13.7109375" customWidth="1" style="24" min="13574" max="13574"/>
    <col width="8.5703125" customWidth="1" style="24" min="13575" max="13575"/>
    <col width="8.42578125" customWidth="1" style="24" min="13576" max="13576"/>
    <col width="10" customWidth="1" style="24" min="13577" max="13577"/>
    <col width="11.85546875" customWidth="1" style="24" min="13578" max="13578"/>
    <col width="9.42578125" customWidth="1" style="24" min="13579" max="13579"/>
    <col width="13.85546875" customWidth="1" style="24" min="13580" max="13580"/>
    <col width="9.5703125" customWidth="1" style="24" min="13581" max="13581"/>
    <col width="10.28515625" customWidth="1" style="24" min="13582" max="13582"/>
    <col width="9.5703125" customWidth="1" style="24" min="13583" max="13583"/>
    <col width="10.140625" customWidth="1" style="24" min="13584" max="13585"/>
    <col width="0.85546875" customWidth="1" style="24" min="13586" max="13824"/>
    <col width="12.5703125" customWidth="1" style="24" min="13825" max="13825"/>
    <col width="23.28515625" customWidth="1" style="24" min="13826" max="13826"/>
    <col width="15.85546875" customWidth="1" style="24" min="13827" max="13827"/>
    <col width="18.140625" customWidth="1" style="24" min="13828" max="13828"/>
    <col width="24.140625" customWidth="1" style="24" min="13829" max="13829"/>
    <col width="13.7109375" customWidth="1" style="24" min="13830" max="13830"/>
    <col width="8.5703125" customWidth="1" style="24" min="13831" max="13831"/>
    <col width="8.42578125" customWidth="1" style="24" min="13832" max="13832"/>
    <col width="10" customWidth="1" style="24" min="13833" max="13833"/>
    <col width="11.85546875" customWidth="1" style="24" min="13834" max="13834"/>
    <col width="9.42578125" customWidth="1" style="24" min="13835" max="13835"/>
    <col width="13.85546875" customWidth="1" style="24" min="13836" max="13836"/>
    <col width="9.5703125" customWidth="1" style="24" min="13837" max="13837"/>
    <col width="10.28515625" customWidth="1" style="24" min="13838" max="13838"/>
    <col width="9.5703125" customWidth="1" style="24" min="13839" max="13839"/>
    <col width="10.140625" customWidth="1" style="24" min="13840" max="13841"/>
    <col width="0.85546875" customWidth="1" style="24" min="13842" max="14080"/>
    <col width="12.5703125" customWidth="1" style="24" min="14081" max="14081"/>
    <col width="23.28515625" customWidth="1" style="24" min="14082" max="14082"/>
    <col width="15.85546875" customWidth="1" style="24" min="14083" max="14083"/>
    <col width="18.140625" customWidth="1" style="24" min="14084" max="14084"/>
    <col width="24.140625" customWidth="1" style="24" min="14085" max="14085"/>
    <col width="13.7109375" customWidth="1" style="24" min="14086" max="14086"/>
    <col width="8.5703125" customWidth="1" style="24" min="14087" max="14087"/>
    <col width="8.42578125" customWidth="1" style="24" min="14088" max="14088"/>
    <col width="10" customWidth="1" style="24" min="14089" max="14089"/>
    <col width="11.85546875" customWidth="1" style="24" min="14090" max="14090"/>
    <col width="9.42578125" customWidth="1" style="24" min="14091" max="14091"/>
    <col width="13.85546875" customWidth="1" style="24" min="14092" max="14092"/>
    <col width="9.5703125" customWidth="1" style="24" min="14093" max="14093"/>
    <col width="10.28515625" customWidth="1" style="24" min="14094" max="14094"/>
    <col width="9.5703125" customWidth="1" style="24" min="14095" max="14095"/>
    <col width="10.140625" customWidth="1" style="24" min="14096" max="14097"/>
    <col width="0.85546875" customWidth="1" style="24" min="14098" max="14336"/>
    <col width="12.5703125" customWidth="1" style="24" min="14337" max="14337"/>
    <col width="23.28515625" customWidth="1" style="24" min="14338" max="14338"/>
    <col width="15.85546875" customWidth="1" style="24" min="14339" max="14339"/>
    <col width="18.140625" customWidth="1" style="24" min="14340" max="14340"/>
    <col width="24.140625" customWidth="1" style="24" min="14341" max="14341"/>
    <col width="13.7109375" customWidth="1" style="24" min="14342" max="14342"/>
    <col width="8.5703125" customWidth="1" style="24" min="14343" max="14343"/>
    <col width="8.42578125" customWidth="1" style="24" min="14344" max="14344"/>
    <col width="10" customWidth="1" style="24" min="14345" max="14345"/>
    <col width="11.85546875" customWidth="1" style="24" min="14346" max="14346"/>
    <col width="9.42578125" customWidth="1" style="24" min="14347" max="14347"/>
    <col width="13.85546875" customWidth="1" style="24" min="14348" max="14348"/>
    <col width="9.5703125" customWidth="1" style="24" min="14349" max="14349"/>
    <col width="10.28515625" customWidth="1" style="24" min="14350" max="14350"/>
    <col width="9.5703125" customWidth="1" style="24" min="14351" max="14351"/>
    <col width="10.140625" customWidth="1" style="24" min="14352" max="14353"/>
    <col width="0.85546875" customWidth="1" style="24" min="14354" max="14592"/>
    <col width="12.5703125" customWidth="1" style="24" min="14593" max="14593"/>
    <col width="23.28515625" customWidth="1" style="24" min="14594" max="14594"/>
    <col width="15.85546875" customWidth="1" style="24" min="14595" max="14595"/>
    <col width="18.140625" customWidth="1" style="24" min="14596" max="14596"/>
    <col width="24.140625" customWidth="1" style="24" min="14597" max="14597"/>
    <col width="13.7109375" customWidth="1" style="24" min="14598" max="14598"/>
    <col width="8.5703125" customWidth="1" style="24" min="14599" max="14599"/>
    <col width="8.42578125" customWidth="1" style="24" min="14600" max="14600"/>
    <col width="10" customWidth="1" style="24" min="14601" max="14601"/>
    <col width="11.85546875" customWidth="1" style="24" min="14602" max="14602"/>
    <col width="9.42578125" customWidth="1" style="24" min="14603" max="14603"/>
    <col width="13.85546875" customWidth="1" style="24" min="14604" max="14604"/>
    <col width="9.5703125" customWidth="1" style="24" min="14605" max="14605"/>
    <col width="10.28515625" customWidth="1" style="24" min="14606" max="14606"/>
    <col width="9.5703125" customWidth="1" style="24" min="14607" max="14607"/>
    <col width="10.140625" customWidth="1" style="24" min="14608" max="14609"/>
    <col width="0.85546875" customWidth="1" style="24" min="14610" max="14848"/>
    <col width="12.5703125" customWidth="1" style="24" min="14849" max="14849"/>
    <col width="23.28515625" customWidth="1" style="24" min="14850" max="14850"/>
    <col width="15.85546875" customWidth="1" style="24" min="14851" max="14851"/>
    <col width="18.140625" customWidth="1" style="24" min="14852" max="14852"/>
    <col width="24.140625" customWidth="1" style="24" min="14853" max="14853"/>
    <col width="13.7109375" customWidth="1" style="24" min="14854" max="14854"/>
    <col width="8.5703125" customWidth="1" style="24" min="14855" max="14855"/>
    <col width="8.42578125" customWidth="1" style="24" min="14856" max="14856"/>
    <col width="10" customWidth="1" style="24" min="14857" max="14857"/>
    <col width="11.85546875" customWidth="1" style="24" min="14858" max="14858"/>
    <col width="9.42578125" customWidth="1" style="24" min="14859" max="14859"/>
    <col width="13.85546875" customWidth="1" style="24" min="14860" max="14860"/>
    <col width="9.5703125" customWidth="1" style="24" min="14861" max="14861"/>
    <col width="10.28515625" customWidth="1" style="24" min="14862" max="14862"/>
    <col width="9.5703125" customWidth="1" style="24" min="14863" max="14863"/>
    <col width="10.140625" customWidth="1" style="24" min="14864" max="14865"/>
    <col width="0.85546875" customWidth="1" style="24" min="14866" max="15104"/>
    <col width="12.5703125" customWidth="1" style="24" min="15105" max="15105"/>
    <col width="23.28515625" customWidth="1" style="24" min="15106" max="15106"/>
    <col width="15.85546875" customWidth="1" style="24" min="15107" max="15107"/>
    <col width="18.140625" customWidth="1" style="24" min="15108" max="15108"/>
    <col width="24.140625" customWidth="1" style="24" min="15109" max="15109"/>
    <col width="13.7109375" customWidth="1" style="24" min="15110" max="15110"/>
    <col width="8.5703125" customWidth="1" style="24" min="15111" max="15111"/>
    <col width="8.42578125" customWidth="1" style="24" min="15112" max="15112"/>
    <col width="10" customWidth="1" style="24" min="15113" max="15113"/>
    <col width="11.85546875" customWidth="1" style="24" min="15114" max="15114"/>
    <col width="9.42578125" customWidth="1" style="24" min="15115" max="15115"/>
    <col width="13.85546875" customWidth="1" style="24" min="15116" max="15116"/>
    <col width="9.5703125" customWidth="1" style="24" min="15117" max="15117"/>
    <col width="10.28515625" customWidth="1" style="24" min="15118" max="15118"/>
    <col width="9.5703125" customWidth="1" style="24" min="15119" max="15119"/>
    <col width="10.140625" customWidth="1" style="24" min="15120" max="15121"/>
    <col width="0.85546875" customWidth="1" style="24" min="15122" max="15360"/>
    <col width="12.5703125" customWidth="1" style="24" min="15361" max="15361"/>
    <col width="23.28515625" customWidth="1" style="24" min="15362" max="15362"/>
    <col width="15.85546875" customWidth="1" style="24" min="15363" max="15363"/>
    <col width="18.140625" customWidth="1" style="24" min="15364" max="15364"/>
    <col width="24.140625" customWidth="1" style="24" min="15365" max="15365"/>
    <col width="13.7109375" customWidth="1" style="24" min="15366" max="15366"/>
    <col width="8.5703125" customWidth="1" style="24" min="15367" max="15367"/>
    <col width="8.42578125" customWidth="1" style="24" min="15368" max="15368"/>
    <col width="10" customWidth="1" style="24" min="15369" max="15369"/>
    <col width="11.85546875" customWidth="1" style="24" min="15370" max="15370"/>
    <col width="9.42578125" customWidth="1" style="24" min="15371" max="15371"/>
    <col width="13.85546875" customWidth="1" style="24" min="15372" max="15372"/>
    <col width="9.5703125" customWidth="1" style="24" min="15373" max="15373"/>
    <col width="10.28515625" customWidth="1" style="24" min="15374" max="15374"/>
    <col width="9.5703125" customWidth="1" style="24" min="15375" max="15375"/>
    <col width="10.140625" customWidth="1" style="24" min="15376" max="15377"/>
    <col width="0.85546875" customWidth="1" style="24" min="15378" max="15616"/>
    <col width="12.5703125" customWidth="1" style="24" min="15617" max="15617"/>
    <col width="23.28515625" customWidth="1" style="24" min="15618" max="15618"/>
    <col width="15.85546875" customWidth="1" style="24" min="15619" max="15619"/>
    <col width="18.140625" customWidth="1" style="24" min="15620" max="15620"/>
    <col width="24.140625" customWidth="1" style="24" min="15621" max="15621"/>
    <col width="13.7109375" customWidth="1" style="24" min="15622" max="15622"/>
    <col width="8.5703125" customWidth="1" style="24" min="15623" max="15623"/>
    <col width="8.42578125" customWidth="1" style="24" min="15624" max="15624"/>
    <col width="10" customWidth="1" style="24" min="15625" max="15625"/>
    <col width="11.85546875" customWidth="1" style="24" min="15626" max="15626"/>
    <col width="9.42578125" customWidth="1" style="24" min="15627" max="15627"/>
    <col width="13.85546875" customWidth="1" style="24" min="15628" max="15628"/>
    <col width="9.5703125" customWidth="1" style="24" min="15629" max="15629"/>
    <col width="10.28515625" customWidth="1" style="24" min="15630" max="15630"/>
    <col width="9.5703125" customWidth="1" style="24" min="15631" max="15631"/>
    <col width="10.140625" customWidth="1" style="24" min="15632" max="15633"/>
    <col width="0.85546875" customWidth="1" style="24" min="15634" max="15872"/>
    <col width="12.5703125" customWidth="1" style="24" min="15873" max="15873"/>
    <col width="23.28515625" customWidth="1" style="24" min="15874" max="15874"/>
    <col width="15.85546875" customWidth="1" style="24" min="15875" max="15875"/>
    <col width="18.140625" customWidth="1" style="24" min="15876" max="15876"/>
    <col width="24.140625" customWidth="1" style="24" min="15877" max="15877"/>
    <col width="13.7109375" customWidth="1" style="24" min="15878" max="15878"/>
    <col width="8.5703125" customWidth="1" style="24" min="15879" max="15879"/>
    <col width="8.42578125" customWidth="1" style="24" min="15880" max="15880"/>
    <col width="10" customWidth="1" style="24" min="15881" max="15881"/>
    <col width="11.85546875" customWidth="1" style="24" min="15882" max="15882"/>
    <col width="9.42578125" customWidth="1" style="24" min="15883" max="15883"/>
    <col width="13.85546875" customWidth="1" style="24" min="15884" max="15884"/>
    <col width="9.5703125" customWidth="1" style="24" min="15885" max="15885"/>
    <col width="10.28515625" customWidth="1" style="24" min="15886" max="15886"/>
    <col width="9.5703125" customWidth="1" style="24" min="15887" max="15887"/>
    <col width="10.140625" customWidth="1" style="24" min="15888" max="15889"/>
    <col width="0.85546875" customWidth="1" style="24" min="15890" max="16128"/>
    <col width="12.5703125" customWidth="1" style="24" min="16129" max="16129"/>
    <col width="23.28515625" customWidth="1" style="24" min="16130" max="16130"/>
    <col width="15.85546875" customWidth="1" style="24" min="16131" max="16131"/>
    <col width="18.140625" customWidth="1" style="24" min="16132" max="16132"/>
    <col width="24.140625" customWidth="1" style="24" min="16133" max="16133"/>
    <col width="13.7109375" customWidth="1" style="24" min="16134" max="16134"/>
    <col width="8.5703125" customWidth="1" style="24" min="16135" max="16135"/>
    <col width="8.42578125" customWidth="1" style="24" min="16136" max="16136"/>
    <col width="10" customWidth="1" style="24" min="16137" max="16137"/>
    <col width="11.85546875" customWidth="1" style="24" min="16138" max="16138"/>
    <col width="9.42578125" customWidth="1" style="24" min="16139" max="16139"/>
    <col width="13.85546875" customWidth="1" style="24" min="16140" max="16140"/>
    <col width="9.5703125" customWidth="1" style="24" min="16141" max="16141"/>
    <col width="10.28515625" customWidth="1" style="24" min="16142" max="16142"/>
    <col width="9.5703125" customWidth="1" style="24" min="16143" max="16143"/>
    <col width="10.140625" customWidth="1" style="24" min="16144" max="16145"/>
    <col width="0.85546875" customWidth="1" style="24" min="16146" max="16384"/>
  </cols>
  <sheetData>
    <row r="1" ht="15" customFormat="1" customHeight="1" s="18">
      <c r="P1" s="963" t="inlineStr">
        <is>
          <t>Форма № 19 (19д)</t>
        </is>
      </c>
    </row>
    <row r="2" ht="11.25" customFormat="1" customHeight="1" s="18">
      <c r="P2" s="963" t="n"/>
      <c r="Q2" s="963" t="n"/>
    </row>
    <row r="3" ht="21.75" customFormat="1" customHeight="1" s="1">
      <c r="A3" s="827" t="inlineStr">
        <is>
          <t>Расчет затрат на командировки</t>
        </is>
      </c>
    </row>
    <row r="4" ht="31.5" customFormat="1" customHeight="1" s="1">
      <c r="B4" s="1029" t="inlineStr">
        <is>
          <t>ТЕМА</t>
        </is>
      </c>
      <c r="C4" s="1409" t="n"/>
      <c r="D4" s="1409" t="n"/>
      <c r="E4" s="1409" t="n"/>
      <c r="F4" s="1409" t="n"/>
      <c r="G4" s="1409" t="n"/>
      <c r="H4" s="1409" t="n"/>
      <c r="I4" s="1409" t="n"/>
      <c r="J4" s="1409" t="n"/>
      <c r="K4" s="1409" t="n"/>
      <c r="L4" s="1409" t="n"/>
      <c r="M4" s="1409" t="n"/>
      <c r="N4" s="1409" t="n"/>
      <c r="O4" s="1409" t="n"/>
      <c r="P4" s="1409" t="n"/>
      <c r="Q4" s="230" t="n"/>
    </row>
    <row r="5" ht="15" customFormat="1" customHeight="1" s="3">
      <c r="E5" s="1097" t="inlineStr">
        <is>
          <t>(наименование, шифр товара, работы, услуги)</t>
        </is>
      </c>
      <c r="K5" s="487" t="n"/>
      <c r="L5" s="487" t="n"/>
      <c r="M5" s="24" t="n"/>
      <c r="N5" s="24" t="n"/>
      <c r="O5" s="24" t="n"/>
      <c r="P5" s="24" t="n"/>
      <c r="Q5" s="24" t="n"/>
      <c r="R5" s="24" t="n"/>
      <c r="S5" s="24" t="n"/>
      <c r="T5" s="24" t="n"/>
      <c r="U5" s="24" t="n"/>
      <c r="V5" s="24" t="n"/>
      <c r="W5" s="24" t="n"/>
    </row>
    <row r="6" ht="13.5" customHeight="1" s="794">
      <c r="A6" s="1238" t="n"/>
      <c r="Q6" s="260" t="n"/>
    </row>
    <row r="7">
      <c r="A7" s="849" t="inlineStr">
        <is>
          <t>№ п/п</t>
        </is>
      </c>
      <c r="B7" s="849" t="inlineStr">
        <is>
          <t>Пункт
командировки</t>
        </is>
      </c>
      <c r="C7" s="1153" t="inlineStr">
        <is>
          <t>Количество командируемых работников (чел.)</t>
        </is>
      </c>
      <c r="D7" s="1153" t="inlineStr">
        <is>
          <t>Продолжительность пребывания в командировке одного работника (дней)</t>
        </is>
      </c>
      <c r="E7" s="1153" t="inlineStr">
        <is>
          <t>Продолжительность пребывания в командировке командируемых работников
(человеко-дни)</t>
        </is>
      </c>
      <c r="F7" s="1153" t="inlineStr">
        <is>
          <t>Всего затрат (руб.)</t>
        </is>
      </c>
      <c r="G7" s="1062" t="inlineStr">
        <is>
          <t>в том числе:</t>
        </is>
      </c>
      <c r="H7" s="1412" t="n"/>
      <c r="I7" s="1412" t="n"/>
      <c r="J7" s="1412" t="n"/>
      <c r="K7" s="1412" t="n"/>
      <c r="L7" s="1412" t="n"/>
      <c r="M7" s="1412" t="n"/>
      <c r="N7" s="1412" t="n"/>
      <c r="O7" s="1412" t="n"/>
      <c r="P7" s="1412" t="n"/>
      <c r="Q7" s="1410" t="n"/>
    </row>
    <row r="8" ht="36" customHeight="1" s="794">
      <c r="A8" s="1418" t="n"/>
      <c r="B8" s="1418" t="n"/>
      <c r="C8" s="1419" t="n"/>
      <c r="D8" s="1419" t="n"/>
      <c r="E8" s="1419" t="n"/>
      <c r="F8" s="1419" t="n"/>
      <c r="G8" s="1072" t="inlineStr">
        <is>
          <t>суточные (руб.)</t>
        </is>
      </c>
      <c r="H8" s="1412" t="n"/>
      <c r="I8" s="849" t="inlineStr">
        <is>
          <t xml:space="preserve"> средний заработок за дни нахождения в пути</t>
        </is>
      </c>
      <c r="J8" s="1412" t="n"/>
      <c r="K8" s="1410" t="n"/>
      <c r="L8" s="849" t="inlineStr">
        <is>
          <t>отчисления на обязательное социальное страхование
(руб.)</t>
        </is>
      </c>
      <c r="M8" s="1153" t="inlineStr">
        <is>
          <t>затраты по найму жилого помещения
(руб.)</t>
        </is>
      </c>
      <c r="N8" s="1412" t="n"/>
      <c r="O8" s="849" t="inlineStr">
        <is>
          <t>проезд (в оба конца)
(руб.)</t>
        </is>
      </c>
      <c r="P8" s="1410" t="n"/>
      <c r="Q8" s="849" t="inlineStr">
        <is>
          <t>другие
расходы
(руб.)</t>
        </is>
      </c>
    </row>
    <row r="9" ht="30.75" customHeight="1" s="794">
      <c r="A9" s="1413" t="n"/>
      <c r="B9" s="1413" t="n"/>
      <c r="C9" s="1414" t="n"/>
      <c r="D9" s="1414" t="n"/>
      <c r="E9" s="1414" t="n"/>
      <c r="F9" s="1414" t="n"/>
      <c r="G9" s="1153" t="inlineStr">
        <is>
          <t>в день</t>
        </is>
      </c>
      <c r="H9" s="1072" t="inlineStr">
        <is>
          <t>всего</t>
        </is>
      </c>
      <c r="I9" s="1153" t="inlineStr">
        <is>
          <t>средний заработок
(руб.)</t>
        </is>
      </c>
      <c r="J9" s="849" t="inlineStr">
        <is>
          <t>количество дней в пути</t>
        </is>
      </c>
      <c r="K9" s="1153" t="inlineStr">
        <is>
          <t>всего
(руб.)</t>
        </is>
      </c>
      <c r="L9" s="1413" t="n"/>
      <c r="M9" s="1072" t="inlineStr">
        <is>
          <t>в день</t>
        </is>
      </c>
      <c r="N9" s="1072" t="inlineStr">
        <is>
          <t>всего</t>
        </is>
      </c>
      <c r="O9" s="849" t="inlineStr">
        <is>
          <t>стоимость проезда</t>
        </is>
      </c>
      <c r="P9" s="1062" t="inlineStr">
        <is>
          <t>всего</t>
        </is>
      </c>
      <c r="Q9" s="1413" t="n"/>
    </row>
    <row r="10" customFormat="1" s="3">
      <c r="A10" s="1062" t="n">
        <v>1</v>
      </c>
      <c r="B10" s="1062" t="n">
        <v>2</v>
      </c>
      <c r="C10" s="1062" t="n">
        <v>3</v>
      </c>
      <c r="D10" s="1062" t="n">
        <v>4</v>
      </c>
      <c r="E10" s="1062" t="n">
        <v>5</v>
      </c>
      <c r="F10" s="1062" t="n">
        <v>6</v>
      </c>
      <c r="G10" s="1062" t="n">
        <v>7</v>
      </c>
      <c r="H10" s="1062" t="n">
        <v>8</v>
      </c>
      <c r="I10" s="1062" t="n">
        <v>9</v>
      </c>
      <c r="J10" s="1062" t="n">
        <v>10</v>
      </c>
      <c r="K10" s="1062" t="n">
        <v>11</v>
      </c>
      <c r="L10" s="1062" t="n">
        <v>12</v>
      </c>
      <c r="M10" s="1062" t="n">
        <v>13</v>
      </c>
      <c r="N10" s="1062" t="n">
        <v>14</v>
      </c>
      <c r="O10" s="1062" t="n">
        <v>15</v>
      </c>
      <c r="P10" s="1062" t="n">
        <v>16</v>
      </c>
      <c r="Q10" s="1062" t="n">
        <v>17</v>
      </c>
    </row>
    <row r="11" ht="16.5" customFormat="1" customHeight="1" s="1" thickBot="1">
      <c r="A11" s="1062" t="inlineStr">
        <is>
          <t>1.</t>
        </is>
      </c>
      <c r="B11" s="1062" t="inlineStr">
        <is>
          <t>-</t>
        </is>
      </c>
      <c r="C11" s="1062" t="inlineStr">
        <is>
          <t>-</t>
        </is>
      </c>
      <c r="D11" s="1062" t="inlineStr">
        <is>
          <t>-</t>
        </is>
      </c>
      <c r="E11" s="1062" t="inlineStr">
        <is>
          <t>-</t>
        </is>
      </c>
      <c r="F11" s="1062" t="inlineStr">
        <is>
          <t>-</t>
        </is>
      </c>
      <c r="G11" s="1062" t="inlineStr">
        <is>
          <t>-</t>
        </is>
      </c>
      <c r="H11" s="1062" t="inlineStr">
        <is>
          <t>-</t>
        </is>
      </c>
      <c r="I11" s="1062" t="inlineStr">
        <is>
          <t>-</t>
        </is>
      </c>
      <c r="J11" s="1062" t="inlineStr">
        <is>
          <t>-</t>
        </is>
      </c>
      <c r="K11" s="1062" t="inlineStr">
        <is>
          <t>-</t>
        </is>
      </c>
      <c r="L11" s="1062" t="inlineStr">
        <is>
          <t>-</t>
        </is>
      </c>
      <c r="M11" s="1062" t="inlineStr">
        <is>
          <t>-</t>
        </is>
      </c>
      <c r="N11" s="1062" t="inlineStr">
        <is>
          <t>-</t>
        </is>
      </c>
      <c r="O11" s="1062" t="inlineStr">
        <is>
          <t>-</t>
        </is>
      </c>
      <c r="P11" s="1062" t="inlineStr">
        <is>
          <t>-</t>
        </is>
      </c>
      <c r="Q11" s="1062" t="inlineStr">
        <is>
          <t>-</t>
        </is>
      </c>
    </row>
    <row r="12" ht="30.75" customFormat="1" customHeight="1" s="1">
      <c r="A12" s="1241" t="inlineStr">
        <is>
          <t>ИТОГО суммарно по затратам</t>
        </is>
      </c>
      <c r="B12" s="1507" t="inlineStr">
        <is>
          <t>отчетный период / период, предшествующий планируемому ( ____г.)</t>
        </is>
      </c>
      <c r="C12" s="1508" t="n"/>
      <c r="D12" s="1085" t="inlineStr">
        <is>
          <t>-</t>
        </is>
      </c>
      <c r="E12" s="1085" t="inlineStr">
        <is>
          <t>-</t>
        </is>
      </c>
      <c r="F12" s="1085" t="inlineStr">
        <is>
          <t>-</t>
        </is>
      </c>
      <c r="G12" s="1085" t="inlineStr">
        <is>
          <t>-</t>
        </is>
      </c>
      <c r="H12" s="1085" t="inlineStr">
        <is>
          <t>-</t>
        </is>
      </c>
      <c r="I12" s="1085" t="inlineStr">
        <is>
          <t>-</t>
        </is>
      </c>
      <c r="J12" s="1085" t="inlineStr">
        <is>
          <t>-</t>
        </is>
      </c>
      <c r="K12" s="1085" t="inlineStr">
        <is>
          <t>-</t>
        </is>
      </c>
      <c r="L12" s="1085" t="inlineStr">
        <is>
          <t>-</t>
        </is>
      </c>
      <c r="M12" s="1085" t="inlineStr">
        <is>
          <t>-</t>
        </is>
      </c>
      <c r="N12" s="1085" t="inlineStr">
        <is>
          <t>-</t>
        </is>
      </c>
      <c r="O12" s="1085" t="inlineStr">
        <is>
          <t>-</t>
        </is>
      </c>
      <c r="P12" s="1085" t="inlineStr">
        <is>
          <t>-</t>
        </is>
      </c>
      <c r="Q12" s="1085" t="inlineStr">
        <is>
          <t>-</t>
        </is>
      </c>
    </row>
    <row r="13" ht="17.25" customFormat="1" customHeight="1" s="1">
      <c r="A13" s="1418" t="n"/>
      <c r="B13" s="1509" t="inlineStr">
        <is>
          <t>применяемый индекс цен</t>
        </is>
      </c>
      <c r="C13" s="1410" t="n"/>
      <c r="D13" s="1062" t="inlineStr">
        <is>
          <t>X</t>
        </is>
      </c>
      <c r="E13" s="1062" t="inlineStr">
        <is>
          <t>X</t>
        </is>
      </c>
      <c r="F13" s="1062" t="inlineStr">
        <is>
          <t>-</t>
        </is>
      </c>
      <c r="G13" s="1062" t="inlineStr">
        <is>
          <t>X</t>
        </is>
      </c>
      <c r="H13" s="1062" t="inlineStr">
        <is>
          <t>-</t>
        </is>
      </c>
      <c r="I13" s="1062" t="inlineStr">
        <is>
          <t>-</t>
        </is>
      </c>
      <c r="J13" s="1062" t="inlineStr">
        <is>
          <t>X</t>
        </is>
      </c>
      <c r="K13" s="1062" t="inlineStr">
        <is>
          <t>-</t>
        </is>
      </c>
      <c r="L13" s="1062" t="inlineStr">
        <is>
          <t>-</t>
        </is>
      </c>
      <c r="M13" s="1062" t="inlineStr">
        <is>
          <t>X</t>
        </is>
      </c>
      <c r="N13" s="1062" t="inlineStr">
        <is>
          <t>-</t>
        </is>
      </c>
      <c r="O13" s="1062" t="inlineStr">
        <is>
          <t>X</t>
        </is>
      </c>
      <c r="P13" s="1062" t="inlineStr">
        <is>
          <t>-</t>
        </is>
      </c>
      <c r="Q13" s="1062" t="inlineStr">
        <is>
          <t>-</t>
        </is>
      </c>
    </row>
    <row r="14" ht="19.5" customFormat="1" customHeight="1" s="1">
      <c r="A14" s="1413" t="n"/>
      <c r="B14" s="1509" t="inlineStr">
        <is>
          <t>планируемый период ( ____г.)</t>
        </is>
      </c>
      <c r="C14" s="1410" t="n"/>
      <c r="D14" s="1062" t="inlineStr">
        <is>
          <t>-</t>
        </is>
      </c>
      <c r="E14" s="1062" t="inlineStr">
        <is>
          <t>-</t>
        </is>
      </c>
      <c r="F14" s="1062" t="inlineStr">
        <is>
          <t>-</t>
        </is>
      </c>
      <c r="G14" s="1062" t="inlineStr">
        <is>
          <t>-</t>
        </is>
      </c>
      <c r="H14" s="1062" t="inlineStr">
        <is>
          <t>-</t>
        </is>
      </c>
      <c r="I14" s="1062" t="inlineStr">
        <is>
          <t>-</t>
        </is>
      </c>
      <c r="J14" s="1062" t="inlineStr">
        <is>
          <t>-</t>
        </is>
      </c>
      <c r="K14" s="1062" t="inlineStr">
        <is>
          <t>-</t>
        </is>
      </c>
      <c r="L14" s="1062" t="inlineStr">
        <is>
          <t>-</t>
        </is>
      </c>
      <c r="M14" s="1062" t="inlineStr">
        <is>
          <t>-</t>
        </is>
      </c>
      <c r="N14" s="1062" t="inlineStr">
        <is>
          <t>-</t>
        </is>
      </c>
      <c r="O14" s="1062" t="inlineStr">
        <is>
          <t>-</t>
        </is>
      </c>
      <c r="P14" s="1062" t="inlineStr">
        <is>
          <t>-</t>
        </is>
      </c>
      <c r="Q14" s="1062" t="inlineStr">
        <is>
          <t>-</t>
        </is>
      </c>
    </row>
    <row r="15" ht="41.25" customHeight="1" s="794">
      <c r="A15" s="261" t="n"/>
      <c r="B15" s="262" t="n"/>
      <c r="C15" s="262" t="n"/>
      <c r="D15" s="969" t="n"/>
      <c r="E15" s="969" t="n"/>
      <c r="F15" s="1064" t="n"/>
      <c r="G15" s="1064" t="n"/>
      <c r="H15" s="1064" t="n"/>
      <c r="I15" s="1064" t="n"/>
      <c r="J15" s="1064" t="n"/>
      <c r="K15" s="1064" t="n"/>
      <c r="L15" s="1064" t="n"/>
      <c r="M15" s="1064" t="n"/>
      <c r="N15" s="1064" t="n"/>
      <c r="O15" s="1064" t="n"/>
      <c r="P15" s="1064" t="n"/>
      <c r="Q15" s="969" t="n"/>
    </row>
    <row r="16" ht="26.25" customFormat="1" customHeight="1" s="491">
      <c r="A16" s="1157" t="inlineStr">
        <is>
          <t>Проректор по научной работе</t>
        </is>
      </c>
      <c r="D16" s="1157" t="inlineStr">
        <is>
          <t>Начальник ОФЭиАУ НИОКР</t>
        </is>
      </c>
      <c r="F16" s="1157" t="n"/>
      <c r="H16" s="1157" t="inlineStr">
        <is>
          <t>Ответственный исполнитель</t>
        </is>
      </c>
      <c r="M16" s="8" t="inlineStr">
        <is>
          <t>Руководитель договора</t>
        </is>
      </c>
    </row>
    <row r="17" ht="35.25" customFormat="1" customHeight="1" s="263">
      <c r="A17" s="1239" t="inlineStr">
        <is>
          <t>_____________________ Ю.В. Фомин</t>
        </is>
      </c>
      <c r="D17" s="1239" t="inlineStr">
        <is>
          <t>_____________________ Н.О. Васецкая</t>
        </is>
      </c>
      <c r="E17" s="1239" t="n"/>
      <c r="F17" s="1239" t="n"/>
      <c r="H17" s="484" t="inlineStr">
        <is>
          <t>_____________________ И.О. Фамилия</t>
        </is>
      </c>
      <c r="I17" s="22" t="n"/>
      <c r="J17" s="24" t="n"/>
      <c r="K17" s="24" t="n"/>
      <c r="M17" s="484" t="inlineStr">
        <is>
          <t>_____________________ А.И. Боровков</t>
        </is>
      </c>
      <c r="P17" s="264" t="n"/>
      <c r="Q17" s="264" t="n"/>
    </row>
    <row r="18" ht="18" customHeight="1" s="794">
      <c r="A18" s="1240" t="inlineStr">
        <is>
          <t xml:space="preserve">  (подпись)                                       (Ф.И.О.)</t>
        </is>
      </c>
      <c r="D18" s="1112" t="inlineStr">
        <is>
          <t xml:space="preserve">  (подпись)                                     (Ф.И.О.)</t>
        </is>
      </c>
      <c r="E18" s="1240" t="n"/>
      <c r="F18" s="1240" t="n"/>
      <c r="H18" s="63" t="inlineStr">
        <is>
          <t xml:space="preserve">  (подпись)                                        (Ф.И.О.)</t>
        </is>
      </c>
      <c r="I18" s="190" t="n"/>
      <c r="M18" s="106" t="inlineStr">
        <is>
          <t>(подпись)                                               (Ф.И.О.)</t>
        </is>
      </c>
      <c r="P18" s="969" t="n"/>
      <c r="Q18" s="969" t="n"/>
    </row>
    <row r="19" ht="21" customHeight="1" s="794">
      <c r="A19" s="265" t="inlineStr">
        <is>
          <t>«____» __________________ 2026 г.</t>
        </is>
      </c>
      <c r="B19" s="266" t="n"/>
      <c r="C19" s="266" t="n"/>
      <c r="D19" s="265" t="inlineStr">
        <is>
          <t>«____» __________________ 2026 г.</t>
        </is>
      </c>
      <c r="E19" s="266" t="n"/>
      <c r="F19" s="266" t="n"/>
      <c r="H19" s="265" t="inlineStr">
        <is>
          <t>«____» __________________ 2026 г.</t>
        </is>
      </c>
      <c r="I19" s="22" t="n"/>
      <c r="M19" s="265" t="inlineStr">
        <is>
          <t>«____» __________________ 2026 г.</t>
        </is>
      </c>
      <c r="P19" s="969" t="n"/>
      <c r="Q19" s="969" t="n"/>
    </row>
    <row r="20" ht="14.25" customFormat="1" customHeight="1" s="3">
      <c r="Y20" s="61" t="n"/>
    </row>
    <row r="21" ht="18.75" customFormat="1" customHeight="1" s="18">
      <c r="E21" s="252" t="n"/>
      <c r="F21" s="252" t="n"/>
      <c r="Y21" s="46" t="n"/>
    </row>
    <row r="22" ht="18.75" customFormat="1" customHeight="1" s="3">
      <c r="E22" s="8" t="n"/>
      <c r="F22" s="8" t="n"/>
      <c r="G22" s="8" t="n"/>
      <c r="H22" s="1157" t="n"/>
      <c r="R22" s="240" t="n"/>
      <c r="S22" s="240" t="n"/>
      <c r="T22" s="240" t="n"/>
      <c r="U22" s="240" t="n"/>
      <c r="V22" s="240" t="n"/>
      <c r="W22" s="240" t="n"/>
      <c r="X22" s="240" t="n"/>
      <c r="Y22" s="240" t="n"/>
      <c r="Z22" s="240" t="n"/>
      <c r="AA22" s="240" t="n"/>
      <c r="AB22" s="240" t="n"/>
      <c r="AC22" s="240" t="n"/>
      <c r="AD22" s="240" t="n"/>
      <c r="AE22" s="240" t="n"/>
      <c r="AF22" s="240" t="n"/>
      <c r="AG22" s="240" t="n"/>
      <c r="AH22" s="240" t="n"/>
      <c r="AI22" s="240" t="n"/>
      <c r="AJ22" s="240" t="n"/>
      <c r="AK22" s="240" t="n"/>
      <c r="AL22" s="240" t="n"/>
      <c r="AM22" s="240" t="n"/>
      <c r="AN22" s="240" t="n"/>
      <c r="AO22" s="240" t="n"/>
      <c r="AP22" s="240" t="n"/>
      <c r="AQ22" s="240" t="n"/>
      <c r="AR22" s="240" t="n"/>
      <c r="AS22" s="240" t="n"/>
      <c r="AT22" s="240" t="n"/>
      <c r="AU22" s="240" t="n"/>
      <c r="AV22" s="240" t="n"/>
      <c r="AW22" s="240" t="n"/>
      <c r="AX22" s="240" t="n"/>
      <c r="AY22" s="240" t="n"/>
      <c r="AZ22" s="240" t="n"/>
      <c r="BA22" s="240" t="n"/>
      <c r="BB22" s="240" t="n"/>
      <c r="BC22" s="240" t="n"/>
      <c r="BD22" s="240" t="n"/>
      <c r="BE22" s="240" t="n"/>
      <c r="BF22" s="240" t="n"/>
      <c r="BG22" s="240" t="n"/>
      <c r="BH22" s="240" t="n"/>
      <c r="BI22" s="240" t="n"/>
    </row>
    <row r="23" ht="36.75" customHeight="1" s="794">
      <c r="E23" s="263" t="n"/>
      <c r="F23" s="263" t="n"/>
      <c r="G23" s="263" t="n"/>
      <c r="H23" s="263" t="n"/>
      <c r="R23" s="18" t="n"/>
      <c r="S23" s="18" t="n"/>
      <c r="T23" s="18" t="n"/>
      <c r="U23" s="18" t="n"/>
      <c r="V23" s="18" t="n"/>
      <c r="W23" s="18" t="n"/>
      <c r="X23" s="18" t="n"/>
      <c r="Y23" s="18" t="n"/>
      <c r="Z23" s="18" t="n"/>
      <c r="AA23" s="18" t="n"/>
      <c r="AB23" s="18" t="n"/>
      <c r="AC23" s="18" t="n"/>
      <c r="AD23" s="18" t="n"/>
      <c r="AE23" s="18" t="n"/>
      <c r="AF23" s="18" t="n"/>
      <c r="AG23" s="18" t="n"/>
      <c r="AH23" s="18" t="n"/>
      <c r="AI23" s="18" t="n"/>
      <c r="AJ23" s="18" t="n"/>
      <c r="AK23" s="18" t="n"/>
      <c r="AL23" s="18" t="n"/>
      <c r="AM23" s="18" t="n"/>
      <c r="AN23" s="18" t="n"/>
      <c r="AO23" s="18" t="n"/>
      <c r="AP23" s="18" t="n"/>
      <c r="AQ23" s="18" t="n"/>
      <c r="AR23" s="18" t="n"/>
      <c r="AS23" s="18" t="n"/>
      <c r="AT23" s="18" t="n"/>
      <c r="AU23" s="18" t="n"/>
      <c r="AV23" s="18" t="n"/>
      <c r="AW23" s="18" t="n"/>
      <c r="AX23" s="18" t="n"/>
      <c r="AY23" s="18" t="n"/>
      <c r="AZ23" s="18" t="n"/>
      <c r="BA23" s="18" t="n"/>
      <c r="BB23" s="18" t="n"/>
      <c r="BC23" s="18" t="n"/>
      <c r="BD23" s="18" t="n"/>
      <c r="BE23" s="18" t="n"/>
      <c r="BF23" s="18" t="n"/>
      <c r="BG23" s="18" t="n"/>
      <c r="BH23" s="18" t="n"/>
      <c r="BI23" s="18" t="n"/>
    </row>
    <row r="24" ht="15.75" customHeight="1" s="794">
      <c r="E24" s="106" t="n"/>
      <c r="F24" s="106" t="n"/>
      <c r="G24" s="106" t="n"/>
      <c r="H24" s="106" t="n"/>
      <c r="R24" s="3" t="n"/>
      <c r="S24" s="3" t="n"/>
      <c r="T24" s="3" t="n"/>
      <c r="U24" s="3" t="n"/>
      <c r="V24" s="3" t="n"/>
      <c r="W24" s="3" t="n"/>
      <c r="X24" s="3" t="n"/>
      <c r="Y24" s="3" t="n"/>
      <c r="Z24" s="3" t="n"/>
      <c r="AA24" s="3" t="n"/>
      <c r="AB24" s="3" t="n"/>
      <c r="AC24" s="3" t="n"/>
      <c r="AD24" s="3" t="n"/>
      <c r="AE24" s="3" t="n"/>
      <c r="AF24" s="3" t="n"/>
      <c r="AG24" s="3" t="n"/>
      <c r="AH24" s="3" t="n"/>
      <c r="AI24" s="3" t="n"/>
      <c r="AJ24" s="3" t="n"/>
      <c r="AK24" s="3" t="n"/>
      <c r="AL24" s="3" t="n"/>
      <c r="AM24" s="3" t="n"/>
      <c r="AN24" s="3" t="n"/>
      <c r="AO24" s="3" t="n"/>
      <c r="AP24" s="3" t="n"/>
      <c r="AQ24" s="3" t="n"/>
      <c r="AR24" s="3" t="n"/>
      <c r="AS24" s="3" t="n"/>
      <c r="AT24" s="3" t="n"/>
      <c r="AU24" s="3" t="n"/>
      <c r="AV24" s="3" t="n"/>
      <c r="AW24" s="3" t="n"/>
      <c r="AX24" s="3" t="n"/>
      <c r="AY24" s="3" t="n"/>
      <c r="AZ24" s="3" t="n"/>
      <c r="BA24" s="3" t="n"/>
      <c r="BB24" s="3" t="n"/>
      <c r="BC24" s="3" t="n"/>
      <c r="BD24" s="3" t="n"/>
      <c r="BE24" s="3" t="n"/>
      <c r="BF24" s="3" t="n"/>
      <c r="BG24" s="3" t="n"/>
      <c r="BH24" s="3" t="n"/>
      <c r="BI24" s="3" t="n"/>
    </row>
    <row r="25" ht="20.25" customHeight="1" s="794">
      <c r="E25" s="266" t="n"/>
      <c r="F25" s="266" t="n"/>
      <c r="G25" s="266" t="n"/>
      <c r="H25" s="969" t="n"/>
      <c r="R25" s="18" t="n"/>
      <c r="S25" s="18" t="n"/>
      <c r="T25" s="18" t="n"/>
      <c r="U25" s="18" t="n"/>
      <c r="V25" s="18" t="n"/>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row>
    <row r="26" ht="15" customHeight="1" s="794">
      <c r="R26" s="18" t="n"/>
      <c r="S26" s="18" t="n"/>
      <c r="T26" s="18" t="n"/>
      <c r="U26" s="18" t="n"/>
      <c r="V26" s="18"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row>
    <row r="27" ht="15" customHeight="1" s="794">
      <c r="R27" s="18" t="n"/>
      <c r="S27" s="18" t="n"/>
      <c r="T27" s="18" t="n"/>
      <c r="U27" s="18" t="n"/>
      <c r="V27" s="18" t="n"/>
      <c r="W27" s="18" t="n"/>
      <c r="X27" s="18" t="n"/>
      <c r="Y27" s="18" t="n"/>
      <c r="Z27" s="18" t="n"/>
      <c r="AA27" s="18" t="n"/>
      <c r="AB27" s="18" t="n"/>
      <c r="AC27" s="18" t="n"/>
      <c r="AD27" s="18" t="n"/>
      <c r="AE27" s="18" t="n"/>
      <c r="AF27" s="18" t="n"/>
      <c r="AG27" s="18" t="n"/>
      <c r="AH27" s="18" t="n"/>
      <c r="AI27" s="18" t="n"/>
      <c r="AJ27" s="18" t="n"/>
      <c r="AK27" s="18" t="n"/>
      <c r="AL27" s="18" t="n"/>
      <c r="AM27" s="18" t="n"/>
      <c r="AN27" s="18" t="n"/>
      <c r="AO27" s="18" t="n"/>
      <c r="AP27" s="18" t="n"/>
      <c r="AQ27" s="18" t="n"/>
      <c r="AR27" s="18" t="n"/>
      <c r="AS27" s="18" t="n"/>
      <c r="AT27" s="18" t="n"/>
      <c r="AU27" s="18" t="n"/>
      <c r="AV27" s="18" t="n"/>
      <c r="AW27" s="18" t="n"/>
      <c r="AX27" s="18" t="n"/>
      <c r="AY27" s="18" t="n"/>
      <c r="AZ27" s="18" t="n"/>
      <c r="BA27" s="18" t="n"/>
      <c r="BB27" s="18" t="n"/>
      <c r="BC27" s="18" t="n"/>
      <c r="BD27" s="18" t="n"/>
      <c r="BE27" s="18" t="n"/>
      <c r="BF27" s="18" t="n"/>
      <c r="BG27" s="18" t="n"/>
      <c r="BH27" s="18" t="n"/>
      <c r="BI27" s="18" t="n"/>
    </row>
    <row r="28" ht="15" customHeight="1" s="794">
      <c r="R28" s="240" t="n"/>
      <c r="S28" s="240" t="n"/>
      <c r="T28" s="240" t="n"/>
      <c r="U28" s="240" t="n"/>
      <c r="V28" s="240" t="n"/>
      <c r="W28" s="240" t="n"/>
      <c r="X28" s="240" t="n"/>
      <c r="Y28" s="240" t="n"/>
      <c r="Z28" s="240" t="n"/>
      <c r="AA28" s="240" t="n"/>
      <c r="AB28" s="240" t="n"/>
      <c r="AC28" s="240" t="n"/>
      <c r="AD28" s="240" t="n"/>
      <c r="AE28" s="240" t="n"/>
      <c r="AF28" s="240" t="n"/>
      <c r="AG28" s="240" t="n"/>
      <c r="AH28" s="240" t="n"/>
      <c r="AI28" s="240" t="n"/>
      <c r="AJ28" s="240" t="n"/>
      <c r="AK28" s="240" t="n"/>
      <c r="AL28" s="240" t="n"/>
      <c r="AM28" s="240" t="n"/>
      <c r="AN28" s="240" t="n"/>
      <c r="AO28" s="240" t="n"/>
      <c r="AP28" s="240" t="n"/>
      <c r="AQ28" s="240" t="n"/>
      <c r="AR28" s="240" t="n"/>
      <c r="AS28" s="240" t="n"/>
      <c r="AT28" s="240" t="n"/>
      <c r="AU28" s="240" t="n"/>
      <c r="AV28" s="240" t="n"/>
      <c r="AW28" s="240" t="n"/>
      <c r="AX28" s="240" t="n"/>
      <c r="AY28" s="240" t="n"/>
      <c r="AZ28" s="240" t="n"/>
      <c r="BA28" s="240" t="n"/>
      <c r="BB28" s="240" t="n"/>
      <c r="BC28" s="240" t="n"/>
      <c r="BD28" s="240" t="n"/>
      <c r="BE28" s="240" t="n"/>
      <c r="BF28" s="240" t="n"/>
      <c r="BG28" s="240" t="n"/>
      <c r="BH28" s="240" t="n"/>
      <c r="BI28" s="240" t="n"/>
    </row>
    <row r="29" ht="15" customHeight="1" s="794">
      <c r="R29" s="18" t="n"/>
      <c r="S29" s="18" t="n"/>
      <c r="T29" s="18" t="n"/>
      <c r="U29" s="18" t="n"/>
      <c r="V29" s="18" t="n"/>
      <c r="W29" s="18" t="n"/>
      <c r="X29" s="18" t="n"/>
      <c r="Y29" s="18" t="n"/>
      <c r="Z29" s="18" t="n"/>
      <c r="AA29" s="18" t="n"/>
      <c r="AB29" s="18" t="n"/>
      <c r="AC29" s="18" t="n"/>
      <c r="AD29" s="18" t="n"/>
      <c r="AE29" s="18" t="n"/>
      <c r="AF29" s="18" t="n"/>
      <c r="AG29" s="18" t="n"/>
      <c r="AH29" s="18" t="n"/>
      <c r="AI29" s="18" t="n"/>
      <c r="AJ29" s="18" t="n"/>
      <c r="AK29" s="18" t="n"/>
      <c r="AL29" s="18" t="n"/>
      <c r="AM29" s="18" t="n"/>
      <c r="AN29" s="18" t="n"/>
      <c r="AO29" s="18" t="n"/>
      <c r="AP29" s="18" t="n"/>
      <c r="AQ29" s="18" t="n"/>
      <c r="AR29" s="18" t="n"/>
      <c r="AS29" s="18" t="n"/>
      <c r="AT29" s="18" t="n"/>
      <c r="AU29" s="18" t="n"/>
      <c r="AV29" s="18" t="n"/>
      <c r="AW29" s="18" t="n"/>
      <c r="AX29" s="18" t="n"/>
      <c r="AY29" s="18" t="n"/>
      <c r="AZ29" s="18" t="n"/>
      <c r="BA29" s="18" t="n"/>
      <c r="BB29" s="18" t="n"/>
      <c r="BC29" s="18" t="n"/>
      <c r="BD29" s="18" t="n"/>
      <c r="BE29" s="18" t="n"/>
      <c r="BF29" s="18" t="n"/>
      <c r="BG29" s="18" t="n"/>
      <c r="BH29" s="18" t="n"/>
      <c r="BI29" s="18" t="n"/>
    </row>
    <row r="30">
      <c r="R30" s="3" t="n"/>
      <c r="S30" s="3" t="n"/>
      <c r="T30" s="3" t="n"/>
      <c r="U30" s="3" t="n"/>
      <c r="V30" s="3" t="n"/>
      <c r="W30" s="3" t="n"/>
      <c r="X30" s="3" t="n"/>
      <c r="Y30" s="3" t="n"/>
      <c r="Z30" s="3" t="n"/>
      <c r="AA30" s="3" t="n"/>
      <c r="AB30" s="3" t="n"/>
      <c r="AC30" s="3" t="n"/>
      <c r="AD30" s="3" t="n"/>
      <c r="AE30" s="3" t="n"/>
      <c r="AF30" s="3" t="n"/>
      <c r="AG30" s="3" t="n"/>
      <c r="AH30" s="3" t="n"/>
      <c r="AI30" s="3" t="n"/>
      <c r="AJ30" s="3" t="n"/>
      <c r="AK30" s="3" t="n"/>
      <c r="AL30" s="3" t="n"/>
      <c r="AM30" s="3" t="n"/>
      <c r="AN30" s="3" t="n"/>
      <c r="AO30" s="3" t="n"/>
      <c r="AP30" s="3" t="n"/>
      <c r="AQ30" s="3" t="n"/>
      <c r="AR30" s="3" t="n"/>
      <c r="AS30" s="3" t="n"/>
      <c r="AT30" s="3" t="n"/>
      <c r="AU30" s="3" t="n"/>
      <c r="AV30" s="3" t="n"/>
      <c r="AW30" s="3" t="n"/>
      <c r="AX30" s="3" t="n"/>
      <c r="AY30" s="3" t="n"/>
      <c r="AZ30" s="3" t="n"/>
      <c r="BA30" s="3" t="n"/>
      <c r="BB30" s="3" t="n"/>
      <c r="BC30" s="3" t="n"/>
      <c r="BD30" s="3" t="n"/>
      <c r="BE30" s="3" t="n"/>
      <c r="BF30" s="3" t="n"/>
      <c r="BG30" s="3" t="n"/>
      <c r="BH30" s="3" t="n"/>
      <c r="BI30" s="3" t="n"/>
    </row>
    <row r="34">
      <c r="B34" s="954" t="n"/>
    </row>
  </sheetData>
  <mergeCells count="27">
    <mergeCell ref="A12:A14"/>
    <mergeCell ref="Q8:Q9"/>
    <mergeCell ref="A18:C18"/>
    <mergeCell ref="P1:Q1"/>
    <mergeCell ref="G8:H8"/>
    <mergeCell ref="A6:B6"/>
    <mergeCell ref="B12:C12"/>
    <mergeCell ref="C7:C9"/>
    <mergeCell ref="E7:E9"/>
    <mergeCell ref="L8:L9"/>
    <mergeCell ref="G7:Q7"/>
    <mergeCell ref="I8:K8"/>
    <mergeCell ref="A17:C17"/>
    <mergeCell ref="B14:C14"/>
    <mergeCell ref="B7:B9"/>
    <mergeCell ref="B13:C13"/>
    <mergeCell ref="D16:E16"/>
    <mergeCell ref="A3:Q3"/>
    <mergeCell ref="F7:F9"/>
    <mergeCell ref="B4:P4"/>
    <mergeCell ref="M8:N8"/>
    <mergeCell ref="O8:P8"/>
    <mergeCell ref="A7:A9"/>
    <mergeCell ref="E5:J5"/>
    <mergeCell ref="D7:D9"/>
    <mergeCell ref="H16:K16"/>
    <mergeCell ref="A16:C16"/>
  </mergeCells>
  <printOptions horizontalCentered="1"/>
  <pageMargins left="0.3543307086614174" right="0.2362204724409449" top="0.4330708661417323" bottom="0.7480314960629921" header="0.3149606299212598" footer="0.3149606299212598"/>
  <pageSetup orientation="landscape" paperSize="9" scale="66" fitToHeight="0" firstPageNumber="20" useFirstPageNumber="1"/>
</worksheet>
</file>

<file path=xl/worksheets/sheet28.xml><?xml version="1.0" encoding="utf-8"?>
<worksheet xmlns="http://schemas.openxmlformats.org/spreadsheetml/2006/main">
  <sheetPr>
    <tabColor rgb="FFFF0000"/>
    <outlinePr summaryBelow="1" summaryRight="1"/>
    <pageSetUpPr fitToPage="1"/>
  </sheetPr>
  <dimension ref="A1:H85"/>
  <sheetViews>
    <sheetView view="pageBreakPreview" zoomScale="65" zoomScaleNormal="65" zoomScaleSheetLayoutView="65" zoomScalePageLayoutView="30" workbookViewId="0">
      <selection activeCell="A5" sqref="A5"/>
    </sheetView>
  </sheetViews>
  <sheetFormatPr baseColWidth="8" defaultRowHeight="18.75"/>
  <cols>
    <col width="8.28515625" customWidth="1" style="17" min="1" max="1"/>
    <col width="63" customWidth="1" style="7" min="2" max="2"/>
    <col width="28.5703125" customWidth="1" style="7" min="3" max="3"/>
    <col width="21.140625" customWidth="1" style="7" min="4" max="4"/>
    <col width="22" customWidth="1" style="7" min="5" max="5"/>
    <col width="24.7109375" customWidth="1" style="7" min="6" max="6"/>
    <col width="20.42578125" customWidth="1" style="7" min="7" max="7"/>
    <col width="9.140625" customWidth="1" style="7" min="8" max="8"/>
    <col width="89.42578125" customWidth="1" style="7" min="9" max="9"/>
    <col width="9.140625" customWidth="1" style="7" min="10" max="256"/>
    <col width="8.28515625" customWidth="1" style="7" min="257" max="257"/>
    <col width="76.85546875" customWidth="1" style="7" min="258" max="258"/>
    <col width="29" customWidth="1" style="7" min="259" max="259"/>
    <col width="25.85546875" customWidth="1" style="7" min="260" max="260"/>
    <col width="24.140625" customWidth="1" style="7" min="261" max="261"/>
    <col width="28.140625" customWidth="1" style="7" min="262" max="262"/>
    <col width="20.42578125" customWidth="1" style="7" min="263" max="263"/>
    <col width="9.140625" customWidth="1" style="7" min="264" max="264"/>
    <col width="89.42578125" customWidth="1" style="7" min="265" max="265"/>
    <col width="9.140625" customWidth="1" style="7" min="266" max="512"/>
    <col width="8.28515625" customWidth="1" style="7" min="513" max="513"/>
    <col width="76.85546875" customWidth="1" style="7" min="514" max="514"/>
    <col width="29" customWidth="1" style="7" min="515" max="515"/>
    <col width="25.85546875" customWidth="1" style="7" min="516" max="516"/>
    <col width="24.140625" customWidth="1" style="7" min="517" max="517"/>
    <col width="28.140625" customWidth="1" style="7" min="518" max="518"/>
    <col width="20.42578125" customWidth="1" style="7" min="519" max="519"/>
    <col width="9.140625" customWidth="1" style="7" min="520" max="520"/>
    <col width="89.42578125" customWidth="1" style="7" min="521" max="521"/>
    <col width="9.140625" customWidth="1" style="7" min="522" max="768"/>
    <col width="8.28515625" customWidth="1" style="7" min="769" max="769"/>
    <col width="76.85546875" customWidth="1" style="7" min="770" max="770"/>
    <col width="29" customWidth="1" style="7" min="771" max="771"/>
    <col width="25.85546875" customWidth="1" style="7" min="772" max="772"/>
    <col width="24.140625" customWidth="1" style="7" min="773" max="773"/>
    <col width="28.140625" customWidth="1" style="7" min="774" max="774"/>
    <col width="20.42578125" customWidth="1" style="7" min="775" max="775"/>
    <col width="9.140625" customWidth="1" style="7" min="776" max="776"/>
    <col width="89.42578125" customWidth="1" style="7" min="777" max="777"/>
    <col width="9.140625" customWidth="1" style="7" min="778" max="1024"/>
    <col width="8.28515625" customWidth="1" style="7" min="1025" max="1025"/>
    <col width="76.85546875" customWidth="1" style="7" min="1026" max="1026"/>
    <col width="29" customWidth="1" style="7" min="1027" max="1027"/>
    <col width="25.85546875" customWidth="1" style="7" min="1028" max="1028"/>
    <col width="24.140625" customWidth="1" style="7" min="1029" max="1029"/>
    <col width="28.140625" customWidth="1" style="7" min="1030" max="1030"/>
    <col width="20.42578125" customWidth="1" style="7" min="1031" max="1031"/>
    <col width="9.140625" customWidth="1" style="7" min="1032" max="1032"/>
    <col width="89.42578125" customWidth="1" style="7" min="1033" max="1033"/>
    <col width="9.140625" customWidth="1" style="7" min="1034" max="1280"/>
    <col width="8.28515625" customWidth="1" style="7" min="1281" max="1281"/>
    <col width="76.85546875" customWidth="1" style="7" min="1282" max="1282"/>
    <col width="29" customWidth="1" style="7" min="1283" max="1283"/>
    <col width="25.85546875" customWidth="1" style="7" min="1284" max="1284"/>
    <col width="24.140625" customWidth="1" style="7" min="1285" max="1285"/>
    <col width="28.140625" customWidth="1" style="7" min="1286" max="1286"/>
    <col width="20.42578125" customWidth="1" style="7" min="1287" max="1287"/>
    <col width="9.140625" customWidth="1" style="7" min="1288" max="1288"/>
    <col width="89.42578125" customWidth="1" style="7" min="1289" max="1289"/>
    <col width="9.140625" customWidth="1" style="7" min="1290" max="1536"/>
    <col width="8.28515625" customWidth="1" style="7" min="1537" max="1537"/>
    <col width="76.85546875" customWidth="1" style="7" min="1538" max="1538"/>
    <col width="29" customWidth="1" style="7" min="1539" max="1539"/>
    <col width="25.85546875" customWidth="1" style="7" min="1540" max="1540"/>
    <col width="24.140625" customWidth="1" style="7" min="1541" max="1541"/>
    <col width="28.140625" customWidth="1" style="7" min="1542" max="1542"/>
    <col width="20.42578125" customWidth="1" style="7" min="1543" max="1543"/>
    <col width="9.140625" customWidth="1" style="7" min="1544" max="1544"/>
    <col width="89.42578125" customWidth="1" style="7" min="1545" max="1545"/>
    <col width="9.140625" customWidth="1" style="7" min="1546" max="1792"/>
    <col width="8.28515625" customWidth="1" style="7" min="1793" max="1793"/>
    <col width="76.85546875" customWidth="1" style="7" min="1794" max="1794"/>
    <col width="29" customWidth="1" style="7" min="1795" max="1795"/>
    <col width="25.85546875" customWidth="1" style="7" min="1796" max="1796"/>
    <col width="24.140625" customWidth="1" style="7" min="1797" max="1797"/>
    <col width="28.140625" customWidth="1" style="7" min="1798" max="1798"/>
    <col width="20.42578125" customWidth="1" style="7" min="1799" max="1799"/>
    <col width="9.140625" customWidth="1" style="7" min="1800" max="1800"/>
    <col width="89.42578125" customWidth="1" style="7" min="1801" max="1801"/>
    <col width="9.140625" customWidth="1" style="7" min="1802" max="2048"/>
    <col width="8.28515625" customWidth="1" style="7" min="2049" max="2049"/>
    <col width="76.85546875" customWidth="1" style="7" min="2050" max="2050"/>
    <col width="29" customWidth="1" style="7" min="2051" max="2051"/>
    <col width="25.85546875" customWidth="1" style="7" min="2052" max="2052"/>
    <col width="24.140625" customWidth="1" style="7" min="2053" max="2053"/>
    <col width="28.140625" customWidth="1" style="7" min="2054" max="2054"/>
    <col width="20.42578125" customWidth="1" style="7" min="2055" max="2055"/>
    <col width="9.140625" customWidth="1" style="7" min="2056" max="2056"/>
    <col width="89.42578125" customWidth="1" style="7" min="2057" max="2057"/>
    <col width="9.140625" customWidth="1" style="7" min="2058" max="2304"/>
    <col width="8.28515625" customWidth="1" style="7" min="2305" max="2305"/>
    <col width="76.85546875" customWidth="1" style="7" min="2306" max="2306"/>
    <col width="29" customWidth="1" style="7" min="2307" max="2307"/>
    <col width="25.85546875" customWidth="1" style="7" min="2308" max="2308"/>
    <col width="24.140625" customWidth="1" style="7" min="2309" max="2309"/>
    <col width="28.140625" customWidth="1" style="7" min="2310" max="2310"/>
    <col width="20.42578125" customWidth="1" style="7" min="2311" max="2311"/>
    <col width="9.140625" customWidth="1" style="7" min="2312" max="2312"/>
    <col width="89.42578125" customWidth="1" style="7" min="2313" max="2313"/>
    <col width="9.140625" customWidth="1" style="7" min="2314" max="2560"/>
    <col width="8.28515625" customWidth="1" style="7" min="2561" max="2561"/>
    <col width="76.85546875" customWidth="1" style="7" min="2562" max="2562"/>
    <col width="29" customWidth="1" style="7" min="2563" max="2563"/>
    <col width="25.85546875" customWidth="1" style="7" min="2564" max="2564"/>
    <col width="24.140625" customWidth="1" style="7" min="2565" max="2565"/>
    <col width="28.140625" customWidth="1" style="7" min="2566" max="2566"/>
    <col width="20.42578125" customWidth="1" style="7" min="2567" max="2567"/>
    <col width="9.140625" customWidth="1" style="7" min="2568" max="2568"/>
    <col width="89.42578125" customWidth="1" style="7" min="2569" max="2569"/>
    <col width="9.140625" customWidth="1" style="7" min="2570" max="2816"/>
    <col width="8.28515625" customWidth="1" style="7" min="2817" max="2817"/>
    <col width="76.85546875" customWidth="1" style="7" min="2818" max="2818"/>
    <col width="29" customWidth="1" style="7" min="2819" max="2819"/>
    <col width="25.85546875" customWidth="1" style="7" min="2820" max="2820"/>
    <col width="24.140625" customWidth="1" style="7" min="2821" max="2821"/>
    <col width="28.140625" customWidth="1" style="7" min="2822" max="2822"/>
    <col width="20.42578125" customWidth="1" style="7" min="2823" max="2823"/>
    <col width="9.140625" customWidth="1" style="7" min="2824" max="2824"/>
    <col width="89.42578125" customWidth="1" style="7" min="2825" max="2825"/>
    <col width="9.140625" customWidth="1" style="7" min="2826" max="3072"/>
    <col width="8.28515625" customWidth="1" style="7" min="3073" max="3073"/>
    <col width="76.85546875" customWidth="1" style="7" min="3074" max="3074"/>
    <col width="29" customWidth="1" style="7" min="3075" max="3075"/>
    <col width="25.85546875" customWidth="1" style="7" min="3076" max="3076"/>
    <col width="24.140625" customWidth="1" style="7" min="3077" max="3077"/>
    <col width="28.140625" customWidth="1" style="7" min="3078" max="3078"/>
    <col width="20.42578125" customWidth="1" style="7" min="3079" max="3079"/>
    <col width="9.140625" customWidth="1" style="7" min="3080" max="3080"/>
    <col width="89.42578125" customWidth="1" style="7" min="3081" max="3081"/>
    <col width="9.140625" customWidth="1" style="7" min="3082" max="3328"/>
    <col width="8.28515625" customWidth="1" style="7" min="3329" max="3329"/>
    <col width="76.85546875" customWidth="1" style="7" min="3330" max="3330"/>
    <col width="29" customWidth="1" style="7" min="3331" max="3331"/>
    <col width="25.85546875" customWidth="1" style="7" min="3332" max="3332"/>
    <col width="24.140625" customWidth="1" style="7" min="3333" max="3333"/>
    <col width="28.140625" customWidth="1" style="7" min="3334" max="3334"/>
    <col width="20.42578125" customWidth="1" style="7" min="3335" max="3335"/>
    <col width="9.140625" customWidth="1" style="7" min="3336" max="3336"/>
    <col width="89.42578125" customWidth="1" style="7" min="3337" max="3337"/>
    <col width="9.140625" customWidth="1" style="7" min="3338" max="3584"/>
    <col width="8.28515625" customWidth="1" style="7" min="3585" max="3585"/>
    <col width="76.85546875" customWidth="1" style="7" min="3586" max="3586"/>
    <col width="29" customWidth="1" style="7" min="3587" max="3587"/>
    <col width="25.85546875" customWidth="1" style="7" min="3588" max="3588"/>
    <col width="24.140625" customWidth="1" style="7" min="3589" max="3589"/>
    <col width="28.140625" customWidth="1" style="7" min="3590" max="3590"/>
    <col width="20.42578125" customWidth="1" style="7" min="3591" max="3591"/>
    <col width="9.140625" customWidth="1" style="7" min="3592" max="3592"/>
    <col width="89.42578125" customWidth="1" style="7" min="3593" max="3593"/>
    <col width="9.140625" customWidth="1" style="7" min="3594" max="3840"/>
    <col width="8.28515625" customWidth="1" style="7" min="3841" max="3841"/>
    <col width="76.85546875" customWidth="1" style="7" min="3842" max="3842"/>
    <col width="29" customWidth="1" style="7" min="3843" max="3843"/>
    <col width="25.85546875" customWidth="1" style="7" min="3844" max="3844"/>
    <col width="24.140625" customWidth="1" style="7" min="3845" max="3845"/>
    <col width="28.140625" customWidth="1" style="7" min="3846" max="3846"/>
    <col width="20.42578125" customWidth="1" style="7" min="3847" max="3847"/>
    <col width="9.140625" customWidth="1" style="7" min="3848" max="3848"/>
    <col width="89.42578125" customWidth="1" style="7" min="3849" max="3849"/>
    <col width="9.140625" customWidth="1" style="7" min="3850" max="4096"/>
    <col width="8.28515625" customWidth="1" style="7" min="4097" max="4097"/>
    <col width="76.85546875" customWidth="1" style="7" min="4098" max="4098"/>
    <col width="29" customWidth="1" style="7" min="4099" max="4099"/>
    <col width="25.85546875" customWidth="1" style="7" min="4100" max="4100"/>
    <col width="24.140625" customWidth="1" style="7" min="4101" max="4101"/>
    <col width="28.140625" customWidth="1" style="7" min="4102" max="4102"/>
    <col width="20.42578125" customWidth="1" style="7" min="4103" max="4103"/>
    <col width="9.140625" customWidth="1" style="7" min="4104" max="4104"/>
    <col width="89.42578125" customWidth="1" style="7" min="4105" max="4105"/>
    <col width="9.140625" customWidth="1" style="7" min="4106" max="4352"/>
    <col width="8.28515625" customWidth="1" style="7" min="4353" max="4353"/>
    <col width="76.85546875" customWidth="1" style="7" min="4354" max="4354"/>
    <col width="29" customWidth="1" style="7" min="4355" max="4355"/>
    <col width="25.85546875" customWidth="1" style="7" min="4356" max="4356"/>
    <col width="24.140625" customWidth="1" style="7" min="4357" max="4357"/>
    <col width="28.140625" customWidth="1" style="7" min="4358" max="4358"/>
    <col width="20.42578125" customWidth="1" style="7" min="4359" max="4359"/>
    <col width="9.140625" customWidth="1" style="7" min="4360" max="4360"/>
    <col width="89.42578125" customWidth="1" style="7" min="4361" max="4361"/>
    <col width="9.140625" customWidth="1" style="7" min="4362" max="4608"/>
    <col width="8.28515625" customWidth="1" style="7" min="4609" max="4609"/>
    <col width="76.85546875" customWidth="1" style="7" min="4610" max="4610"/>
    <col width="29" customWidth="1" style="7" min="4611" max="4611"/>
    <col width="25.85546875" customWidth="1" style="7" min="4612" max="4612"/>
    <col width="24.140625" customWidth="1" style="7" min="4613" max="4613"/>
    <col width="28.140625" customWidth="1" style="7" min="4614" max="4614"/>
    <col width="20.42578125" customWidth="1" style="7" min="4615" max="4615"/>
    <col width="9.140625" customWidth="1" style="7" min="4616" max="4616"/>
    <col width="89.42578125" customWidth="1" style="7" min="4617" max="4617"/>
    <col width="9.140625" customWidth="1" style="7" min="4618" max="4864"/>
    <col width="8.28515625" customWidth="1" style="7" min="4865" max="4865"/>
    <col width="76.85546875" customWidth="1" style="7" min="4866" max="4866"/>
    <col width="29" customWidth="1" style="7" min="4867" max="4867"/>
    <col width="25.85546875" customWidth="1" style="7" min="4868" max="4868"/>
    <col width="24.140625" customWidth="1" style="7" min="4869" max="4869"/>
    <col width="28.140625" customWidth="1" style="7" min="4870" max="4870"/>
    <col width="20.42578125" customWidth="1" style="7" min="4871" max="4871"/>
    <col width="9.140625" customWidth="1" style="7" min="4872" max="4872"/>
    <col width="89.42578125" customWidth="1" style="7" min="4873" max="4873"/>
    <col width="9.140625" customWidth="1" style="7" min="4874" max="5120"/>
    <col width="8.28515625" customWidth="1" style="7" min="5121" max="5121"/>
    <col width="76.85546875" customWidth="1" style="7" min="5122" max="5122"/>
    <col width="29" customWidth="1" style="7" min="5123" max="5123"/>
    <col width="25.85546875" customWidth="1" style="7" min="5124" max="5124"/>
    <col width="24.140625" customWidth="1" style="7" min="5125" max="5125"/>
    <col width="28.140625" customWidth="1" style="7" min="5126" max="5126"/>
    <col width="20.42578125" customWidth="1" style="7" min="5127" max="5127"/>
    <col width="9.140625" customWidth="1" style="7" min="5128" max="5128"/>
    <col width="89.42578125" customWidth="1" style="7" min="5129" max="5129"/>
    <col width="9.140625" customWidth="1" style="7" min="5130" max="5376"/>
    <col width="8.28515625" customWidth="1" style="7" min="5377" max="5377"/>
    <col width="76.85546875" customWidth="1" style="7" min="5378" max="5378"/>
    <col width="29" customWidth="1" style="7" min="5379" max="5379"/>
    <col width="25.85546875" customWidth="1" style="7" min="5380" max="5380"/>
    <col width="24.140625" customWidth="1" style="7" min="5381" max="5381"/>
    <col width="28.140625" customWidth="1" style="7" min="5382" max="5382"/>
    <col width="20.42578125" customWidth="1" style="7" min="5383" max="5383"/>
    <col width="9.140625" customWidth="1" style="7" min="5384" max="5384"/>
    <col width="89.42578125" customWidth="1" style="7" min="5385" max="5385"/>
    <col width="9.140625" customWidth="1" style="7" min="5386" max="5632"/>
    <col width="8.28515625" customWidth="1" style="7" min="5633" max="5633"/>
    <col width="76.85546875" customWidth="1" style="7" min="5634" max="5634"/>
    <col width="29" customWidth="1" style="7" min="5635" max="5635"/>
    <col width="25.85546875" customWidth="1" style="7" min="5636" max="5636"/>
    <col width="24.140625" customWidth="1" style="7" min="5637" max="5637"/>
    <col width="28.140625" customWidth="1" style="7" min="5638" max="5638"/>
    <col width="20.42578125" customWidth="1" style="7" min="5639" max="5639"/>
    <col width="9.140625" customWidth="1" style="7" min="5640" max="5640"/>
    <col width="89.42578125" customWidth="1" style="7" min="5641" max="5641"/>
    <col width="9.140625" customWidth="1" style="7" min="5642" max="5888"/>
    <col width="8.28515625" customWidth="1" style="7" min="5889" max="5889"/>
    <col width="76.85546875" customWidth="1" style="7" min="5890" max="5890"/>
    <col width="29" customWidth="1" style="7" min="5891" max="5891"/>
    <col width="25.85546875" customWidth="1" style="7" min="5892" max="5892"/>
    <col width="24.140625" customWidth="1" style="7" min="5893" max="5893"/>
    <col width="28.140625" customWidth="1" style="7" min="5894" max="5894"/>
    <col width="20.42578125" customWidth="1" style="7" min="5895" max="5895"/>
    <col width="9.140625" customWidth="1" style="7" min="5896" max="5896"/>
    <col width="89.42578125" customWidth="1" style="7" min="5897" max="5897"/>
    <col width="9.140625" customWidth="1" style="7" min="5898" max="6144"/>
    <col width="8.28515625" customWidth="1" style="7" min="6145" max="6145"/>
    <col width="76.85546875" customWidth="1" style="7" min="6146" max="6146"/>
    <col width="29" customWidth="1" style="7" min="6147" max="6147"/>
    <col width="25.85546875" customWidth="1" style="7" min="6148" max="6148"/>
    <col width="24.140625" customWidth="1" style="7" min="6149" max="6149"/>
    <col width="28.140625" customWidth="1" style="7" min="6150" max="6150"/>
    <col width="20.42578125" customWidth="1" style="7" min="6151" max="6151"/>
    <col width="9.140625" customWidth="1" style="7" min="6152" max="6152"/>
    <col width="89.42578125" customWidth="1" style="7" min="6153" max="6153"/>
    <col width="9.140625" customWidth="1" style="7" min="6154" max="6400"/>
    <col width="8.28515625" customWidth="1" style="7" min="6401" max="6401"/>
    <col width="76.85546875" customWidth="1" style="7" min="6402" max="6402"/>
    <col width="29" customWidth="1" style="7" min="6403" max="6403"/>
    <col width="25.85546875" customWidth="1" style="7" min="6404" max="6404"/>
    <col width="24.140625" customWidth="1" style="7" min="6405" max="6405"/>
    <col width="28.140625" customWidth="1" style="7" min="6406" max="6406"/>
    <col width="20.42578125" customWidth="1" style="7" min="6407" max="6407"/>
    <col width="9.140625" customWidth="1" style="7" min="6408" max="6408"/>
    <col width="89.42578125" customWidth="1" style="7" min="6409" max="6409"/>
    <col width="9.140625" customWidth="1" style="7" min="6410" max="6656"/>
    <col width="8.28515625" customWidth="1" style="7" min="6657" max="6657"/>
    <col width="76.85546875" customWidth="1" style="7" min="6658" max="6658"/>
    <col width="29" customWidth="1" style="7" min="6659" max="6659"/>
    <col width="25.85546875" customWidth="1" style="7" min="6660" max="6660"/>
    <col width="24.140625" customWidth="1" style="7" min="6661" max="6661"/>
    <col width="28.140625" customWidth="1" style="7" min="6662" max="6662"/>
    <col width="20.42578125" customWidth="1" style="7" min="6663" max="6663"/>
    <col width="9.140625" customWidth="1" style="7" min="6664" max="6664"/>
    <col width="89.42578125" customWidth="1" style="7" min="6665" max="6665"/>
    <col width="9.140625" customWidth="1" style="7" min="6666" max="6912"/>
    <col width="8.28515625" customWidth="1" style="7" min="6913" max="6913"/>
    <col width="76.85546875" customWidth="1" style="7" min="6914" max="6914"/>
    <col width="29" customWidth="1" style="7" min="6915" max="6915"/>
    <col width="25.85546875" customWidth="1" style="7" min="6916" max="6916"/>
    <col width="24.140625" customWidth="1" style="7" min="6917" max="6917"/>
    <col width="28.140625" customWidth="1" style="7" min="6918" max="6918"/>
    <col width="20.42578125" customWidth="1" style="7" min="6919" max="6919"/>
    <col width="9.140625" customWidth="1" style="7" min="6920" max="6920"/>
    <col width="89.42578125" customWidth="1" style="7" min="6921" max="6921"/>
    <col width="9.140625" customWidth="1" style="7" min="6922" max="7168"/>
    <col width="8.28515625" customWidth="1" style="7" min="7169" max="7169"/>
    <col width="76.85546875" customWidth="1" style="7" min="7170" max="7170"/>
    <col width="29" customWidth="1" style="7" min="7171" max="7171"/>
    <col width="25.85546875" customWidth="1" style="7" min="7172" max="7172"/>
    <col width="24.140625" customWidth="1" style="7" min="7173" max="7173"/>
    <col width="28.140625" customWidth="1" style="7" min="7174" max="7174"/>
    <col width="20.42578125" customWidth="1" style="7" min="7175" max="7175"/>
    <col width="9.140625" customWidth="1" style="7" min="7176" max="7176"/>
    <col width="89.42578125" customWidth="1" style="7" min="7177" max="7177"/>
    <col width="9.140625" customWidth="1" style="7" min="7178" max="7424"/>
    <col width="8.28515625" customWidth="1" style="7" min="7425" max="7425"/>
    <col width="76.85546875" customWidth="1" style="7" min="7426" max="7426"/>
    <col width="29" customWidth="1" style="7" min="7427" max="7427"/>
    <col width="25.85546875" customWidth="1" style="7" min="7428" max="7428"/>
    <col width="24.140625" customWidth="1" style="7" min="7429" max="7429"/>
    <col width="28.140625" customWidth="1" style="7" min="7430" max="7430"/>
    <col width="20.42578125" customWidth="1" style="7" min="7431" max="7431"/>
    <col width="9.140625" customWidth="1" style="7" min="7432" max="7432"/>
    <col width="89.42578125" customWidth="1" style="7" min="7433" max="7433"/>
    <col width="9.140625" customWidth="1" style="7" min="7434" max="7680"/>
    <col width="8.28515625" customWidth="1" style="7" min="7681" max="7681"/>
    <col width="76.85546875" customWidth="1" style="7" min="7682" max="7682"/>
    <col width="29" customWidth="1" style="7" min="7683" max="7683"/>
    <col width="25.85546875" customWidth="1" style="7" min="7684" max="7684"/>
    <col width="24.140625" customWidth="1" style="7" min="7685" max="7685"/>
    <col width="28.140625" customWidth="1" style="7" min="7686" max="7686"/>
    <col width="20.42578125" customWidth="1" style="7" min="7687" max="7687"/>
    <col width="9.140625" customWidth="1" style="7" min="7688" max="7688"/>
    <col width="89.42578125" customWidth="1" style="7" min="7689" max="7689"/>
    <col width="9.140625" customWidth="1" style="7" min="7690" max="7936"/>
    <col width="8.28515625" customWidth="1" style="7" min="7937" max="7937"/>
    <col width="76.85546875" customWidth="1" style="7" min="7938" max="7938"/>
    <col width="29" customWidth="1" style="7" min="7939" max="7939"/>
    <col width="25.85546875" customWidth="1" style="7" min="7940" max="7940"/>
    <col width="24.140625" customWidth="1" style="7" min="7941" max="7941"/>
    <col width="28.140625" customWidth="1" style="7" min="7942" max="7942"/>
    <col width="20.42578125" customWidth="1" style="7" min="7943" max="7943"/>
    <col width="9.140625" customWidth="1" style="7" min="7944" max="7944"/>
    <col width="89.42578125" customWidth="1" style="7" min="7945" max="7945"/>
    <col width="9.140625" customWidth="1" style="7" min="7946" max="8192"/>
    <col width="8.28515625" customWidth="1" style="7" min="8193" max="8193"/>
    <col width="76.85546875" customWidth="1" style="7" min="8194" max="8194"/>
    <col width="29" customWidth="1" style="7" min="8195" max="8195"/>
    <col width="25.85546875" customWidth="1" style="7" min="8196" max="8196"/>
    <col width="24.140625" customWidth="1" style="7" min="8197" max="8197"/>
    <col width="28.140625" customWidth="1" style="7" min="8198" max="8198"/>
    <col width="20.42578125" customWidth="1" style="7" min="8199" max="8199"/>
    <col width="9.140625" customWidth="1" style="7" min="8200" max="8200"/>
    <col width="89.42578125" customWidth="1" style="7" min="8201" max="8201"/>
    <col width="9.140625" customWidth="1" style="7" min="8202" max="8448"/>
    <col width="8.28515625" customWidth="1" style="7" min="8449" max="8449"/>
    <col width="76.85546875" customWidth="1" style="7" min="8450" max="8450"/>
    <col width="29" customWidth="1" style="7" min="8451" max="8451"/>
    <col width="25.85546875" customWidth="1" style="7" min="8452" max="8452"/>
    <col width="24.140625" customWidth="1" style="7" min="8453" max="8453"/>
    <col width="28.140625" customWidth="1" style="7" min="8454" max="8454"/>
    <col width="20.42578125" customWidth="1" style="7" min="8455" max="8455"/>
    <col width="9.140625" customWidth="1" style="7" min="8456" max="8456"/>
    <col width="89.42578125" customWidth="1" style="7" min="8457" max="8457"/>
    <col width="9.140625" customWidth="1" style="7" min="8458" max="8704"/>
    <col width="8.28515625" customWidth="1" style="7" min="8705" max="8705"/>
    <col width="76.85546875" customWidth="1" style="7" min="8706" max="8706"/>
    <col width="29" customWidth="1" style="7" min="8707" max="8707"/>
    <col width="25.85546875" customWidth="1" style="7" min="8708" max="8708"/>
    <col width="24.140625" customWidth="1" style="7" min="8709" max="8709"/>
    <col width="28.140625" customWidth="1" style="7" min="8710" max="8710"/>
    <col width="20.42578125" customWidth="1" style="7" min="8711" max="8711"/>
    <col width="9.140625" customWidth="1" style="7" min="8712" max="8712"/>
    <col width="89.42578125" customWidth="1" style="7" min="8713" max="8713"/>
    <col width="9.140625" customWidth="1" style="7" min="8714" max="8960"/>
    <col width="8.28515625" customWidth="1" style="7" min="8961" max="8961"/>
    <col width="76.85546875" customWidth="1" style="7" min="8962" max="8962"/>
    <col width="29" customWidth="1" style="7" min="8963" max="8963"/>
    <col width="25.85546875" customWidth="1" style="7" min="8964" max="8964"/>
    <col width="24.140625" customWidth="1" style="7" min="8965" max="8965"/>
    <col width="28.140625" customWidth="1" style="7" min="8966" max="8966"/>
    <col width="20.42578125" customWidth="1" style="7" min="8967" max="8967"/>
    <col width="9.140625" customWidth="1" style="7" min="8968" max="8968"/>
    <col width="89.42578125" customWidth="1" style="7" min="8969" max="8969"/>
    <col width="9.140625" customWidth="1" style="7" min="8970" max="9216"/>
    <col width="8.28515625" customWidth="1" style="7" min="9217" max="9217"/>
    <col width="76.85546875" customWidth="1" style="7" min="9218" max="9218"/>
    <col width="29" customWidth="1" style="7" min="9219" max="9219"/>
    <col width="25.85546875" customWidth="1" style="7" min="9220" max="9220"/>
    <col width="24.140625" customWidth="1" style="7" min="9221" max="9221"/>
    <col width="28.140625" customWidth="1" style="7" min="9222" max="9222"/>
    <col width="20.42578125" customWidth="1" style="7" min="9223" max="9223"/>
    <col width="9.140625" customWidth="1" style="7" min="9224" max="9224"/>
    <col width="89.42578125" customWidth="1" style="7" min="9225" max="9225"/>
    <col width="9.140625" customWidth="1" style="7" min="9226" max="9472"/>
    <col width="8.28515625" customWidth="1" style="7" min="9473" max="9473"/>
    <col width="76.85546875" customWidth="1" style="7" min="9474" max="9474"/>
    <col width="29" customWidth="1" style="7" min="9475" max="9475"/>
    <col width="25.85546875" customWidth="1" style="7" min="9476" max="9476"/>
    <col width="24.140625" customWidth="1" style="7" min="9477" max="9477"/>
    <col width="28.140625" customWidth="1" style="7" min="9478" max="9478"/>
    <col width="20.42578125" customWidth="1" style="7" min="9479" max="9479"/>
    <col width="9.140625" customWidth="1" style="7" min="9480" max="9480"/>
    <col width="89.42578125" customWidth="1" style="7" min="9481" max="9481"/>
    <col width="9.140625" customWidth="1" style="7" min="9482" max="9728"/>
    <col width="8.28515625" customWidth="1" style="7" min="9729" max="9729"/>
    <col width="76.85546875" customWidth="1" style="7" min="9730" max="9730"/>
    <col width="29" customWidth="1" style="7" min="9731" max="9731"/>
    <col width="25.85546875" customWidth="1" style="7" min="9732" max="9732"/>
    <col width="24.140625" customWidth="1" style="7" min="9733" max="9733"/>
    <col width="28.140625" customWidth="1" style="7" min="9734" max="9734"/>
    <col width="20.42578125" customWidth="1" style="7" min="9735" max="9735"/>
    <col width="9.140625" customWidth="1" style="7" min="9736" max="9736"/>
    <col width="89.42578125" customWidth="1" style="7" min="9737" max="9737"/>
    <col width="9.140625" customWidth="1" style="7" min="9738" max="9984"/>
    <col width="8.28515625" customWidth="1" style="7" min="9985" max="9985"/>
    <col width="76.85546875" customWidth="1" style="7" min="9986" max="9986"/>
    <col width="29" customWidth="1" style="7" min="9987" max="9987"/>
    <col width="25.85546875" customWidth="1" style="7" min="9988" max="9988"/>
    <col width="24.140625" customWidth="1" style="7" min="9989" max="9989"/>
    <col width="28.140625" customWidth="1" style="7" min="9990" max="9990"/>
    <col width="20.42578125" customWidth="1" style="7" min="9991" max="9991"/>
    <col width="9.140625" customWidth="1" style="7" min="9992" max="9992"/>
    <col width="89.42578125" customWidth="1" style="7" min="9993" max="9993"/>
    <col width="9.140625" customWidth="1" style="7" min="9994" max="10240"/>
    <col width="8.28515625" customWidth="1" style="7" min="10241" max="10241"/>
    <col width="76.85546875" customWidth="1" style="7" min="10242" max="10242"/>
    <col width="29" customWidth="1" style="7" min="10243" max="10243"/>
    <col width="25.85546875" customWidth="1" style="7" min="10244" max="10244"/>
    <col width="24.140625" customWidth="1" style="7" min="10245" max="10245"/>
    <col width="28.140625" customWidth="1" style="7" min="10246" max="10246"/>
    <col width="20.42578125" customWidth="1" style="7" min="10247" max="10247"/>
    <col width="9.140625" customWidth="1" style="7" min="10248" max="10248"/>
    <col width="89.42578125" customWidth="1" style="7" min="10249" max="10249"/>
    <col width="9.140625" customWidth="1" style="7" min="10250" max="10496"/>
    <col width="8.28515625" customWidth="1" style="7" min="10497" max="10497"/>
    <col width="76.85546875" customWidth="1" style="7" min="10498" max="10498"/>
    <col width="29" customWidth="1" style="7" min="10499" max="10499"/>
    <col width="25.85546875" customWidth="1" style="7" min="10500" max="10500"/>
    <col width="24.140625" customWidth="1" style="7" min="10501" max="10501"/>
    <col width="28.140625" customWidth="1" style="7" min="10502" max="10502"/>
    <col width="20.42578125" customWidth="1" style="7" min="10503" max="10503"/>
    <col width="9.140625" customWidth="1" style="7" min="10504" max="10504"/>
    <col width="89.42578125" customWidth="1" style="7" min="10505" max="10505"/>
    <col width="9.140625" customWidth="1" style="7" min="10506" max="10752"/>
    <col width="8.28515625" customWidth="1" style="7" min="10753" max="10753"/>
    <col width="76.85546875" customWidth="1" style="7" min="10754" max="10754"/>
    <col width="29" customWidth="1" style="7" min="10755" max="10755"/>
    <col width="25.85546875" customWidth="1" style="7" min="10756" max="10756"/>
    <col width="24.140625" customWidth="1" style="7" min="10757" max="10757"/>
    <col width="28.140625" customWidth="1" style="7" min="10758" max="10758"/>
    <col width="20.42578125" customWidth="1" style="7" min="10759" max="10759"/>
    <col width="9.140625" customWidth="1" style="7" min="10760" max="10760"/>
    <col width="89.42578125" customWidth="1" style="7" min="10761" max="10761"/>
    <col width="9.140625" customWidth="1" style="7" min="10762" max="11008"/>
    <col width="8.28515625" customWidth="1" style="7" min="11009" max="11009"/>
    <col width="76.85546875" customWidth="1" style="7" min="11010" max="11010"/>
    <col width="29" customWidth="1" style="7" min="11011" max="11011"/>
    <col width="25.85546875" customWidth="1" style="7" min="11012" max="11012"/>
    <col width="24.140625" customWidth="1" style="7" min="11013" max="11013"/>
    <col width="28.140625" customWidth="1" style="7" min="11014" max="11014"/>
    <col width="20.42578125" customWidth="1" style="7" min="11015" max="11015"/>
    <col width="9.140625" customWidth="1" style="7" min="11016" max="11016"/>
    <col width="89.42578125" customWidth="1" style="7" min="11017" max="11017"/>
    <col width="9.140625" customWidth="1" style="7" min="11018" max="11264"/>
    <col width="8.28515625" customWidth="1" style="7" min="11265" max="11265"/>
    <col width="76.85546875" customWidth="1" style="7" min="11266" max="11266"/>
    <col width="29" customWidth="1" style="7" min="11267" max="11267"/>
    <col width="25.85546875" customWidth="1" style="7" min="11268" max="11268"/>
    <col width="24.140625" customWidth="1" style="7" min="11269" max="11269"/>
    <col width="28.140625" customWidth="1" style="7" min="11270" max="11270"/>
    <col width="20.42578125" customWidth="1" style="7" min="11271" max="11271"/>
    <col width="9.140625" customWidth="1" style="7" min="11272" max="11272"/>
    <col width="89.42578125" customWidth="1" style="7" min="11273" max="11273"/>
    <col width="9.140625" customWidth="1" style="7" min="11274" max="11520"/>
    <col width="8.28515625" customWidth="1" style="7" min="11521" max="11521"/>
    <col width="76.85546875" customWidth="1" style="7" min="11522" max="11522"/>
    <col width="29" customWidth="1" style="7" min="11523" max="11523"/>
    <col width="25.85546875" customWidth="1" style="7" min="11524" max="11524"/>
    <col width="24.140625" customWidth="1" style="7" min="11525" max="11525"/>
    <col width="28.140625" customWidth="1" style="7" min="11526" max="11526"/>
    <col width="20.42578125" customWidth="1" style="7" min="11527" max="11527"/>
    <col width="9.140625" customWidth="1" style="7" min="11528" max="11528"/>
    <col width="89.42578125" customWidth="1" style="7" min="11529" max="11529"/>
    <col width="9.140625" customWidth="1" style="7" min="11530" max="11776"/>
    <col width="8.28515625" customWidth="1" style="7" min="11777" max="11777"/>
    <col width="76.85546875" customWidth="1" style="7" min="11778" max="11778"/>
    <col width="29" customWidth="1" style="7" min="11779" max="11779"/>
    <col width="25.85546875" customWidth="1" style="7" min="11780" max="11780"/>
    <col width="24.140625" customWidth="1" style="7" min="11781" max="11781"/>
    <col width="28.140625" customWidth="1" style="7" min="11782" max="11782"/>
    <col width="20.42578125" customWidth="1" style="7" min="11783" max="11783"/>
    <col width="9.140625" customWidth="1" style="7" min="11784" max="11784"/>
    <col width="89.42578125" customWidth="1" style="7" min="11785" max="11785"/>
    <col width="9.140625" customWidth="1" style="7" min="11786" max="12032"/>
    <col width="8.28515625" customWidth="1" style="7" min="12033" max="12033"/>
    <col width="76.85546875" customWidth="1" style="7" min="12034" max="12034"/>
    <col width="29" customWidth="1" style="7" min="12035" max="12035"/>
    <col width="25.85546875" customWidth="1" style="7" min="12036" max="12036"/>
    <col width="24.140625" customWidth="1" style="7" min="12037" max="12037"/>
    <col width="28.140625" customWidth="1" style="7" min="12038" max="12038"/>
    <col width="20.42578125" customWidth="1" style="7" min="12039" max="12039"/>
    <col width="9.140625" customWidth="1" style="7" min="12040" max="12040"/>
    <col width="89.42578125" customWidth="1" style="7" min="12041" max="12041"/>
    <col width="9.140625" customWidth="1" style="7" min="12042" max="12288"/>
    <col width="8.28515625" customWidth="1" style="7" min="12289" max="12289"/>
    <col width="76.85546875" customWidth="1" style="7" min="12290" max="12290"/>
    <col width="29" customWidth="1" style="7" min="12291" max="12291"/>
    <col width="25.85546875" customWidth="1" style="7" min="12292" max="12292"/>
    <col width="24.140625" customWidth="1" style="7" min="12293" max="12293"/>
    <col width="28.140625" customWidth="1" style="7" min="12294" max="12294"/>
    <col width="20.42578125" customWidth="1" style="7" min="12295" max="12295"/>
    <col width="9.140625" customWidth="1" style="7" min="12296" max="12296"/>
    <col width="89.42578125" customWidth="1" style="7" min="12297" max="12297"/>
    <col width="9.140625" customWidth="1" style="7" min="12298" max="12544"/>
    <col width="8.28515625" customWidth="1" style="7" min="12545" max="12545"/>
    <col width="76.85546875" customWidth="1" style="7" min="12546" max="12546"/>
    <col width="29" customWidth="1" style="7" min="12547" max="12547"/>
    <col width="25.85546875" customWidth="1" style="7" min="12548" max="12548"/>
    <col width="24.140625" customWidth="1" style="7" min="12549" max="12549"/>
    <col width="28.140625" customWidth="1" style="7" min="12550" max="12550"/>
    <col width="20.42578125" customWidth="1" style="7" min="12551" max="12551"/>
    <col width="9.140625" customWidth="1" style="7" min="12552" max="12552"/>
    <col width="89.42578125" customWidth="1" style="7" min="12553" max="12553"/>
    <col width="9.140625" customWidth="1" style="7" min="12554" max="12800"/>
    <col width="8.28515625" customWidth="1" style="7" min="12801" max="12801"/>
    <col width="76.85546875" customWidth="1" style="7" min="12802" max="12802"/>
    <col width="29" customWidth="1" style="7" min="12803" max="12803"/>
    <col width="25.85546875" customWidth="1" style="7" min="12804" max="12804"/>
    <col width="24.140625" customWidth="1" style="7" min="12805" max="12805"/>
    <col width="28.140625" customWidth="1" style="7" min="12806" max="12806"/>
    <col width="20.42578125" customWidth="1" style="7" min="12807" max="12807"/>
    <col width="9.140625" customWidth="1" style="7" min="12808" max="12808"/>
    <col width="89.42578125" customWidth="1" style="7" min="12809" max="12809"/>
    <col width="9.140625" customWidth="1" style="7" min="12810" max="13056"/>
    <col width="8.28515625" customWidth="1" style="7" min="13057" max="13057"/>
    <col width="76.85546875" customWidth="1" style="7" min="13058" max="13058"/>
    <col width="29" customWidth="1" style="7" min="13059" max="13059"/>
    <col width="25.85546875" customWidth="1" style="7" min="13060" max="13060"/>
    <col width="24.140625" customWidth="1" style="7" min="13061" max="13061"/>
    <col width="28.140625" customWidth="1" style="7" min="13062" max="13062"/>
    <col width="20.42578125" customWidth="1" style="7" min="13063" max="13063"/>
    <col width="9.140625" customWidth="1" style="7" min="13064" max="13064"/>
    <col width="89.42578125" customWidth="1" style="7" min="13065" max="13065"/>
    <col width="9.140625" customWidth="1" style="7" min="13066" max="13312"/>
    <col width="8.28515625" customWidth="1" style="7" min="13313" max="13313"/>
    <col width="76.85546875" customWidth="1" style="7" min="13314" max="13314"/>
    <col width="29" customWidth="1" style="7" min="13315" max="13315"/>
    <col width="25.85546875" customWidth="1" style="7" min="13316" max="13316"/>
    <col width="24.140625" customWidth="1" style="7" min="13317" max="13317"/>
    <col width="28.140625" customWidth="1" style="7" min="13318" max="13318"/>
    <col width="20.42578125" customWidth="1" style="7" min="13319" max="13319"/>
    <col width="9.140625" customWidth="1" style="7" min="13320" max="13320"/>
    <col width="89.42578125" customWidth="1" style="7" min="13321" max="13321"/>
    <col width="9.140625" customWidth="1" style="7" min="13322" max="13568"/>
    <col width="8.28515625" customWidth="1" style="7" min="13569" max="13569"/>
    <col width="76.85546875" customWidth="1" style="7" min="13570" max="13570"/>
    <col width="29" customWidth="1" style="7" min="13571" max="13571"/>
    <col width="25.85546875" customWidth="1" style="7" min="13572" max="13572"/>
    <col width="24.140625" customWidth="1" style="7" min="13573" max="13573"/>
    <col width="28.140625" customWidth="1" style="7" min="13574" max="13574"/>
    <col width="20.42578125" customWidth="1" style="7" min="13575" max="13575"/>
    <col width="9.140625" customWidth="1" style="7" min="13576" max="13576"/>
    <col width="89.42578125" customWidth="1" style="7" min="13577" max="13577"/>
    <col width="9.140625" customWidth="1" style="7" min="13578" max="13824"/>
    <col width="8.28515625" customWidth="1" style="7" min="13825" max="13825"/>
    <col width="76.85546875" customWidth="1" style="7" min="13826" max="13826"/>
    <col width="29" customWidth="1" style="7" min="13827" max="13827"/>
    <col width="25.85546875" customWidth="1" style="7" min="13828" max="13828"/>
    <col width="24.140625" customWidth="1" style="7" min="13829" max="13829"/>
    <col width="28.140625" customWidth="1" style="7" min="13830" max="13830"/>
    <col width="20.42578125" customWidth="1" style="7" min="13831" max="13831"/>
    <col width="9.140625" customWidth="1" style="7" min="13832" max="13832"/>
    <col width="89.42578125" customWidth="1" style="7" min="13833" max="13833"/>
    <col width="9.140625" customWidth="1" style="7" min="13834" max="14080"/>
    <col width="8.28515625" customWidth="1" style="7" min="14081" max="14081"/>
    <col width="76.85546875" customWidth="1" style="7" min="14082" max="14082"/>
    <col width="29" customWidth="1" style="7" min="14083" max="14083"/>
    <col width="25.85546875" customWidth="1" style="7" min="14084" max="14084"/>
    <col width="24.140625" customWidth="1" style="7" min="14085" max="14085"/>
    <col width="28.140625" customWidth="1" style="7" min="14086" max="14086"/>
    <col width="20.42578125" customWidth="1" style="7" min="14087" max="14087"/>
    <col width="9.140625" customWidth="1" style="7" min="14088" max="14088"/>
    <col width="89.42578125" customWidth="1" style="7" min="14089" max="14089"/>
    <col width="9.140625" customWidth="1" style="7" min="14090" max="14336"/>
    <col width="8.28515625" customWidth="1" style="7" min="14337" max="14337"/>
    <col width="76.85546875" customWidth="1" style="7" min="14338" max="14338"/>
    <col width="29" customWidth="1" style="7" min="14339" max="14339"/>
    <col width="25.85546875" customWidth="1" style="7" min="14340" max="14340"/>
    <col width="24.140625" customWidth="1" style="7" min="14341" max="14341"/>
    <col width="28.140625" customWidth="1" style="7" min="14342" max="14342"/>
    <col width="20.42578125" customWidth="1" style="7" min="14343" max="14343"/>
    <col width="9.140625" customWidth="1" style="7" min="14344" max="14344"/>
    <col width="89.42578125" customWidth="1" style="7" min="14345" max="14345"/>
    <col width="9.140625" customWidth="1" style="7" min="14346" max="14592"/>
    <col width="8.28515625" customWidth="1" style="7" min="14593" max="14593"/>
    <col width="76.85546875" customWidth="1" style="7" min="14594" max="14594"/>
    <col width="29" customWidth="1" style="7" min="14595" max="14595"/>
    <col width="25.85546875" customWidth="1" style="7" min="14596" max="14596"/>
    <col width="24.140625" customWidth="1" style="7" min="14597" max="14597"/>
    <col width="28.140625" customWidth="1" style="7" min="14598" max="14598"/>
    <col width="20.42578125" customWidth="1" style="7" min="14599" max="14599"/>
    <col width="9.140625" customWidth="1" style="7" min="14600" max="14600"/>
    <col width="89.42578125" customWidth="1" style="7" min="14601" max="14601"/>
    <col width="9.140625" customWidth="1" style="7" min="14602" max="14848"/>
    <col width="8.28515625" customWidth="1" style="7" min="14849" max="14849"/>
    <col width="76.85546875" customWidth="1" style="7" min="14850" max="14850"/>
    <col width="29" customWidth="1" style="7" min="14851" max="14851"/>
    <col width="25.85546875" customWidth="1" style="7" min="14852" max="14852"/>
    <col width="24.140625" customWidth="1" style="7" min="14853" max="14853"/>
    <col width="28.140625" customWidth="1" style="7" min="14854" max="14854"/>
    <col width="20.42578125" customWidth="1" style="7" min="14855" max="14855"/>
    <col width="9.140625" customWidth="1" style="7" min="14856" max="14856"/>
    <col width="89.42578125" customWidth="1" style="7" min="14857" max="14857"/>
    <col width="9.140625" customWidth="1" style="7" min="14858" max="15104"/>
    <col width="8.28515625" customWidth="1" style="7" min="15105" max="15105"/>
    <col width="76.85546875" customWidth="1" style="7" min="15106" max="15106"/>
    <col width="29" customWidth="1" style="7" min="15107" max="15107"/>
    <col width="25.85546875" customWidth="1" style="7" min="15108" max="15108"/>
    <col width="24.140625" customWidth="1" style="7" min="15109" max="15109"/>
    <col width="28.140625" customWidth="1" style="7" min="15110" max="15110"/>
    <col width="20.42578125" customWidth="1" style="7" min="15111" max="15111"/>
    <col width="9.140625" customWidth="1" style="7" min="15112" max="15112"/>
    <col width="89.42578125" customWidth="1" style="7" min="15113" max="15113"/>
    <col width="9.140625" customWidth="1" style="7" min="15114" max="15360"/>
    <col width="8.28515625" customWidth="1" style="7" min="15361" max="15361"/>
    <col width="76.85546875" customWidth="1" style="7" min="15362" max="15362"/>
    <col width="29" customWidth="1" style="7" min="15363" max="15363"/>
    <col width="25.85546875" customWidth="1" style="7" min="15364" max="15364"/>
    <col width="24.140625" customWidth="1" style="7" min="15365" max="15365"/>
    <col width="28.140625" customWidth="1" style="7" min="15366" max="15366"/>
    <col width="20.42578125" customWidth="1" style="7" min="15367" max="15367"/>
    <col width="9.140625" customWidth="1" style="7" min="15368" max="15368"/>
    <col width="89.42578125" customWidth="1" style="7" min="15369" max="15369"/>
    <col width="9.140625" customWidth="1" style="7" min="15370" max="15616"/>
    <col width="8.28515625" customWidth="1" style="7" min="15617" max="15617"/>
    <col width="76.85546875" customWidth="1" style="7" min="15618" max="15618"/>
    <col width="29" customWidth="1" style="7" min="15619" max="15619"/>
    <col width="25.85546875" customWidth="1" style="7" min="15620" max="15620"/>
    <col width="24.140625" customWidth="1" style="7" min="15621" max="15621"/>
    <col width="28.140625" customWidth="1" style="7" min="15622" max="15622"/>
    <col width="20.42578125" customWidth="1" style="7" min="15623" max="15623"/>
    <col width="9.140625" customWidth="1" style="7" min="15624" max="15624"/>
    <col width="89.42578125" customWidth="1" style="7" min="15625" max="15625"/>
    <col width="9.140625" customWidth="1" style="7" min="15626" max="15872"/>
    <col width="8.28515625" customWidth="1" style="7" min="15873" max="15873"/>
    <col width="76.85546875" customWidth="1" style="7" min="15874" max="15874"/>
    <col width="29" customWidth="1" style="7" min="15875" max="15875"/>
    <col width="25.85546875" customWidth="1" style="7" min="15876" max="15876"/>
    <col width="24.140625" customWidth="1" style="7" min="15877" max="15877"/>
    <col width="28.140625" customWidth="1" style="7" min="15878" max="15878"/>
    <col width="20.42578125" customWidth="1" style="7" min="15879" max="15879"/>
    <col width="9.140625" customWidth="1" style="7" min="15880" max="15880"/>
    <col width="89.42578125" customWidth="1" style="7" min="15881" max="15881"/>
    <col width="9.140625" customWidth="1" style="7" min="15882" max="16128"/>
    <col width="8.28515625" customWidth="1" style="7" min="16129" max="16129"/>
    <col width="76.85546875" customWidth="1" style="7" min="16130" max="16130"/>
    <col width="29" customWidth="1" style="7" min="16131" max="16131"/>
    <col width="25.85546875" customWidth="1" style="7" min="16132" max="16132"/>
    <col width="24.140625" customWidth="1" style="7" min="16133" max="16133"/>
    <col width="28.140625" customWidth="1" style="7" min="16134" max="16134"/>
    <col width="20.42578125" customWidth="1" style="7" min="16135" max="16135"/>
    <col width="9.140625" customWidth="1" style="7" min="16136" max="16136"/>
    <col width="89.42578125" customWidth="1" style="7" min="16137" max="16137"/>
    <col width="9.140625" customWidth="1" style="7" min="16138" max="16384"/>
  </cols>
  <sheetData>
    <row r="1" ht="17.25" customHeight="1" s="794">
      <c r="A1" s="4" t="n"/>
      <c r="B1" s="5" t="n"/>
      <c r="C1" s="5" t="n"/>
      <c r="D1" s="5" t="n"/>
      <c r="E1" s="5" t="n"/>
      <c r="F1" s="6" t="inlineStr">
        <is>
          <t>Форма № 10 (10д)</t>
        </is>
      </c>
      <c r="G1" s="5" t="n"/>
    </row>
    <row r="2" ht="11.25" customHeight="1" s="794">
      <c r="A2" s="4" t="n"/>
      <c r="B2" s="5" t="n"/>
      <c r="C2" s="5" t="n"/>
      <c r="D2" s="5" t="n"/>
      <c r="E2" s="5" t="n"/>
      <c r="F2" s="5" t="n"/>
      <c r="G2" s="5" t="n"/>
    </row>
    <row r="3" ht="21" customHeight="1" s="794">
      <c r="A3" s="1028" t="inlineStr">
        <is>
          <t xml:space="preserve">Расчет-обоснование уровня (%) дополнительной заработной платы основных работников </t>
        </is>
      </c>
      <c r="G3" s="5" t="n"/>
    </row>
    <row r="4" ht="74.25" customFormat="1" customHeight="1" s="8">
      <c r="A4" s="1256" t="inlineStr">
        <is>
          <t>ТЕМА</t>
        </is>
      </c>
      <c r="G4" s="1" t="n"/>
    </row>
    <row r="5" ht="9.75" customHeight="1" s="794">
      <c r="A5" s="9" t="n"/>
      <c r="B5" s="1028" t="n"/>
      <c r="C5" s="1028" t="n"/>
      <c r="D5" s="1028" t="n"/>
      <c r="E5" s="1028" t="n"/>
      <c r="F5" s="10" t="n"/>
      <c r="G5" s="5" t="n"/>
    </row>
    <row r="6" ht="16.5" customHeight="1" s="794">
      <c r="A6" s="9" t="n"/>
      <c r="B6" s="1028" t="n"/>
      <c r="C6" s="1028" t="n"/>
      <c r="D6" s="1028" t="n"/>
      <c r="E6" s="1028" t="n"/>
      <c r="F6" s="6" t="inlineStr">
        <is>
          <t>(руб.)</t>
        </is>
      </c>
      <c r="G6" s="5" t="n"/>
    </row>
    <row r="7" ht="37.5" customHeight="1" s="794">
      <c r="A7" s="1250" t="inlineStr">
        <is>
          <t>№ п/п</t>
        </is>
      </c>
      <c r="B7" s="1510" t="inlineStr">
        <is>
          <t>Наименование</t>
        </is>
      </c>
      <c r="C7" s="1253" t="inlineStr">
        <is>
          <t>Период, предшествующий отчетному (2024г.)</t>
        </is>
      </c>
      <c r="D7" s="1253" t="inlineStr">
        <is>
          <t>Отчетный период / период, предшествующий планируемому (2025 г.)</t>
        </is>
      </c>
      <c r="E7" s="1410" t="n"/>
      <c r="F7" s="1253" t="inlineStr">
        <is>
          <t>Планируемый период
(2026 г.)</t>
        </is>
      </c>
      <c r="G7" s="5" t="n"/>
    </row>
    <row r="8" ht="17.25" customHeight="1" s="794">
      <c r="A8" s="1413" t="n"/>
      <c r="B8" s="1421" t="n"/>
      <c r="C8" s="125" t="inlineStr">
        <is>
          <t>факт</t>
        </is>
      </c>
      <c r="D8" s="125" t="inlineStr">
        <is>
          <t>план</t>
        </is>
      </c>
      <c r="E8" s="1026" t="inlineStr">
        <is>
          <t>факт</t>
        </is>
      </c>
      <c r="F8" s="1026" t="inlineStr">
        <is>
          <t>план</t>
        </is>
      </c>
      <c r="G8" s="5" t="n"/>
    </row>
    <row r="9" ht="15" customHeight="1" s="794">
      <c r="A9" s="1023" t="inlineStr">
        <is>
          <t>1</t>
        </is>
      </c>
      <c r="B9" s="127" t="n">
        <v>2</v>
      </c>
      <c r="C9" s="128" t="n">
        <v>3</v>
      </c>
      <c r="D9" s="129" t="inlineStr">
        <is>
          <t>4.1</t>
        </is>
      </c>
      <c r="E9" s="129" t="inlineStr">
        <is>
          <t>4.2</t>
        </is>
      </c>
      <c r="F9" s="130" t="n">
        <v>5</v>
      </c>
      <c r="G9" s="5" t="n"/>
    </row>
    <row r="10" ht="23.25" customHeight="1" s="794">
      <c r="A10" s="1250" t="inlineStr">
        <is>
          <t>1.</t>
        </is>
      </c>
      <c r="B10" s="320" t="inlineStr">
        <is>
          <t>Основная заработная плата основных работников</t>
        </is>
      </c>
      <c r="C10" s="317" t="inlineStr">
        <is>
          <t>-</t>
        </is>
      </c>
      <c r="D10" s="1511" t="inlineStr">
        <is>
          <t>-</t>
        </is>
      </c>
      <c r="E10" s="1511" t="inlineStr">
        <is>
          <t>-</t>
        </is>
      </c>
      <c r="F10" s="1511">
        <f>'9 (9д) ОЗП НИР(ОКР)'!H23</f>
        <v/>
      </c>
      <c r="G10" s="5" t="n"/>
    </row>
    <row r="11" ht="23.25" customHeight="1" s="794">
      <c r="A11" s="1250" t="inlineStr">
        <is>
          <t>2.</t>
        </is>
      </c>
      <c r="B11" s="320" t="inlineStr">
        <is>
          <t>Дополнительная заработная плата основных работников,</t>
        </is>
      </c>
      <c r="C11" s="317" t="inlineStr">
        <is>
          <t>-</t>
        </is>
      </c>
      <c r="D11" s="1511" t="inlineStr">
        <is>
          <t>-</t>
        </is>
      </c>
      <c r="E11" s="1511" t="inlineStr">
        <is>
          <t>-</t>
        </is>
      </c>
      <c r="F11" s="1511">
        <f>ROUND(F10*0.086866,2)</f>
        <v/>
      </c>
      <c r="G11" s="5" t="n"/>
    </row>
    <row r="12" ht="23.25" customHeight="1" s="794">
      <c r="A12" s="1250" t="inlineStr">
        <is>
          <t>2.1</t>
        </is>
      </c>
      <c r="B12" s="320" t="inlineStr">
        <is>
          <t xml:space="preserve">     в % к основной заработной плате основных работников, %</t>
        </is>
      </c>
      <c r="C12" s="317" t="inlineStr">
        <is>
          <t>-</t>
        </is>
      </c>
      <c r="D12" s="1253" t="inlineStr">
        <is>
          <t>-</t>
        </is>
      </c>
      <c r="E12" s="317" t="inlineStr">
        <is>
          <t>-</t>
        </is>
      </c>
      <c r="F12" s="1253">
        <f>'22 (22д) свед. о норм_26'!D17</f>
        <v/>
      </c>
      <c r="G12" s="5" t="n"/>
    </row>
    <row r="13" ht="12.75" customHeight="1" s="794">
      <c r="A13" s="1038" t="n"/>
      <c r="B13" s="1038" t="n"/>
      <c r="C13" s="1038" t="n"/>
      <c r="D13" s="1038" t="n"/>
      <c r="E13" s="1038" t="n"/>
      <c r="F13" s="1038" t="n"/>
      <c r="G13" s="5" t="n"/>
    </row>
    <row r="14" ht="20.25" customHeight="1" s="794">
      <c r="A14" s="1249" t="inlineStr">
        <is>
          <t xml:space="preserve">                        Структура дополнительной заработной платы</t>
        </is>
      </c>
      <c r="G14" s="5" t="n"/>
    </row>
    <row r="15" ht="17.25" customHeight="1" s="794">
      <c r="A15" s="131" t="n"/>
      <c r="B15" s="132" t="n"/>
      <c r="C15" s="132" t="n"/>
      <c r="D15" s="132" t="n"/>
      <c r="E15" s="132" t="n"/>
      <c r="F15" s="133" t="inlineStr">
        <is>
          <t>(руб.)</t>
        </is>
      </c>
      <c r="G15" s="5" t="n"/>
    </row>
    <row r="16" ht="38.25" customHeight="1" s="794">
      <c r="A16" s="1250" t="inlineStr">
        <is>
          <t>№ п/п</t>
        </is>
      </c>
      <c r="B16" s="1512" t="inlineStr">
        <is>
          <t>Наименование выплат</t>
        </is>
      </c>
      <c r="C16" s="1253" t="inlineStr">
        <is>
          <t>Период, предшествующий отчетному (2024г.)</t>
        </is>
      </c>
      <c r="D16" s="1253" t="inlineStr">
        <is>
          <t>Отчетный период / период, предшествующий планируемому (2025 г.)</t>
        </is>
      </c>
      <c r="E16" s="1410" t="n"/>
      <c r="F16" s="1253" t="inlineStr">
        <is>
          <t>Планируемый период
(2026 г.)</t>
        </is>
      </c>
      <c r="G16" s="5" t="n"/>
    </row>
    <row r="17" ht="17.25" customHeight="1" s="794">
      <c r="A17" s="1413" t="n"/>
      <c r="B17" s="1414" t="n"/>
      <c r="C17" s="323" t="inlineStr">
        <is>
          <t>факт</t>
        </is>
      </c>
      <c r="D17" s="323" t="inlineStr">
        <is>
          <t>план</t>
        </is>
      </c>
      <c r="E17" s="324" t="inlineStr">
        <is>
          <t>факт</t>
        </is>
      </c>
      <c r="F17" s="324" t="inlineStr">
        <is>
          <t>план</t>
        </is>
      </c>
      <c r="G17" s="5" t="n"/>
    </row>
    <row r="18" ht="16.5" customHeight="1" s="794">
      <c r="A18" s="1023" t="inlineStr">
        <is>
          <t>1</t>
        </is>
      </c>
      <c r="B18" s="1035" t="n">
        <v>2</v>
      </c>
      <c r="C18" s="128" t="n">
        <v>3</v>
      </c>
      <c r="D18" s="129" t="inlineStr">
        <is>
          <t>4.1</t>
        </is>
      </c>
      <c r="E18" s="129" t="inlineStr">
        <is>
          <t>4.2</t>
        </is>
      </c>
      <c r="F18" s="130" t="n">
        <v>5</v>
      </c>
      <c r="G18" s="5" t="n"/>
    </row>
    <row r="19" ht="23.25" customHeight="1" s="794">
      <c r="A19" s="1250" t="inlineStr">
        <is>
          <t>1.</t>
        </is>
      </c>
      <c r="B19" s="322">
        <f>B11</f>
        <v/>
      </c>
      <c r="C19" s="317" t="inlineStr">
        <is>
          <t>-</t>
        </is>
      </c>
      <c r="D19" s="1511">
        <f>D11</f>
        <v/>
      </c>
      <c r="E19" s="317" t="inlineStr">
        <is>
          <t>-</t>
        </is>
      </c>
      <c r="F19" s="1511">
        <f>F11</f>
        <v/>
      </c>
      <c r="G19" s="5" t="n"/>
      <c r="H19" s="189" t="n"/>
    </row>
    <row r="20" ht="19.5" customHeight="1" s="794">
      <c r="A20" s="1513" t="inlineStr">
        <is>
          <t>ИТОГО</t>
        </is>
      </c>
      <c r="B20" s="1410" t="n"/>
      <c r="C20" s="317" t="inlineStr">
        <is>
          <t>-</t>
        </is>
      </c>
      <c r="D20" s="1511">
        <f>D19</f>
        <v/>
      </c>
      <c r="E20" s="317" t="inlineStr">
        <is>
          <t>-</t>
        </is>
      </c>
      <c r="F20" s="1511">
        <f>F11</f>
        <v/>
      </c>
      <c r="G20" s="5" t="n"/>
    </row>
    <row r="21" ht="16.5" customHeight="1" s="794">
      <c r="A21" s="11" t="n"/>
      <c r="B21" s="135" t="n"/>
      <c r="C21" s="1027" t="n"/>
      <c r="D21" s="1027" t="n"/>
      <c r="E21" s="1463" t="n"/>
      <c r="F21" s="1038" t="n"/>
      <c r="G21" s="5" t="n"/>
    </row>
    <row r="22" ht="32.25" customFormat="1" customHeight="1" s="196">
      <c r="A22" s="194" t="n"/>
      <c r="B22" s="194" t="inlineStr">
        <is>
          <t>Начальник ОФЭиАУ НИОКР</t>
        </is>
      </c>
      <c r="C22" s="194" t="n"/>
      <c r="D22" s="991" t="inlineStr">
        <is>
          <t>Руководитель договора</t>
        </is>
      </c>
      <c r="F22" s="94" t="n"/>
    </row>
    <row r="23" ht="37.5" customFormat="1" customHeight="1" s="196">
      <c r="A23" s="94" t="n"/>
      <c r="B23" s="95" t="inlineStr">
        <is>
          <t>_____________________ Н.О. Васецкая</t>
        </is>
      </c>
      <c r="C23" s="94" t="n"/>
      <c r="D23" s="837" t="inlineStr">
        <is>
          <t>_____________________ А.И. Боровков</t>
        </is>
      </c>
      <c r="E23" s="96" t="n"/>
      <c r="F23" s="197" t="n"/>
    </row>
    <row r="24" ht="21.75" customHeight="1" s="794">
      <c r="A24" s="58" t="n"/>
      <c r="B24" s="63" t="inlineStr">
        <is>
          <t xml:space="preserve">  (подпись)                                                   (Ф.И.О.)</t>
        </is>
      </c>
      <c r="C24" s="58" t="n"/>
      <c r="D24" s="63" t="inlineStr">
        <is>
          <t xml:space="preserve">  (подпись)                                                       (Ф.И.О.)</t>
        </is>
      </c>
      <c r="E24" s="49" t="n"/>
      <c r="F24" s="22" t="n"/>
      <c r="G24" s="5" t="n"/>
    </row>
    <row r="25" ht="22.5" customFormat="1" customHeight="1" s="198">
      <c r="A25" s="193" t="n"/>
      <c r="B25" s="107" t="inlineStr">
        <is>
          <t>«____» __________________ 2025 г.</t>
        </is>
      </c>
      <c r="C25" s="193" t="n"/>
      <c r="D25" s="107" t="inlineStr">
        <is>
          <t>«____» __________________ 2025 г.</t>
        </is>
      </c>
      <c r="E25" s="103" t="n"/>
      <c r="F25" s="193" t="n"/>
    </row>
    <row r="26" ht="38.25" customHeight="1" s="794">
      <c r="A26" s="11" t="n"/>
      <c r="B26" s="135" t="n"/>
      <c r="C26" s="1027" t="n"/>
      <c r="D26" s="1027" t="n"/>
      <c r="E26" s="1463" t="n"/>
      <c r="F26" s="1038" t="n"/>
      <c r="G26" s="5" t="n"/>
    </row>
    <row r="27" hidden="1" ht="29.25" customHeight="1" s="794">
      <c r="A27" s="14"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B27" s="14" t="n"/>
      <c r="C27" s="14" t="n"/>
      <c r="D27" s="14" t="n"/>
      <c r="E27" s="14" t="n"/>
      <c r="F27" s="14" t="n"/>
      <c r="G27" s="5" t="n"/>
    </row>
    <row r="28" hidden="1" ht="43.5" customHeight="1" s="794">
      <c r="A28" s="16"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B28" s="16" t="n"/>
      <c r="C28" s="16" t="n"/>
      <c r="D28" s="16" t="n"/>
      <c r="E28" s="16" t="n"/>
      <c r="F28" s="16" t="n"/>
      <c r="G28" s="5" t="n"/>
    </row>
    <row r="29" hidden="1" ht="33" customHeight="1" s="794">
      <c r="A29" s="16"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29" s="16" t="n"/>
      <c r="C29" s="16" t="n"/>
      <c r="D29" s="16" t="n"/>
      <c r="E29" s="16" t="n"/>
      <c r="F29" s="16" t="n"/>
      <c r="G29" s="5" t="n"/>
    </row>
    <row r="30" hidden="1" ht="29.25" customHeight="1" s="794">
      <c r="A30" s="16"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B30" s="16" t="n"/>
      <c r="C30" s="16" t="n"/>
      <c r="D30" s="16" t="n"/>
      <c r="E30" s="16" t="n"/>
      <c r="F30" s="16" t="n"/>
      <c r="G30" s="5" t="n"/>
    </row>
    <row r="31" hidden="1" ht="81" customHeight="1" s="794">
      <c r="A31" s="16"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B31" s="16" t="n"/>
      <c r="C31" s="16" t="n"/>
      <c r="D31" s="16" t="n"/>
      <c r="E31" s="16" t="n"/>
      <c r="F31" s="16" t="n"/>
      <c r="G31" s="5" t="n"/>
    </row>
    <row r="32" hidden="1" ht="42" customHeight="1" s="794">
      <c r="A32" s="14"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B32" s="14" t="n"/>
      <c r="C32" s="14" t="n"/>
      <c r="D32" s="14" t="n"/>
      <c r="E32" s="14" t="n"/>
      <c r="F32" s="14" t="n"/>
      <c r="G32" s="5" t="n"/>
    </row>
    <row r="33" hidden="1" ht="20.25" customHeight="1" s="794">
      <c r="A33" s="1038" t="n"/>
      <c r="B33" s="1038" t="n"/>
      <c r="C33" s="1038" t="n"/>
      <c r="D33" s="1038" t="n"/>
      <c r="E33" s="1038" t="n"/>
      <c r="F33" s="1038" t="n"/>
      <c r="G33" s="5" t="n"/>
    </row>
    <row r="34" hidden="1" ht="15.75" customHeight="1" s="794">
      <c r="A34" s="1038" t="inlineStr">
        <is>
          <t>Используемые сокращения и их расшифровка:</t>
        </is>
      </c>
      <c r="B34" s="1038" t="n"/>
      <c r="C34" s="1038" t="n"/>
      <c r="D34" s="1038" t="n"/>
      <c r="E34" s="1038" t="n"/>
      <c r="F34" s="1038" t="n"/>
    </row>
    <row r="35" hidden="1" ht="39" customHeight="1" s="794">
      <c r="B35" s="1038" t="inlineStr">
        <is>
          <t xml:space="preserve">ГОЗ – государственный оборонный заказ;
НИР (ОКР) – научно-исследовательская работа (опытно-конструкторская работа). </t>
        </is>
      </c>
      <c r="C35" s="1038" t="n"/>
      <c r="D35" s="1038" t="n"/>
      <c r="E35" s="1038" t="n"/>
      <c r="F35" s="1038" t="n"/>
    </row>
    <row r="36" ht="46.5" customHeight="1" s="794">
      <c r="A36" s="1038" t="n"/>
      <c r="B36" s="198" t="inlineStr">
        <is>
          <t>Начальник отдела труда и заработной платы</t>
        </is>
      </c>
      <c r="C36" s="18" t="n"/>
      <c r="D36" s="991" t="inlineStr">
        <is>
          <t>Ответственный исполнитель</t>
        </is>
      </c>
      <c r="F36" s="1038" t="n"/>
    </row>
    <row r="37" ht="44.25" customHeight="1" s="794">
      <c r="A37" s="1038" t="n"/>
      <c r="B37" s="103" t="inlineStr">
        <is>
          <t>_____________________ Ю.Г. Шадрина</t>
        </is>
      </c>
      <c r="C37" s="18" t="n"/>
      <c r="D37" s="837" t="inlineStr">
        <is>
          <t>_____________________ И.Б. Войнов</t>
        </is>
      </c>
      <c r="E37" s="96" t="n"/>
      <c r="F37" s="108" t="n"/>
    </row>
    <row r="38" ht="18" customHeight="1" s="794">
      <c r="A38" s="4" t="n"/>
      <c r="B38" s="63" t="inlineStr">
        <is>
          <t xml:space="preserve">  (подпись)                                                 (Ф.И.О.)</t>
        </is>
      </c>
      <c r="C38" s="5" t="n"/>
      <c r="D38" s="63" t="inlineStr">
        <is>
          <t xml:space="preserve">  (подпись)                                                       (Ф.И.О.)</t>
        </is>
      </c>
      <c r="E38" s="49" t="n"/>
    </row>
    <row r="39" ht="25.5" customHeight="1" s="794">
      <c r="B39" s="107" t="inlineStr">
        <is>
          <t>«____» __________________ 2025 г.</t>
        </is>
      </c>
      <c r="D39" s="107" t="inlineStr">
        <is>
          <t>«____» __________________ 2025 г.</t>
        </is>
      </c>
      <c r="E39" s="103" t="n"/>
      <c r="F39" s="22" t="n"/>
    </row>
    <row r="40">
      <c r="A40" s="19" t="n"/>
      <c r="B40" s="20" t="n"/>
      <c r="C40" s="1249" t="n"/>
      <c r="D40" s="1239" t="n"/>
      <c r="E40" s="22" t="n"/>
      <c r="F40" s="954"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12">
    <mergeCell ref="A20:B20"/>
    <mergeCell ref="D16:E16"/>
    <mergeCell ref="D7:E7"/>
    <mergeCell ref="A14:F14"/>
    <mergeCell ref="A7:A8"/>
    <mergeCell ref="B7:B8"/>
    <mergeCell ref="D22:E22"/>
    <mergeCell ref="A4:F4"/>
    <mergeCell ref="A16:A17"/>
    <mergeCell ref="A3:F3"/>
    <mergeCell ref="D36:E36"/>
    <mergeCell ref="B16:B17"/>
  </mergeCells>
  <printOptions horizontalCentered="1"/>
  <pageMargins left="0.25" right="0.25" top="0.75" bottom="0.75" header="0.3" footer="0.3"/>
  <pageSetup orientation="landscape" paperSize="9" scale="66" firstPageNumber="24"/>
  <rowBreaks count="1" manualBreakCount="1">
    <brk id="37" min="0" max="5" man="1"/>
  </rowBreaks>
</worksheet>
</file>

<file path=xl/worksheets/sheet29.xml><?xml version="1.0" encoding="utf-8"?>
<worksheet xmlns="http://schemas.openxmlformats.org/spreadsheetml/2006/main">
  <sheetPr>
    <tabColor rgb="FFFF0000"/>
    <outlinePr summaryBelow="1" summaryRight="1"/>
    <pageSetUpPr fitToPage="1"/>
  </sheetPr>
  <dimension ref="A1:GQ27"/>
  <sheetViews>
    <sheetView view="pageBreakPreview" zoomScale="85" zoomScaleNormal="100" zoomScaleSheetLayoutView="85" workbookViewId="0">
      <selection activeCell="JZ16" sqref="JZ16"/>
    </sheetView>
  </sheetViews>
  <sheetFormatPr baseColWidth="8" defaultColWidth="0.85546875" defaultRowHeight="15"/>
  <cols>
    <col width="0.85546875" customWidth="1" style="282" min="1" max="32"/>
    <col width="2.42578125" customWidth="1" style="282" min="33" max="33"/>
    <col width="2.28515625" customWidth="1" style="282" min="34" max="34"/>
    <col width="2.42578125" customWidth="1" style="282" min="35" max="37"/>
    <col width="0.85546875" customWidth="1" style="282" min="38" max="16384"/>
  </cols>
  <sheetData>
    <row r="1" ht="12.75" customFormat="1" customHeight="1" s="448">
      <c r="GQ1" s="437" t="inlineStr">
        <is>
          <t>Форма № 12</t>
        </is>
      </c>
    </row>
    <row r="2" ht="6" customFormat="1" customHeight="1" s="448"/>
    <row r="3" ht="14.25" customFormat="1" customHeight="1" s="274">
      <c r="A3" s="1259" t="inlineStr">
        <is>
          <t>Смета и расчет</t>
        </is>
      </c>
    </row>
    <row r="4" ht="15" customFormat="1" customHeight="1" s="274">
      <c r="H4" s="864" t="inlineStr">
        <is>
          <t>общехозяйственных затрат/административно-управленческих расходов</t>
        </is>
      </c>
    </row>
    <row r="5" ht="47.25" customFormat="1" customHeight="1" s="275">
      <c r="E5" s="1312" t="inlineStr">
        <is>
          <t>ТЕМА</t>
        </is>
      </c>
    </row>
    <row r="6" ht="6" customFormat="1" customHeight="1" s="448">
      <c r="BA6" s="275" t="n"/>
      <c r="BB6" s="275" t="n"/>
    </row>
    <row r="7" ht="15" customFormat="1" customHeight="1" s="277">
      <c r="GQ7" s="278" t="inlineStr">
        <is>
          <t>(руб.)</t>
        </is>
      </c>
    </row>
    <row r="8" ht="15.75" customFormat="1" customHeight="1" s="279">
      <c r="A8" s="1514" t="inlineStr">
        <is>
          <t>№ 
п/п</t>
        </is>
      </c>
      <c r="B8" s="1416" t="n"/>
      <c r="C8" s="1416" t="n"/>
      <c r="D8" s="1416" t="n"/>
      <c r="E8" s="1416" t="n"/>
      <c r="F8" s="1416" t="n"/>
      <c r="G8" s="1417" t="n"/>
      <c r="H8" s="1514" t="inlineStr">
        <is>
          <t xml:space="preserve">Наименование статей </t>
        </is>
      </c>
      <c r="I8" s="1416" t="n"/>
      <c r="J8" s="1416" t="n"/>
      <c r="K8" s="1416" t="n"/>
      <c r="L8" s="1416" t="n"/>
      <c r="M8" s="1416" t="n"/>
      <c r="N8" s="1416" t="n"/>
      <c r="O8" s="1416" t="n"/>
      <c r="P8" s="1416" t="n"/>
      <c r="Q8" s="1416" t="n"/>
      <c r="R8" s="1416" t="n"/>
      <c r="S8" s="1416" t="n"/>
      <c r="T8" s="1416" t="n"/>
      <c r="U8" s="1416" t="n"/>
      <c r="V8" s="1416" t="n"/>
      <c r="W8" s="1416" t="n"/>
      <c r="X8" s="1416" t="n"/>
      <c r="Y8" s="1416" t="n"/>
      <c r="Z8" s="1416" t="n"/>
      <c r="AA8" s="1416" t="n"/>
      <c r="AB8" s="1416" t="n"/>
      <c r="AC8" s="1416" t="n"/>
      <c r="AD8" s="1416" t="n"/>
      <c r="AE8" s="1416" t="n"/>
      <c r="AF8" s="1416" t="n"/>
      <c r="AG8" s="1416" t="n"/>
      <c r="AH8" s="1416" t="n"/>
      <c r="AI8" s="1416" t="n"/>
      <c r="AJ8" s="1416" t="n"/>
      <c r="AK8" s="1416" t="n"/>
      <c r="AL8" s="1416" t="n"/>
      <c r="AM8" s="1416" t="n"/>
      <c r="AN8" s="1416" t="n"/>
      <c r="AO8" s="1416" t="n"/>
      <c r="AP8" s="1416" t="n"/>
      <c r="AQ8" s="1416" t="n"/>
      <c r="AR8" s="1416" t="n"/>
      <c r="AS8" s="1416" t="n"/>
      <c r="AT8" s="1416" t="n"/>
      <c r="AU8" s="1416" t="n"/>
      <c r="AV8" s="1416" t="n"/>
      <c r="AW8" s="1416" t="n"/>
      <c r="AX8" s="1416" t="n"/>
      <c r="AY8" s="1416" t="n"/>
      <c r="AZ8" s="1416" t="n"/>
      <c r="BA8" s="1416" t="n"/>
      <c r="BB8" s="1416" t="n"/>
      <c r="BC8" s="1416" t="n"/>
      <c r="BD8" s="1416" t="n"/>
      <c r="BE8" s="1416" t="n"/>
      <c r="BF8" s="1416" t="n"/>
      <c r="BG8" s="1416" t="n"/>
      <c r="BH8" s="1416" t="n"/>
      <c r="BI8" s="1417" t="n"/>
      <c r="BJ8" s="1269" t="inlineStr">
        <is>
          <t xml:space="preserve">Отчетный период/период, предшествующий планируемому (год </t>
        </is>
      </c>
      <c r="BK8" s="1416" t="n"/>
      <c r="BL8" s="1416" t="n"/>
      <c r="BM8" s="1416" t="n"/>
      <c r="BN8" s="1416" t="n"/>
      <c r="BO8" s="1416" t="n"/>
      <c r="BP8" s="1416" t="n"/>
      <c r="BQ8" s="1416" t="n"/>
      <c r="BR8" s="1416" t="n"/>
      <c r="BS8" s="1416" t="n"/>
      <c r="BT8" s="1416" t="n"/>
      <c r="BU8" s="1416" t="n"/>
      <c r="BV8" s="1416" t="n"/>
      <c r="BW8" s="1416" t="n"/>
      <c r="BX8" s="1416" t="n"/>
      <c r="BY8" s="1416" t="n"/>
      <c r="BZ8" s="1416" t="n"/>
      <c r="CA8" s="1416" t="n"/>
      <c r="CB8" s="1416" t="n"/>
      <c r="CC8" s="1416" t="n"/>
      <c r="CD8" s="1416" t="n"/>
      <c r="CE8" s="1416" t="n"/>
      <c r="CF8" s="1416" t="n"/>
      <c r="CG8" s="1416" t="n"/>
      <c r="CH8" s="1416" t="n"/>
      <c r="CI8" s="1416" t="n"/>
      <c r="CJ8" s="1416" t="n"/>
      <c r="CK8" s="1416" t="n"/>
      <c r="CL8" s="1416" t="n"/>
      <c r="CM8" s="1416" t="n"/>
      <c r="CN8" s="1416" t="n"/>
      <c r="CO8" s="1416" t="n"/>
      <c r="CP8" s="1416" t="n"/>
      <c r="CQ8" s="1416" t="n"/>
      <c r="CR8" s="1416" t="n"/>
      <c r="CS8" s="1416" t="n"/>
      <c r="CT8" s="1416" t="n"/>
      <c r="CU8" s="1416" t="n"/>
      <c r="CV8" s="1416" t="n"/>
      <c r="CW8" s="1416" t="n"/>
      <c r="CX8" s="1416" t="n"/>
      <c r="CY8" s="1416" t="n"/>
      <c r="CZ8" s="1416" t="n"/>
      <c r="DA8" s="1416" t="n"/>
      <c r="DB8" s="1416" t="n"/>
      <c r="DC8" s="1416" t="n"/>
      <c r="DD8" s="1416" t="n"/>
      <c r="DE8" s="1416" t="n"/>
      <c r="DF8" s="1416" t="n"/>
      <c r="DG8" s="1416" t="n"/>
      <c r="DH8" s="1416" t="n"/>
      <c r="DI8" s="1416" t="n"/>
      <c r="DJ8" s="1416" t="n"/>
      <c r="DK8" s="1416" t="n"/>
      <c r="DL8" s="1416" t="n"/>
      <c r="DM8" s="1416" t="n"/>
      <c r="DN8" s="1416" t="n"/>
      <c r="DO8" s="1416" t="n"/>
      <c r="DP8" s="1416" t="n"/>
      <c r="DQ8" s="1416" t="n"/>
      <c r="DR8" s="1416" t="n"/>
      <c r="DS8" s="1416" t="n"/>
      <c r="DT8" s="1416" t="n"/>
      <c r="DU8" s="1416" t="n"/>
      <c r="DV8" s="1416" t="n"/>
      <c r="DW8" s="1271" t="inlineStr">
        <is>
          <t>2025</t>
        </is>
      </c>
      <c r="DX8" s="1412" t="n"/>
      <c r="DY8" s="1412" t="n"/>
      <c r="DZ8" s="1412" t="n"/>
      <c r="EA8" s="1412" t="n"/>
      <c r="EB8" s="1412" t="n"/>
      <c r="EC8" s="1412" t="n"/>
      <c r="ED8" s="1272" t="inlineStr">
        <is>
          <t>)</t>
        </is>
      </c>
      <c r="EE8" s="1416" t="n"/>
      <c r="EF8" s="1416" t="n"/>
      <c r="EG8" s="1416" t="n"/>
      <c r="EH8" s="1416" t="n"/>
      <c r="EI8" s="1416" t="n"/>
      <c r="EJ8" s="1416" t="n"/>
      <c r="EK8" s="1416" t="n"/>
      <c r="EL8" s="1514" t="inlineStr">
        <is>
          <t xml:space="preserve">применяемый индекс цен </t>
        </is>
      </c>
      <c r="EM8" s="1416" t="n"/>
      <c r="EN8" s="1416" t="n"/>
      <c r="EO8" s="1416" t="n"/>
      <c r="EP8" s="1416" t="n"/>
      <c r="EQ8" s="1416" t="n"/>
      <c r="ER8" s="1416" t="n"/>
      <c r="ES8" s="1416" t="n"/>
      <c r="ET8" s="1416" t="n"/>
      <c r="EU8" s="1416" t="n"/>
      <c r="EV8" s="1416" t="n"/>
      <c r="EW8" s="1416" t="n"/>
      <c r="EX8" s="1416" t="n"/>
      <c r="EY8" s="1416" t="n"/>
      <c r="EZ8" s="1416" t="n"/>
      <c r="FA8" s="1416" t="n"/>
      <c r="FB8" s="1416" t="n"/>
      <c r="FC8" s="1417" t="n"/>
      <c r="FD8" s="1289" t="inlineStr">
        <is>
          <t xml:space="preserve">Планируемый период (год </t>
        </is>
      </c>
      <c r="FE8" s="1416" t="n"/>
      <c r="FF8" s="1416" t="n"/>
      <c r="FG8" s="1416" t="n"/>
      <c r="FH8" s="1416" t="n"/>
      <c r="FI8" s="1416" t="n"/>
      <c r="FJ8" s="1416" t="n"/>
      <c r="FK8" s="1416" t="n"/>
      <c r="FL8" s="1416" t="n"/>
      <c r="FM8" s="1416" t="n"/>
      <c r="FN8" s="1416" t="n"/>
      <c r="FO8" s="1416" t="n"/>
      <c r="FP8" s="1416" t="n"/>
      <c r="FQ8" s="1416" t="n"/>
      <c r="FR8" s="1416" t="n"/>
      <c r="FS8" s="1416" t="n"/>
      <c r="FT8" s="1416" t="n"/>
      <c r="FU8" s="1416" t="n"/>
      <c r="FV8" s="1416" t="n"/>
      <c r="FW8" s="1416" t="n"/>
      <c r="FX8" s="1416" t="n"/>
      <c r="FY8" s="1416" t="n"/>
      <c r="FZ8" s="1416" t="n"/>
      <c r="GA8" s="1416" t="n"/>
      <c r="GB8" s="1416" t="n"/>
      <c r="GC8" s="1416" t="n"/>
      <c r="GD8" s="1416" t="n"/>
      <c r="GE8" s="1416" t="n"/>
      <c r="GF8" s="1271" t="inlineStr">
        <is>
          <t>2026</t>
        </is>
      </c>
      <c r="GG8" s="1412" t="n"/>
      <c r="GH8" s="1412" t="n"/>
      <c r="GI8" s="1412" t="n"/>
      <c r="GJ8" s="1412" t="n"/>
      <c r="GK8" s="1412" t="n"/>
      <c r="GL8" s="1412" t="n"/>
      <c r="GM8" s="1276" t="inlineStr">
        <is>
          <t>)</t>
        </is>
      </c>
      <c r="GN8" s="1416" t="n"/>
      <c r="GO8" s="1416" t="n"/>
      <c r="GP8" s="1416" t="n"/>
      <c r="GQ8" s="1417" t="n"/>
    </row>
    <row r="9" ht="31.5" customFormat="1" customHeight="1" s="279">
      <c r="A9" s="1419" t="n"/>
      <c r="G9" s="1420" t="n"/>
      <c r="H9" s="1419" t="n"/>
      <c r="BI9" s="1420" t="n"/>
      <c r="BJ9" s="1273" t="inlineStr">
        <is>
          <t>план</t>
        </is>
      </c>
      <c r="BK9" s="1412" t="n"/>
      <c r="BL9" s="1412" t="n"/>
      <c r="BM9" s="1412" t="n"/>
      <c r="BN9" s="1412" t="n"/>
      <c r="BO9" s="1412" t="n"/>
      <c r="BP9" s="1412" t="n"/>
      <c r="BQ9" s="1412" t="n"/>
      <c r="BR9" s="1412" t="n"/>
      <c r="BS9" s="1412" t="n"/>
      <c r="BT9" s="1412" t="n"/>
      <c r="BU9" s="1412" t="n"/>
      <c r="BV9" s="1412" t="n"/>
      <c r="BW9" s="1412" t="n"/>
      <c r="BX9" s="1412" t="n"/>
      <c r="BY9" s="1412" t="n"/>
      <c r="BZ9" s="1412" t="n"/>
      <c r="CA9" s="1412" t="n"/>
      <c r="CB9" s="1412" t="n"/>
      <c r="CC9" s="1412" t="n"/>
      <c r="CD9" s="1412" t="n"/>
      <c r="CE9" s="1412" t="n"/>
      <c r="CF9" s="1412" t="n"/>
      <c r="CG9" s="1412" t="n"/>
      <c r="CH9" s="1412" t="n"/>
      <c r="CI9" s="1412" t="n"/>
      <c r="CJ9" s="1412" t="n"/>
      <c r="CK9" s="1412" t="n"/>
      <c r="CL9" s="1412" t="n"/>
      <c r="CM9" s="1412" t="n"/>
      <c r="CN9" s="1412" t="n"/>
      <c r="CO9" s="1412" t="n"/>
      <c r="CP9" s="1412" t="n"/>
      <c r="CQ9" s="1412" t="n"/>
      <c r="CR9" s="1412" t="n"/>
      <c r="CS9" s="1412" t="n"/>
      <c r="CT9" s="1412" t="n"/>
      <c r="CU9" s="1412" t="n"/>
      <c r="CV9" s="1412" t="n"/>
      <c r="CW9" s="1412" t="n"/>
      <c r="CX9" s="1273" t="inlineStr">
        <is>
          <t>факт</t>
        </is>
      </c>
      <c r="CY9" s="1412" t="n"/>
      <c r="CZ9" s="1412" t="n"/>
      <c r="DA9" s="1412" t="n"/>
      <c r="DB9" s="1412" t="n"/>
      <c r="DC9" s="1412" t="n"/>
      <c r="DD9" s="1412" t="n"/>
      <c r="DE9" s="1412" t="n"/>
      <c r="DF9" s="1412" t="n"/>
      <c r="DG9" s="1412" t="n"/>
      <c r="DH9" s="1412" t="n"/>
      <c r="DI9" s="1412" t="n"/>
      <c r="DJ9" s="1412" t="n"/>
      <c r="DK9" s="1412" t="n"/>
      <c r="DL9" s="1412" t="n"/>
      <c r="DM9" s="1412" t="n"/>
      <c r="DN9" s="1412" t="n"/>
      <c r="DO9" s="1412" t="n"/>
      <c r="DP9" s="1412" t="n"/>
      <c r="DQ9" s="1412" t="n"/>
      <c r="DR9" s="1412" t="n"/>
      <c r="DS9" s="1412" t="n"/>
      <c r="DT9" s="1412" t="n"/>
      <c r="DU9" s="1412" t="n"/>
      <c r="DV9" s="1412" t="n"/>
      <c r="DW9" s="1412" t="n"/>
      <c r="DX9" s="1412" t="n"/>
      <c r="DY9" s="1412" t="n"/>
      <c r="DZ9" s="1412" t="n"/>
      <c r="EA9" s="1412" t="n"/>
      <c r="EB9" s="1412" t="n"/>
      <c r="EC9" s="1412" t="n"/>
      <c r="ED9" s="1412" t="n"/>
      <c r="EE9" s="1412" t="n"/>
      <c r="EF9" s="1412" t="n"/>
      <c r="EG9" s="1412" t="n"/>
      <c r="EH9" s="1412" t="n"/>
      <c r="EI9" s="1412" t="n"/>
      <c r="EJ9" s="1412" t="n"/>
      <c r="EK9" s="1412" t="n"/>
      <c r="EL9" s="1419" t="n"/>
      <c r="FC9" s="1420" t="n"/>
      <c r="FD9" s="1514" t="inlineStr">
        <is>
          <t>предложено организацией-поставщиком (подрядчиком, исполнителем)</t>
        </is>
      </c>
      <c r="FE9" s="1412" t="n"/>
      <c r="FF9" s="1412" t="n"/>
      <c r="FG9" s="1412" t="n"/>
      <c r="FH9" s="1412" t="n"/>
      <c r="FI9" s="1412" t="n"/>
      <c r="FJ9" s="1412" t="n"/>
      <c r="FK9" s="1412" t="n"/>
      <c r="FL9" s="1412" t="n"/>
      <c r="FM9" s="1412" t="n"/>
      <c r="FN9" s="1412" t="n"/>
      <c r="FO9" s="1412" t="n"/>
      <c r="FP9" s="1412" t="n"/>
      <c r="FQ9" s="1412" t="n"/>
      <c r="FR9" s="1412" t="n"/>
      <c r="FS9" s="1412" t="n"/>
      <c r="FT9" s="1412" t="n"/>
      <c r="FU9" s="1412" t="n"/>
      <c r="FV9" s="1412" t="n"/>
      <c r="FW9" s="1412" t="n"/>
      <c r="FX9" s="1412" t="n"/>
      <c r="FY9" s="1412" t="n"/>
      <c r="FZ9" s="1412" t="n"/>
      <c r="GA9" s="1412" t="n"/>
      <c r="GB9" s="1412" t="n"/>
      <c r="GC9" s="1412" t="n"/>
      <c r="GD9" s="1412" t="n"/>
      <c r="GE9" s="1412" t="n"/>
      <c r="GF9" s="1412" t="n"/>
      <c r="GG9" s="1412" t="n"/>
      <c r="GH9" s="1412" t="n"/>
      <c r="GI9" s="1412" t="n"/>
      <c r="GJ9" s="1412" t="n"/>
      <c r="GK9" s="1412" t="n"/>
      <c r="GL9" s="1412" t="n"/>
      <c r="GM9" s="1412" t="n"/>
      <c r="GN9" s="1412" t="n"/>
      <c r="GO9" s="1412" t="n"/>
      <c r="GP9" s="1412" t="n"/>
      <c r="GQ9" s="1410" t="n"/>
    </row>
    <row r="10" ht="43.5" customFormat="1" customHeight="1" s="279">
      <c r="A10" s="1414" t="n"/>
      <c r="B10" s="1409" t="n"/>
      <c r="C10" s="1409" t="n"/>
      <c r="D10" s="1409" t="n"/>
      <c r="E10" s="1409" t="n"/>
      <c r="F10" s="1409" t="n"/>
      <c r="G10" s="1421" t="n"/>
      <c r="H10" s="1414" t="n"/>
      <c r="I10" s="1409" t="n"/>
      <c r="J10" s="1409" t="n"/>
      <c r="K10" s="1409" t="n"/>
      <c r="L10" s="1409" t="n"/>
      <c r="M10" s="1409" t="n"/>
      <c r="N10" s="1409" t="n"/>
      <c r="O10" s="1409" t="n"/>
      <c r="P10" s="1409" t="n"/>
      <c r="Q10" s="1409" t="n"/>
      <c r="R10" s="1409" t="n"/>
      <c r="S10" s="1409" t="n"/>
      <c r="T10" s="1409" t="n"/>
      <c r="U10" s="1409" t="n"/>
      <c r="V10" s="1409" t="n"/>
      <c r="W10" s="1409" t="n"/>
      <c r="X10" s="1409" t="n"/>
      <c r="Y10" s="1409" t="n"/>
      <c r="Z10" s="1409" t="n"/>
      <c r="AA10" s="1409" t="n"/>
      <c r="AB10" s="1409" t="n"/>
      <c r="AC10" s="1409" t="n"/>
      <c r="AD10" s="1409" t="n"/>
      <c r="AE10" s="1409" t="n"/>
      <c r="AF10" s="1409" t="n"/>
      <c r="AG10" s="1409" t="n"/>
      <c r="AH10" s="1409" t="n"/>
      <c r="AI10" s="1409" t="n"/>
      <c r="AJ10" s="1409" t="n"/>
      <c r="AK10" s="1409" t="n"/>
      <c r="AL10" s="1409" t="n"/>
      <c r="AM10" s="1409" t="n"/>
      <c r="AN10" s="1409" t="n"/>
      <c r="AO10" s="1409" t="n"/>
      <c r="AP10" s="1409" t="n"/>
      <c r="AQ10" s="1409" t="n"/>
      <c r="AR10" s="1409" t="n"/>
      <c r="AS10" s="1409" t="n"/>
      <c r="AT10" s="1409" t="n"/>
      <c r="AU10" s="1409" t="n"/>
      <c r="AV10" s="1409" t="n"/>
      <c r="AW10" s="1409" t="n"/>
      <c r="AX10" s="1409" t="n"/>
      <c r="AY10" s="1409" t="n"/>
      <c r="AZ10" s="1409" t="n"/>
      <c r="BA10" s="1409" t="n"/>
      <c r="BB10" s="1409" t="n"/>
      <c r="BC10" s="1409" t="n"/>
      <c r="BD10" s="1409" t="n"/>
      <c r="BE10" s="1409" t="n"/>
      <c r="BF10" s="1409" t="n"/>
      <c r="BG10" s="1409" t="n"/>
      <c r="BH10" s="1409" t="n"/>
      <c r="BI10" s="1421" t="n"/>
      <c r="BJ10" s="1275" t="inlineStr">
        <is>
          <t>всего</t>
        </is>
      </c>
      <c r="BK10" s="1412" t="n"/>
      <c r="BL10" s="1412" t="n"/>
      <c r="BM10" s="1412" t="n"/>
      <c r="BN10" s="1412" t="n"/>
      <c r="BO10" s="1412" t="n"/>
      <c r="BP10" s="1412" t="n"/>
      <c r="BQ10" s="1412" t="n"/>
      <c r="BR10" s="1412" t="n"/>
      <c r="BS10" s="1412" t="n"/>
      <c r="BT10" s="1412" t="n"/>
      <c r="BU10" s="1412" t="n"/>
      <c r="BV10" s="1412" t="n"/>
      <c r="BW10" s="1412" t="n"/>
      <c r="BX10" s="1412" t="n"/>
      <c r="BY10" s="1412" t="n"/>
      <c r="BZ10" s="1412" t="n"/>
      <c r="CA10" s="1412" t="n"/>
      <c r="CB10" s="1410" t="n"/>
      <c r="CC10" s="1514" t="inlineStr">
        <is>
          <t>в том числе по госконтрактам (контрактам) ГОЗ</t>
        </is>
      </c>
      <c r="CD10" s="1412" t="n"/>
      <c r="CE10" s="1412" t="n"/>
      <c r="CF10" s="1412" t="n"/>
      <c r="CG10" s="1412" t="n"/>
      <c r="CH10" s="1412" t="n"/>
      <c r="CI10" s="1412" t="n"/>
      <c r="CJ10" s="1412" t="n"/>
      <c r="CK10" s="1412" t="n"/>
      <c r="CL10" s="1412" t="n"/>
      <c r="CM10" s="1412" t="n"/>
      <c r="CN10" s="1412" t="n"/>
      <c r="CO10" s="1412" t="n"/>
      <c r="CP10" s="1412" t="n"/>
      <c r="CQ10" s="1412" t="n"/>
      <c r="CR10" s="1412" t="n"/>
      <c r="CS10" s="1412" t="n"/>
      <c r="CT10" s="1412" t="n"/>
      <c r="CU10" s="1412" t="n"/>
      <c r="CV10" s="1412" t="n"/>
      <c r="CW10" s="1410" t="n"/>
      <c r="CX10" s="1275" t="inlineStr">
        <is>
          <t>всего</t>
        </is>
      </c>
      <c r="CY10" s="1412" t="n"/>
      <c r="CZ10" s="1412" t="n"/>
      <c r="DA10" s="1412" t="n"/>
      <c r="DB10" s="1412" t="n"/>
      <c r="DC10" s="1412" t="n"/>
      <c r="DD10" s="1412" t="n"/>
      <c r="DE10" s="1412" t="n"/>
      <c r="DF10" s="1412" t="n"/>
      <c r="DG10" s="1412" t="n"/>
      <c r="DH10" s="1412" t="n"/>
      <c r="DI10" s="1412" t="n"/>
      <c r="DJ10" s="1412" t="n"/>
      <c r="DK10" s="1412" t="n"/>
      <c r="DL10" s="1412" t="n"/>
      <c r="DM10" s="1412" t="n"/>
      <c r="DN10" s="1412" t="n"/>
      <c r="DO10" s="1412" t="n"/>
      <c r="DP10" s="1410" t="n"/>
      <c r="DQ10" s="1273" t="inlineStr">
        <is>
          <t>в том числе по госконтрактам (контрактам) ГОЗ</t>
        </is>
      </c>
      <c r="DR10" s="1412" t="n"/>
      <c r="DS10" s="1412" t="n"/>
      <c r="DT10" s="1412" t="n"/>
      <c r="DU10" s="1412" t="n"/>
      <c r="DV10" s="1412" t="n"/>
      <c r="DW10" s="1412" t="n"/>
      <c r="DX10" s="1412" t="n"/>
      <c r="DY10" s="1412" t="n"/>
      <c r="DZ10" s="1412" t="n"/>
      <c r="EA10" s="1412" t="n"/>
      <c r="EB10" s="1412" t="n"/>
      <c r="EC10" s="1412" t="n"/>
      <c r="ED10" s="1412" t="n"/>
      <c r="EE10" s="1412" t="n"/>
      <c r="EF10" s="1412" t="n"/>
      <c r="EG10" s="1412" t="n"/>
      <c r="EH10" s="1412" t="n"/>
      <c r="EI10" s="1412" t="n"/>
      <c r="EJ10" s="1412" t="n"/>
      <c r="EK10" s="1412" t="n"/>
      <c r="EL10" s="1414" t="n"/>
      <c r="EM10" s="1409" t="n"/>
      <c r="EN10" s="1409" t="n"/>
      <c r="EO10" s="1409" t="n"/>
      <c r="EP10" s="1409" t="n"/>
      <c r="EQ10" s="1409" t="n"/>
      <c r="ER10" s="1409" t="n"/>
      <c r="ES10" s="1409" t="n"/>
      <c r="ET10" s="1409" t="n"/>
      <c r="EU10" s="1409" t="n"/>
      <c r="EV10" s="1409" t="n"/>
      <c r="EW10" s="1409" t="n"/>
      <c r="EX10" s="1409" t="n"/>
      <c r="EY10" s="1409" t="n"/>
      <c r="EZ10" s="1409" t="n"/>
      <c r="FA10" s="1409" t="n"/>
      <c r="FB10" s="1409" t="n"/>
      <c r="FC10" s="1421" t="n"/>
      <c r="FD10" s="1275" t="inlineStr">
        <is>
          <t>всего</t>
        </is>
      </c>
      <c r="FE10" s="1412" t="n"/>
      <c r="FF10" s="1412" t="n"/>
      <c r="FG10" s="1412" t="n"/>
      <c r="FH10" s="1412" t="n"/>
      <c r="FI10" s="1412" t="n"/>
      <c r="FJ10" s="1412" t="n"/>
      <c r="FK10" s="1412" t="n"/>
      <c r="FL10" s="1412" t="n"/>
      <c r="FM10" s="1412" t="n"/>
      <c r="FN10" s="1412" t="n"/>
      <c r="FO10" s="1412" t="n"/>
      <c r="FP10" s="1412" t="n"/>
      <c r="FQ10" s="1412" t="n"/>
      <c r="FR10" s="1412" t="n"/>
      <c r="FS10" s="1412" t="n"/>
      <c r="FT10" s="1412" t="n"/>
      <c r="FU10" s="1412" t="n"/>
      <c r="FV10" s="1410" t="n"/>
      <c r="FW10" s="1514" t="inlineStr">
        <is>
          <t>в том числе по госконтрактам (контрактам) ГОЗ</t>
        </is>
      </c>
      <c r="FX10" s="1412" t="n"/>
      <c r="FY10" s="1412" t="n"/>
      <c r="FZ10" s="1412" t="n"/>
      <c r="GA10" s="1412" t="n"/>
      <c r="GB10" s="1412" t="n"/>
      <c r="GC10" s="1412" t="n"/>
      <c r="GD10" s="1412" t="n"/>
      <c r="GE10" s="1412" t="n"/>
      <c r="GF10" s="1412" t="n"/>
      <c r="GG10" s="1412" t="n"/>
      <c r="GH10" s="1412" t="n"/>
      <c r="GI10" s="1412" t="n"/>
      <c r="GJ10" s="1412" t="n"/>
      <c r="GK10" s="1412" t="n"/>
      <c r="GL10" s="1412" t="n"/>
      <c r="GM10" s="1412" t="n"/>
      <c r="GN10" s="1412" t="n"/>
      <c r="GO10" s="1412" t="n"/>
      <c r="GP10" s="1412" t="n"/>
      <c r="GQ10" s="1410" t="n"/>
    </row>
    <row r="11" ht="12.75" customFormat="1" customHeight="1" s="280">
      <c r="A11" s="1515" t="n">
        <v>1</v>
      </c>
      <c r="B11" s="1412" t="n"/>
      <c r="C11" s="1412" t="n"/>
      <c r="D11" s="1412" t="n"/>
      <c r="E11" s="1412" t="n"/>
      <c r="F11" s="1412" t="n"/>
      <c r="G11" s="1410" t="n"/>
      <c r="H11" s="1284" t="n">
        <v>2</v>
      </c>
      <c r="I11" s="1412" t="n"/>
      <c r="J11" s="1412" t="n"/>
      <c r="K11" s="1412" t="n"/>
      <c r="L11" s="1412" t="n"/>
      <c r="M11" s="1412" t="n"/>
      <c r="N11" s="1412" t="n"/>
      <c r="O11" s="1412" t="n"/>
      <c r="P11" s="1412" t="n"/>
      <c r="Q11" s="1412" t="n"/>
      <c r="R11" s="1412" t="n"/>
      <c r="S11" s="1412" t="n"/>
      <c r="T11" s="1412" t="n"/>
      <c r="U11" s="1412" t="n"/>
      <c r="V11" s="1412" t="n"/>
      <c r="W11" s="1412" t="n"/>
      <c r="X11" s="1412" t="n"/>
      <c r="Y11" s="1412" t="n"/>
      <c r="Z11" s="1412" t="n"/>
      <c r="AA11" s="1412" t="n"/>
      <c r="AB11" s="1412" t="n"/>
      <c r="AC11" s="1412" t="n"/>
      <c r="AD11" s="1412" t="n"/>
      <c r="AE11" s="1412" t="n"/>
      <c r="AF11" s="1412" t="n"/>
      <c r="AG11" s="1412" t="n"/>
      <c r="AH11" s="1412" t="n"/>
      <c r="AI11" s="1412" t="n"/>
      <c r="AJ11" s="1412" t="n"/>
      <c r="AK11" s="1412" t="n"/>
      <c r="AL11" s="1412" t="n"/>
      <c r="AM11" s="1412" t="n"/>
      <c r="AN11" s="1412" t="n"/>
      <c r="AO11" s="1412" t="n"/>
      <c r="AP11" s="1412" t="n"/>
      <c r="AQ11" s="1412" t="n"/>
      <c r="AR11" s="1412" t="n"/>
      <c r="AS11" s="1412" t="n"/>
      <c r="AT11" s="1412" t="n"/>
      <c r="AU11" s="1412" t="n"/>
      <c r="AV11" s="1412" t="n"/>
      <c r="AW11" s="1412" t="n"/>
      <c r="AX11" s="1412" t="n"/>
      <c r="AY11" s="1412" t="n"/>
      <c r="AZ11" s="1412" t="n"/>
      <c r="BA11" s="1412" t="n"/>
      <c r="BB11" s="1412" t="n"/>
      <c r="BC11" s="1412" t="n"/>
      <c r="BD11" s="1412" t="n"/>
      <c r="BE11" s="1412" t="n"/>
      <c r="BF11" s="1412" t="n"/>
      <c r="BG11" s="1412" t="n"/>
      <c r="BH11" s="1412" t="n"/>
      <c r="BI11" s="1410" t="n"/>
      <c r="BJ11" s="1284" t="n">
        <v>3</v>
      </c>
      <c r="BK11" s="1412" t="n"/>
      <c r="BL11" s="1412" t="n"/>
      <c r="BM11" s="1412" t="n"/>
      <c r="BN11" s="1412" t="n"/>
      <c r="BO11" s="1412" t="n"/>
      <c r="BP11" s="1412" t="n"/>
      <c r="BQ11" s="1412" t="n"/>
      <c r="BR11" s="1412" t="n"/>
      <c r="BS11" s="1412" t="n"/>
      <c r="BT11" s="1412" t="n"/>
      <c r="BU11" s="1412" t="n"/>
      <c r="BV11" s="1412" t="n"/>
      <c r="BW11" s="1412" t="n"/>
      <c r="BX11" s="1412" t="n"/>
      <c r="BY11" s="1412" t="n"/>
      <c r="BZ11" s="1412" t="n"/>
      <c r="CA11" s="1412" t="n"/>
      <c r="CB11" s="1410" t="n"/>
      <c r="CC11" s="1284" t="n">
        <v>4</v>
      </c>
      <c r="CD11" s="1412" t="n"/>
      <c r="CE11" s="1412" t="n"/>
      <c r="CF11" s="1412" t="n"/>
      <c r="CG11" s="1412" t="n"/>
      <c r="CH11" s="1412" t="n"/>
      <c r="CI11" s="1412" t="n"/>
      <c r="CJ11" s="1412" t="n"/>
      <c r="CK11" s="1412" t="n"/>
      <c r="CL11" s="1412" t="n"/>
      <c r="CM11" s="1412" t="n"/>
      <c r="CN11" s="1412" t="n"/>
      <c r="CO11" s="1412" t="n"/>
      <c r="CP11" s="1412" t="n"/>
      <c r="CQ11" s="1412" t="n"/>
      <c r="CR11" s="1412" t="n"/>
      <c r="CS11" s="1412" t="n"/>
      <c r="CT11" s="1412" t="n"/>
      <c r="CU11" s="1412" t="n"/>
      <c r="CV11" s="1412" t="n"/>
      <c r="CW11" s="1410" t="n"/>
      <c r="CX11" s="1284" t="n">
        <v>5</v>
      </c>
      <c r="CY11" s="1412" t="n"/>
      <c r="CZ11" s="1412" t="n"/>
      <c r="DA11" s="1412" t="n"/>
      <c r="DB11" s="1412" t="n"/>
      <c r="DC11" s="1412" t="n"/>
      <c r="DD11" s="1412" t="n"/>
      <c r="DE11" s="1412" t="n"/>
      <c r="DF11" s="1412" t="n"/>
      <c r="DG11" s="1412" t="n"/>
      <c r="DH11" s="1412" t="n"/>
      <c r="DI11" s="1412" t="n"/>
      <c r="DJ11" s="1412" t="n"/>
      <c r="DK11" s="1412" t="n"/>
      <c r="DL11" s="1412" t="n"/>
      <c r="DM11" s="1412" t="n"/>
      <c r="DN11" s="1412" t="n"/>
      <c r="DO11" s="1412" t="n"/>
      <c r="DP11" s="1410" t="n"/>
      <c r="DQ11" s="1284" t="n">
        <v>6</v>
      </c>
      <c r="DR11" s="1412" t="n"/>
      <c r="DS11" s="1412" t="n"/>
      <c r="DT11" s="1412" t="n"/>
      <c r="DU11" s="1412" t="n"/>
      <c r="DV11" s="1412" t="n"/>
      <c r="DW11" s="1412" t="n"/>
      <c r="DX11" s="1412" t="n"/>
      <c r="DY11" s="1412" t="n"/>
      <c r="DZ11" s="1412" t="n"/>
      <c r="EA11" s="1412" t="n"/>
      <c r="EB11" s="1412" t="n"/>
      <c r="EC11" s="1412" t="n"/>
      <c r="ED11" s="1412" t="n"/>
      <c r="EE11" s="1412" t="n"/>
      <c r="EF11" s="1412" t="n"/>
      <c r="EG11" s="1412" t="n"/>
      <c r="EH11" s="1412" t="n"/>
      <c r="EI11" s="1412" t="n"/>
      <c r="EJ11" s="1412" t="n"/>
      <c r="EK11" s="1410" t="n"/>
      <c r="EL11" s="1284" t="n">
        <v>7</v>
      </c>
      <c r="EM11" s="1412" t="n"/>
      <c r="EN11" s="1412" t="n"/>
      <c r="EO11" s="1412" t="n"/>
      <c r="EP11" s="1412" t="n"/>
      <c r="EQ11" s="1412" t="n"/>
      <c r="ER11" s="1412" t="n"/>
      <c r="ES11" s="1412" t="n"/>
      <c r="ET11" s="1412" t="n"/>
      <c r="EU11" s="1412" t="n"/>
      <c r="EV11" s="1412" t="n"/>
      <c r="EW11" s="1412" t="n"/>
      <c r="EX11" s="1412" t="n"/>
      <c r="EY11" s="1412" t="n"/>
      <c r="EZ11" s="1412" t="n"/>
      <c r="FA11" s="1412" t="n"/>
      <c r="FB11" s="1412" t="n"/>
      <c r="FC11" s="1410" t="n"/>
      <c r="FD11" s="1284" t="n">
        <v>8</v>
      </c>
      <c r="FE11" s="1412" t="n"/>
      <c r="FF11" s="1412" t="n"/>
      <c r="FG11" s="1412" t="n"/>
      <c r="FH11" s="1412" t="n"/>
      <c r="FI11" s="1412" t="n"/>
      <c r="FJ11" s="1412" t="n"/>
      <c r="FK11" s="1412" t="n"/>
      <c r="FL11" s="1412" t="n"/>
      <c r="FM11" s="1412" t="n"/>
      <c r="FN11" s="1412" t="n"/>
      <c r="FO11" s="1412" t="n"/>
      <c r="FP11" s="1412" t="n"/>
      <c r="FQ11" s="1412" t="n"/>
      <c r="FR11" s="1412" t="n"/>
      <c r="FS11" s="1412" t="n"/>
      <c r="FT11" s="1412" t="n"/>
      <c r="FU11" s="1412" t="n"/>
      <c r="FV11" s="1410" t="n"/>
      <c r="FW11" s="1284" t="n">
        <v>9</v>
      </c>
      <c r="FX11" s="1412" t="n"/>
      <c r="FY11" s="1412" t="n"/>
      <c r="FZ11" s="1412" t="n"/>
      <c r="GA11" s="1412" t="n"/>
      <c r="GB11" s="1412" t="n"/>
      <c r="GC11" s="1412" t="n"/>
      <c r="GD11" s="1412" t="n"/>
      <c r="GE11" s="1412" t="n"/>
      <c r="GF11" s="1412" t="n"/>
      <c r="GG11" s="1412" t="n"/>
      <c r="GH11" s="1412" t="n"/>
      <c r="GI11" s="1412" t="n"/>
      <c r="GJ11" s="1412" t="n"/>
      <c r="GK11" s="1412" t="n"/>
      <c r="GL11" s="1412" t="n"/>
      <c r="GM11" s="1412" t="n"/>
      <c r="GN11" s="1412" t="n"/>
      <c r="GO11" s="1412" t="n"/>
      <c r="GP11" s="1412" t="n"/>
      <c r="GQ11" s="1410" t="n"/>
    </row>
    <row r="12" ht="18.75" customFormat="1" customHeight="1" s="280">
      <c r="A12" s="1319" t="inlineStr">
        <is>
          <t>1</t>
        </is>
      </c>
      <c r="B12" s="1412" t="n"/>
      <c r="C12" s="1412" t="n"/>
      <c r="D12" s="1412" t="n"/>
      <c r="E12" s="1412" t="n"/>
      <c r="F12" s="1412" t="n"/>
      <c r="G12" s="1410" t="n"/>
      <c r="H12" s="1516" t="inlineStr">
        <is>
          <t>Норматив на ОХР</t>
        </is>
      </c>
      <c r="I12" s="1412" t="n"/>
      <c r="J12" s="1412" t="n"/>
      <c r="K12" s="1412" t="n"/>
      <c r="L12" s="1412" t="n"/>
      <c r="M12" s="1412" t="n"/>
      <c r="N12" s="1412" t="n"/>
      <c r="O12" s="1412" t="n"/>
      <c r="P12" s="1412" t="n"/>
      <c r="Q12" s="1412" t="n"/>
      <c r="R12" s="1412" t="n"/>
      <c r="S12" s="1412" t="n"/>
      <c r="T12" s="1412" t="n"/>
      <c r="U12" s="1412" t="n"/>
      <c r="V12" s="1412" t="n"/>
      <c r="W12" s="1412" t="n"/>
      <c r="X12" s="1412" t="n"/>
      <c r="Y12" s="1412" t="n"/>
      <c r="Z12" s="1412" t="n"/>
      <c r="AA12" s="1412" t="n"/>
      <c r="AB12" s="1412" t="n"/>
      <c r="AC12" s="1412" t="n"/>
      <c r="AD12" s="1412" t="n"/>
      <c r="AE12" s="1412" t="n"/>
      <c r="AF12" s="1412" t="n"/>
      <c r="AG12" s="1412" t="n"/>
      <c r="AH12" s="1412" t="n"/>
      <c r="AI12" s="1412" t="n"/>
      <c r="AJ12" s="1412" t="n"/>
      <c r="AK12" s="1412" t="n"/>
      <c r="AL12" s="1412" t="n"/>
      <c r="AM12" s="1412" t="n"/>
      <c r="AN12" s="1412" t="n"/>
      <c r="AO12" s="1412" t="n"/>
      <c r="AP12" s="1412" t="n"/>
      <c r="AQ12" s="1412" t="n"/>
      <c r="AR12" s="1412" t="n"/>
      <c r="AS12" s="1412" t="n"/>
      <c r="AT12" s="1412" t="n"/>
      <c r="AU12" s="1412" t="n"/>
      <c r="AV12" s="1412" t="n"/>
      <c r="AW12" s="1412" t="n"/>
      <c r="AX12" s="1412" t="n"/>
      <c r="AY12" s="1412" t="n"/>
      <c r="AZ12" s="1412" t="n"/>
      <c r="BA12" s="1412" t="n"/>
      <c r="BB12" s="1412" t="n"/>
      <c r="BC12" s="1412" t="n"/>
      <c r="BD12" s="1412" t="n"/>
      <c r="BE12" s="1412" t="n"/>
      <c r="BF12" s="1412" t="n"/>
      <c r="BG12" s="1412" t="n"/>
      <c r="BH12" s="1412" t="n"/>
      <c r="BI12" s="1410" t="n"/>
      <c r="BJ12" s="1284" t="inlineStr">
        <is>
          <t>-</t>
        </is>
      </c>
      <c r="BK12" s="1412" t="n"/>
      <c r="BL12" s="1412" t="n"/>
      <c r="BM12" s="1412" t="n"/>
      <c r="BN12" s="1412" t="n"/>
      <c r="BO12" s="1412" t="n"/>
      <c r="BP12" s="1412" t="n"/>
      <c r="BQ12" s="1412" t="n"/>
      <c r="BR12" s="1412" t="n"/>
      <c r="BS12" s="1412" t="n"/>
      <c r="BT12" s="1412" t="n"/>
      <c r="BU12" s="1412" t="n"/>
      <c r="BV12" s="1412" t="n"/>
      <c r="BW12" s="1412" t="n"/>
      <c r="BX12" s="1412" t="n"/>
      <c r="BY12" s="1412" t="n"/>
      <c r="BZ12" s="1412" t="n"/>
      <c r="CA12" s="1412" t="n"/>
      <c r="CB12" s="1410" t="n"/>
      <c r="CC12" s="1284" t="inlineStr">
        <is>
          <t>-</t>
        </is>
      </c>
      <c r="CD12" s="1412" t="n"/>
      <c r="CE12" s="1412" t="n"/>
      <c r="CF12" s="1412" t="n"/>
      <c r="CG12" s="1412" t="n"/>
      <c r="CH12" s="1412" t="n"/>
      <c r="CI12" s="1412" t="n"/>
      <c r="CJ12" s="1412" t="n"/>
      <c r="CK12" s="1412" t="n"/>
      <c r="CL12" s="1412" t="n"/>
      <c r="CM12" s="1412" t="n"/>
      <c r="CN12" s="1412" t="n"/>
      <c r="CO12" s="1412" t="n"/>
      <c r="CP12" s="1412" t="n"/>
      <c r="CQ12" s="1412" t="n"/>
      <c r="CR12" s="1412" t="n"/>
      <c r="CS12" s="1412" t="n"/>
      <c r="CT12" s="1412" t="n"/>
      <c r="CU12" s="1412" t="n"/>
      <c r="CV12" s="1412" t="n"/>
      <c r="CW12" s="1410" t="n"/>
      <c r="CX12" s="1284" t="inlineStr">
        <is>
          <t>-</t>
        </is>
      </c>
      <c r="CY12" s="1412" t="n"/>
      <c r="CZ12" s="1412" t="n"/>
      <c r="DA12" s="1412" t="n"/>
      <c r="DB12" s="1412" t="n"/>
      <c r="DC12" s="1412" t="n"/>
      <c r="DD12" s="1412" t="n"/>
      <c r="DE12" s="1412" t="n"/>
      <c r="DF12" s="1412" t="n"/>
      <c r="DG12" s="1412" t="n"/>
      <c r="DH12" s="1412" t="n"/>
      <c r="DI12" s="1412" t="n"/>
      <c r="DJ12" s="1412" t="n"/>
      <c r="DK12" s="1412" t="n"/>
      <c r="DL12" s="1412" t="n"/>
      <c r="DM12" s="1412" t="n"/>
      <c r="DN12" s="1412" t="n"/>
      <c r="DO12" s="1412" t="n"/>
      <c r="DP12" s="1410" t="n"/>
      <c r="DQ12" s="1284" t="inlineStr">
        <is>
          <t>-</t>
        </is>
      </c>
      <c r="DR12" s="1412" t="n"/>
      <c r="DS12" s="1412" t="n"/>
      <c r="DT12" s="1412" t="n"/>
      <c r="DU12" s="1412" t="n"/>
      <c r="DV12" s="1412" t="n"/>
      <c r="DW12" s="1412" t="n"/>
      <c r="DX12" s="1412" t="n"/>
      <c r="DY12" s="1412" t="n"/>
      <c r="DZ12" s="1412" t="n"/>
      <c r="EA12" s="1412" t="n"/>
      <c r="EB12" s="1412" t="n"/>
      <c r="EC12" s="1412" t="n"/>
      <c r="ED12" s="1412" t="n"/>
      <c r="EE12" s="1412" t="n"/>
      <c r="EF12" s="1412" t="n"/>
      <c r="EG12" s="1412" t="n"/>
      <c r="EH12" s="1412" t="n"/>
      <c r="EI12" s="1412" t="n"/>
      <c r="EJ12" s="1412" t="n"/>
      <c r="EK12" s="1410" t="n"/>
      <c r="EL12" s="1284" t="inlineStr">
        <is>
          <t>-</t>
        </is>
      </c>
      <c r="EM12" s="1412" t="n"/>
      <c r="EN12" s="1412" t="n"/>
      <c r="EO12" s="1412" t="n"/>
      <c r="EP12" s="1412" t="n"/>
      <c r="EQ12" s="1412" t="n"/>
      <c r="ER12" s="1412" t="n"/>
      <c r="ES12" s="1412" t="n"/>
      <c r="ET12" s="1412" t="n"/>
      <c r="EU12" s="1412" t="n"/>
      <c r="EV12" s="1412" t="n"/>
      <c r="EW12" s="1412" t="n"/>
      <c r="EX12" s="1412" t="n"/>
      <c r="EY12" s="1412" t="n"/>
      <c r="EZ12" s="1412" t="n"/>
      <c r="FA12" s="1412" t="n"/>
      <c r="FB12" s="1412" t="n"/>
      <c r="FC12" s="1410" t="n"/>
      <c r="FD12" s="1517">
        <f>ROUND(FD14*FD16/100,2)</f>
        <v/>
      </c>
      <c r="FE12" s="1412" t="n"/>
      <c r="FF12" s="1412" t="n"/>
      <c r="FG12" s="1412" t="n"/>
      <c r="FH12" s="1412" t="n"/>
      <c r="FI12" s="1412" t="n"/>
      <c r="FJ12" s="1412" t="n"/>
      <c r="FK12" s="1412" t="n"/>
      <c r="FL12" s="1412" t="n"/>
      <c r="FM12" s="1412" t="n"/>
      <c r="FN12" s="1412" t="n"/>
      <c r="FO12" s="1412" t="n"/>
      <c r="FP12" s="1412" t="n"/>
      <c r="FQ12" s="1412" t="n"/>
      <c r="FR12" s="1412" t="n"/>
      <c r="FS12" s="1412" t="n"/>
      <c r="FT12" s="1412" t="n"/>
      <c r="FU12" s="1412" t="n"/>
      <c r="FV12" s="1410" t="n"/>
      <c r="FW12" s="1517">
        <f>FD12</f>
        <v/>
      </c>
      <c r="FX12" s="1412" t="n"/>
      <c r="FY12" s="1412" t="n"/>
      <c r="FZ12" s="1412" t="n"/>
      <c r="GA12" s="1412" t="n"/>
      <c r="GB12" s="1412" t="n"/>
      <c r="GC12" s="1412" t="n"/>
      <c r="GD12" s="1412" t="n"/>
      <c r="GE12" s="1412" t="n"/>
      <c r="GF12" s="1412" t="n"/>
      <c r="GG12" s="1412" t="n"/>
      <c r="GH12" s="1412" t="n"/>
      <c r="GI12" s="1412" t="n"/>
      <c r="GJ12" s="1412" t="n"/>
      <c r="GK12" s="1412" t="n"/>
      <c r="GL12" s="1412" t="n"/>
      <c r="GM12" s="1412" t="n"/>
      <c r="GN12" s="1412" t="n"/>
      <c r="GO12" s="1412" t="n"/>
      <c r="GP12" s="1412" t="n"/>
      <c r="GQ12" s="1410" t="n"/>
    </row>
    <row r="13" ht="15" customFormat="1" customHeight="1" s="280" thickBot="1">
      <c r="A13" s="1518" t="inlineStr">
        <is>
          <t>ИТОГО</t>
        </is>
      </c>
      <c r="B13" s="1519" t="n"/>
      <c r="C13" s="1519" t="n"/>
      <c r="D13" s="1519" t="n"/>
      <c r="E13" s="1519" t="n"/>
      <c r="F13" s="1519" t="n"/>
      <c r="G13" s="1519" t="n"/>
      <c r="H13" s="1519" t="n"/>
      <c r="I13" s="1519" t="n"/>
      <c r="J13" s="1519" t="n"/>
      <c r="K13" s="1519" t="n"/>
      <c r="L13" s="1519" t="n"/>
      <c r="M13" s="1519" t="n"/>
      <c r="N13" s="1519" t="n"/>
      <c r="O13" s="1519" t="n"/>
      <c r="P13" s="1519" t="n"/>
      <c r="Q13" s="1519" t="n"/>
      <c r="R13" s="1519" t="n"/>
      <c r="S13" s="1519" t="n"/>
      <c r="T13" s="1519" t="n"/>
      <c r="U13" s="1519" t="n"/>
      <c r="V13" s="1519" t="n"/>
      <c r="W13" s="1519" t="n"/>
      <c r="X13" s="1519" t="n"/>
      <c r="Y13" s="1519" t="n"/>
      <c r="Z13" s="1519" t="n"/>
      <c r="AA13" s="1519" t="n"/>
      <c r="AB13" s="1519" t="n"/>
      <c r="AC13" s="1519" t="n"/>
      <c r="AD13" s="1519" t="n"/>
      <c r="AE13" s="1519" t="n"/>
      <c r="AF13" s="1519" t="n"/>
      <c r="AG13" s="1519" t="n"/>
      <c r="AH13" s="1519" t="n"/>
      <c r="AI13" s="1519" t="n"/>
      <c r="AJ13" s="1519" t="n"/>
      <c r="AK13" s="1519" t="n"/>
      <c r="AL13" s="1519" t="n"/>
      <c r="AM13" s="1519" t="n"/>
      <c r="AN13" s="1519" t="n"/>
      <c r="AO13" s="1519" t="n"/>
      <c r="AP13" s="1519" t="n"/>
      <c r="AQ13" s="1519" t="n"/>
      <c r="AR13" s="1519" t="n"/>
      <c r="AS13" s="1519" t="n"/>
      <c r="AT13" s="1519" t="n"/>
      <c r="AU13" s="1519" t="n"/>
      <c r="AV13" s="1519" t="n"/>
      <c r="AW13" s="1519" t="n"/>
      <c r="AX13" s="1519" t="n"/>
      <c r="AY13" s="1519" t="n"/>
      <c r="AZ13" s="1519" t="n"/>
      <c r="BA13" s="1519" t="n"/>
      <c r="BB13" s="1519" t="n"/>
      <c r="BC13" s="1519" t="n"/>
      <c r="BD13" s="1519" t="n"/>
      <c r="BE13" s="1519" t="n"/>
      <c r="BF13" s="1519" t="n"/>
      <c r="BG13" s="1519" t="n"/>
      <c r="BH13" s="1519" t="n"/>
      <c r="BI13" s="1466" t="n"/>
      <c r="BJ13" s="1310" t="inlineStr">
        <is>
          <t>-</t>
        </is>
      </c>
      <c r="BK13" s="1519" t="n"/>
      <c r="BL13" s="1519" t="n"/>
      <c r="BM13" s="1519" t="n"/>
      <c r="BN13" s="1519" t="n"/>
      <c r="BO13" s="1519" t="n"/>
      <c r="BP13" s="1519" t="n"/>
      <c r="BQ13" s="1519" t="n"/>
      <c r="BR13" s="1519" t="n"/>
      <c r="BS13" s="1519" t="n"/>
      <c r="BT13" s="1519" t="n"/>
      <c r="BU13" s="1519" t="n"/>
      <c r="BV13" s="1519" t="n"/>
      <c r="BW13" s="1519" t="n"/>
      <c r="BX13" s="1519" t="n"/>
      <c r="BY13" s="1519" t="n"/>
      <c r="BZ13" s="1519" t="n"/>
      <c r="CA13" s="1519" t="n"/>
      <c r="CB13" s="1466" t="n"/>
      <c r="CC13" s="1310" t="inlineStr">
        <is>
          <t>-</t>
        </is>
      </c>
      <c r="CD13" s="1519" t="n"/>
      <c r="CE13" s="1519" t="n"/>
      <c r="CF13" s="1519" t="n"/>
      <c r="CG13" s="1519" t="n"/>
      <c r="CH13" s="1519" t="n"/>
      <c r="CI13" s="1519" t="n"/>
      <c r="CJ13" s="1519" t="n"/>
      <c r="CK13" s="1519" t="n"/>
      <c r="CL13" s="1519" t="n"/>
      <c r="CM13" s="1519" t="n"/>
      <c r="CN13" s="1519" t="n"/>
      <c r="CO13" s="1519" t="n"/>
      <c r="CP13" s="1519" t="n"/>
      <c r="CQ13" s="1519" t="n"/>
      <c r="CR13" s="1519" t="n"/>
      <c r="CS13" s="1519" t="n"/>
      <c r="CT13" s="1519" t="n"/>
      <c r="CU13" s="1519" t="n"/>
      <c r="CV13" s="1519" t="n"/>
      <c r="CW13" s="1466" t="n"/>
      <c r="CX13" s="1310" t="inlineStr">
        <is>
          <t>-</t>
        </is>
      </c>
      <c r="CY13" s="1519" t="n"/>
      <c r="CZ13" s="1519" t="n"/>
      <c r="DA13" s="1519" t="n"/>
      <c r="DB13" s="1519" t="n"/>
      <c r="DC13" s="1519" t="n"/>
      <c r="DD13" s="1519" t="n"/>
      <c r="DE13" s="1519" t="n"/>
      <c r="DF13" s="1519" t="n"/>
      <c r="DG13" s="1519" t="n"/>
      <c r="DH13" s="1519" t="n"/>
      <c r="DI13" s="1519" t="n"/>
      <c r="DJ13" s="1519" t="n"/>
      <c r="DK13" s="1519" t="n"/>
      <c r="DL13" s="1519" t="n"/>
      <c r="DM13" s="1519" t="n"/>
      <c r="DN13" s="1519" t="n"/>
      <c r="DO13" s="1519" t="n"/>
      <c r="DP13" s="1466" t="n"/>
      <c r="DQ13" s="1310" t="inlineStr">
        <is>
          <t>-</t>
        </is>
      </c>
      <c r="DR13" s="1519" t="n"/>
      <c r="DS13" s="1519" t="n"/>
      <c r="DT13" s="1519" t="n"/>
      <c r="DU13" s="1519" t="n"/>
      <c r="DV13" s="1519" t="n"/>
      <c r="DW13" s="1519" t="n"/>
      <c r="DX13" s="1519" t="n"/>
      <c r="DY13" s="1519" t="n"/>
      <c r="DZ13" s="1519" t="n"/>
      <c r="EA13" s="1519" t="n"/>
      <c r="EB13" s="1519" t="n"/>
      <c r="EC13" s="1519" t="n"/>
      <c r="ED13" s="1519" t="n"/>
      <c r="EE13" s="1519" t="n"/>
      <c r="EF13" s="1519" t="n"/>
      <c r="EG13" s="1519" t="n"/>
      <c r="EH13" s="1519" t="n"/>
      <c r="EI13" s="1519" t="n"/>
      <c r="EJ13" s="1519" t="n"/>
      <c r="EK13" s="1466" t="n"/>
      <c r="EL13" s="1310" t="inlineStr">
        <is>
          <t>-</t>
        </is>
      </c>
      <c r="EM13" s="1519" t="n"/>
      <c r="EN13" s="1519" t="n"/>
      <c r="EO13" s="1519" t="n"/>
      <c r="EP13" s="1519" t="n"/>
      <c r="EQ13" s="1519" t="n"/>
      <c r="ER13" s="1519" t="n"/>
      <c r="ES13" s="1519" t="n"/>
      <c r="ET13" s="1519" t="n"/>
      <c r="EU13" s="1519" t="n"/>
      <c r="EV13" s="1519" t="n"/>
      <c r="EW13" s="1519" t="n"/>
      <c r="EX13" s="1519" t="n"/>
      <c r="EY13" s="1519" t="n"/>
      <c r="EZ13" s="1519" t="n"/>
      <c r="FA13" s="1519" t="n"/>
      <c r="FB13" s="1519" t="n"/>
      <c r="FC13" s="1466" t="n"/>
      <c r="FD13" s="1520">
        <f>FD12</f>
        <v/>
      </c>
      <c r="FE13" s="1519" t="n"/>
      <c r="FF13" s="1519" t="n"/>
      <c r="FG13" s="1519" t="n"/>
      <c r="FH13" s="1519" t="n"/>
      <c r="FI13" s="1519" t="n"/>
      <c r="FJ13" s="1519" t="n"/>
      <c r="FK13" s="1519" t="n"/>
      <c r="FL13" s="1519" t="n"/>
      <c r="FM13" s="1519" t="n"/>
      <c r="FN13" s="1519" t="n"/>
      <c r="FO13" s="1519" t="n"/>
      <c r="FP13" s="1519" t="n"/>
      <c r="FQ13" s="1519" t="n"/>
      <c r="FR13" s="1519" t="n"/>
      <c r="FS13" s="1519" t="n"/>
      <c r="FT13" s="1519" t="n"/>
      <c r="FU13" s="1519" t="n"/>
      <c r="FV13" s="1466" t="n"/>
      <c r="FW13" s="1520">
        <f>FD13</f>
        <v/>
      </c>
      <c r="FX13" s="1519" t="n"/>
      <c r="FY13" s="1519" t="n"/>
      <c r="FZ13" s="1519" t="n"/>
      <c r="GA13" s="1519" t="n"/>
      <c r="GB13" s="1519" t="n"/>
      <c r="GC13" s="1519" t="n"/>
      <c r="GD13" s="1519" t="n"/>
      <c r="GE13" s="1519" t="n"/>
      <c r="GF13" s="1519" t="n"/>
      <c r="GG13" s="1519" t="n"/>
      <c r="GH13" s="1519" t="n"/>
      <c r="GI13" s="1519" t="n"/>
      <c r="GJ13" s="1519" t="n"/>
      <c r="GK13" s="1519" t="n"/>
      <c r="GL13" s="1519" t="n"/>
      <c r="GM13" s="1519" t="n"/>
      <c r="GN13" s="1519" t="n"/>
      <c r="GO13" s="1519" t="n"/>
      <c r="GP13" s="1519" t="n"/>
      <c r="GQ13" s="1466" t="n"/>
    </row>
    <row r="14" ht="29.25" customFormat="1" customHeight="1" s="280">
      <c r="A14" s="1521" t="inlineStr">
        <is>
          <t>База распределения общехозяйственных затрат/административно-управленческих расходов</t>
        </is>
      </c>
      <c r="B14" s="1522" t="n"/>
      <c r="C14" s="1522" t="n"/>
      <c r="D14" s="1522" t="n"/>
      <c r="E14" s="1522" t="n"/>
      <c r="F14" s="1522" t="n"/>
      <c r="G14" s="1522" t="n"/>
      <c r="H14" s="1522" t="n"/>
      <c r="I14" s="1522" t="n"/>
      <c r="J14" s="1522" t="n"/>
      <c r="K14" s="1522" t="n"/>
      <c r="L14" s="1522" t="n"/>
      <c r="M14" s="1522" t="n"/>
      <c r="N14" s="1522" t="n"/>
      <c r="O14" s="1522" t="n"/>
      <c r="P14" s="1522" t="n"/>
      <c r="Q14" s="1522" t="n"/>
      <c r="R14" s="1522" t="n"/>
      <c r="S14" s="1522" t="n"/>
      <c r="T14" s="1522" t="n"/>
      <c r="U14" s="1522" t="n"/>
      <c r="V14" s="1522" t="n"/>
      <c r="W14" s="1522" t="n"/>
      <c r="X14" s="1522" t="n"/>
      <c r="Y14" s="1522" t="n"/>
      <c r="Z14" s="1522" t="n"/>
      <c r="AA14" s="1522" t="n"/>
      <c r="AB14" s="1522" t="n"/>
      <c r="AC14" s="1522" t="n"/>
      <c r="AD14" s="1522" t="n"/>
      <c r="AE14" s="1522" t="n"/>
      <c r="AF14" s="1522" t="n"/>
      <c r="AG14" s="1522" t="n"/>
      <c r="AH14" s="1522" t="n"/>
      <c r="AI14" s="1522" t="n"/>
      <c r="AJ14" s="1522" t="n"/>
      <c r="AK14" s="1522" t="n"/>
      <c r="AL14" s="1522" t="n"/>
      <c r="AM14" s="1522" t="n"/>
      <c r="AN14" s="1522" t="n"/>
      <c r="AO14" s="1522" t="n"/>
      <c r="AP14" s="1522" t="n"/>
      <c r="AQ14" s="1522" t="n"/>
      <c r="AR14" s="1522" t="n"/>
      <c r="AS14" s="1522" t="n"/>
      <c r="AT14" s="1522" t="n"/>
      <c r="AU14" s="1522" t="n"/>
      <c r="AV14" s="1522" t="n"/>
      <c r="AW14" s="1522" t="n"/>
      <c r="AX14" s="1522" t="n"/>
      <c r="AY14" s="1522" t="n"/>
      <c r="AZ14" s="1522" t="n"/>
      <c r="BA14" s="1522" t="n"/>
      <c r="BB14" s="1522" t="n"/>
      <c r="BC14" s="1522" t="n"/>
      <c r="BD14" s="1522" t="n"/>
      <c r="BE14" s="1522" t="n"/>
      <c r="BF14" s="1522" t="n"/>
      <c r="BG14" s="1522" t="n"/>
      <c r="BH14" s="1522" t="n"/>
      <c r="BI14" s="1523" t="n"/>
      <c r="BJ14" s="1524" t="inlineStr">
        <is>
          <t>-</t>
        </is>
      </c>
      <c r="BK14" s="1522" t="n"/>
      <c r="BL14" s="1522" t="n"/>
      <c r="BM14" s="1522" t="n"/>
      <c r="BN14" s="1522" t="n"/>
      <c r="BO14" s="1522" t="n"/>
      <c r="BP14" s="1522" t="n"/>
      <c r="BQ14" s="1522" t="n"/>
      <c r="BR14" s="1522" t="n"/>
      <c r="BS14" s="1522" t="n"/>
      <c r="BT14" s="1522" t="n"/>
      <c r="BU14" s="1522" t="n"/>
      <c r="BV14" s="1522" t="n"/>
      <c r="BW14" s="1522" t="n"/>
      <c r="BX14" s="1522" t="n"/>
      <c r="BY14" s="1522" t="n"/>
      <c r="BZ14" s="1522" t="n"/>
      <c r="CA14" s="1522" t="n"/>
      <c r="CB14" s="1523" t="n"/>
      <c r="CC14" s="1524" t="inlineStr">
        <is>
          <t>-</t>
        </is>
      </c>
      <c r="CD14" s="1522" t="n"/>
      <c r="CE14" s="1522" t="n"/>
      <c r="CF14" s="1522" t="n"/>
      <c r="CG14" s="1522" t="n"/>
      <c r="CH14" s="1522" t="n"/>
      <c r="CI14" s="1522" t="n"/>
      <c r="CJ14" s="1522" t="n"/>
      <c r="CK14" s="1522" t="n"/>
      <c r="CL14" s="1522" t="n"/>
      <c r="CM14" s="1522" t="n"/>
      <c r="CN14" s="1522" t="n"/>
      <c r="CO14" s="1522" t="n"/>
      <c r="CP14" s="1522" t="n"/>
      <c r="CQ14" s="1522" t="n"/>
      <c r="CR14" s="1522" t="n"/>
      <c r="CS14" s="1522" t="n"/>
      <c r="CT14" s="1522" t="n"/>
      <c r="CU14" s="1522" t="n"/>
      <c r="CV14" s="1522" t="n"/>
      <c r="CW14" s="1523" t="n"/>
      <c r="CX14" s="1524" t="inlineStr">
        <is>
          <t>-</t>
        </is>
      </c>
      <c r="CY14" s="1522" t="n"/>
      <c r="CZ14" s="1522" t="n"/>
      <c r="DA14" s="1522" t="n"/>
      <c r="DB14" s="1522" t="n"/>
      <c r="DC14" s="1522" t="n"/>
      <c r="DD14" s="1522" t="n"/>
      <c r="DE14" s="1522" t="n"/>
      <c r="DF14" s="1522" t="n"/>
      <c r="DG14" s="1522" t="n"/>
      <c r="DH14" s="1522" t="n"/>
      <c r="DI14" s="1522" t="n"/>
      <c r="DJ14" s="1522" t="n"/>
      <c r="DK14" s="1522" t="n"/>
      <c r="DL14" s="1522" t="n"/>
      <c r="DM14" s="1522" t="n"/>
      <c r="DN14" s="1522" t="n"/>
      <c r="DO14" s="1522" t="n"/>
      <c r="DP14" s="1523" t="n"/>
      <c r="DQ14" s="1524" t="inlineStr">
        <is>
          <t>-</t>
        </is>
      </c>
      <c r="DR14" s="1522" t="n"/>
      <c r="DS14" s="1522" t="n"/>
      <c r="DT14" s="1522" t="n"/>
      <c r="DU14" s="1522" t="n"/>
      <c r="DV14" s="1522" t="n"/>
      <c r="DW14" s="1522" t="n"/>
      <c r="DX14" s="1522" t="n"/>
      <c r="DY14" s="1522" t="n"/>
      <c r="DZ14" s="1522" t="n"/>
      <c r="EA14" s="1522" t="n"/>
      <c r="EB14" s="1522" t="n"/>
      <c r="EC14" s="1522" t="n"/>
      <c r="ED14" s="1522" t="n"/>
      <c r="EE14" s="1522" t="n"/>
      <c r="EF14" s="1522" t="n"/>
      <c r="EG14" s="1522" t="n"/>
      <c r="EH14" s="1522" t="n"/>
      <c r="EI14" s="1522" t="n"/>
      <c r="EJ14" s="1522" t="n"/>
      <c r="EK14" s="1523" t="n"/>
      <c r="EL14" s="1524" t="inlineStr">
        <is>
          <t>-</t>
        </is>
      </c>
      <c r="EM14" s="1522" t="n"/>
      <c r="EN14" s="1522" t="n"/>
      <c r="EO14" s="1522" t="n"/>
      <c r="EP14" s="1522" t="n"/>
      <c r="EQ14" s="1522" t="n"/>
      <c r="ER14" s="1522" t="n"/>
      <c r="ES14" s="1522" t="n"/>
      <c r="ET14" s="1522" t="n"/>
      <c r="EU14" s="1522" t="n"/>
      <c r="EV14" s="1522" t="n"/>
      <c r="EW14" s="1522" t="n"/>
      <c r="EX14" s="1522" t="n"/>
      <c r="EY14" s="1522" t="n"/>
      <c r="EZ14" s="1522" t="n"/>
      <c r="FA14" s="1522" t="n"/>
      <c r="FB14" s="1522" t="n"/>
      <c r="FC14" s="1523" t="n"/>
      <c r="FD14" s="1525">
        <f>'9 (9д) ОЗП НИР(ОКР)'!H23</f>
        <v/>
      </c>
      <c r="FE14" s="1522" t="n"/>
      <c r="FF14" s="1522" t="n"/>
      <c r="FG14" s="1522" t="n"/>
      <c r="FH14" s="1522" t="n"/>
      <c r="FI14" s="1522" t="n"/>
      <c r="FJ14" s="1522" t="n"/>
      <c r="FK14" s="1522" t="n"/>
      <c r="FL14" s="1522" t="n"/>
      <c r="FM14" s="1522" t="n"/>
      <c r="FN14" s="1522" t="n"/>
      <c r="FO14" s="1522" t="n"/>
      <c r="FP14" s="1522" t="n"/>
      <c r="FQ14" s="1522" t="n"/>
      <c r="FR14" s="1522" t="n"/>
      <c r="FS14" s="1522" t="n"/>
      <c r="FT14" s="1522" t="n"/>
      <c r="FU14" s="1522" t="n"/>
      <c r="FV14" s="1523" t="n"/>
      <c r="FW14" s="1525">
        <f>FD14</f>
        <v/>
      </c>
      <c r="FX14" s="1522" t="n"/>
      <c r="FY14" s="1522" t="n"/>
      <c r="FZ14" s="1522" t="n"/>
      <c r="GA14" s="1522" t="n"/>
      <c r="GB14" s="1522" t="n"/>
      <c r="GC14" s="1522" t="n"/>
      <c r="GD14" s="1522" t="n"/>
      <c r="GE14" s="1522" t="n"/>
      <c r="GF14" s="1522" t="n"/>
      <c r="GG14" s="1522" t="n"/>
      <c r="GH14" s="1522" t="n"/>
      <c r="GI14" s="1522" t="n"/>
      <c r="GJ14" s="1522" t="n"/>
      <c r="GK14" s="1522" t="n"/>
      <c r="GL14" s="1522" t="n"/>
      <c r="GM14" s="1522" t="n"/>
      <c r="GN14" s="1522" t="n"/>
      <c r="GO14" s="1522" t="n"/>
      <c r="GP14" s="1522" t="n"/>
      <c r="GQ14" s="1523" t="n"/>
    </row>
    <row r="15" ht="16.5" customFormat="1" customHeight="1" s="280">
      <c r="A15" s="1305" t="inlineStr">
        <is>
          <t>(</t>
        </is>
      </c>
      <c r="C15" s="1313" t="inlineStr">
        <is>
          <t>основная заработная плата основных исполнителей</t>
        </is>
      </c>
      <c r="D15" s="1409" t="n"/>
      <c r="E15" s="1409" t="n"/>
      <c r="F15" s="1409" t="n"/>
      <c r="G15" s="1409" t="n"/>
      <c r="H15" s="1409" t="n"/>
      <c r="I15" s="1409" t="n"/>
      <c r="J15" s="1409" t="n"/>
      <c r="K15" s="1409" t="n"/>
      <c r="L15" s="1409" t="n"/>
      <c r="M15" s="1409" t="n"/>
      <c r="N15" s="1409" t="n"/>
      <c r="O15" s="1409" t="n"/>
      <c r="P15" s="1409" t="n"/>
      <c r="Q15" s="1409" t="n"/>
      <c r="R15" s="1409" t="n"/>
      <c r="S15" s="1409" t="n"/>
      <c r="T15" s="1409" t="n"/>
      <c r="U15" s="1409" t="n"/>
      <c r="V15" s="1409" t="n"/>
      <c r="W15" s="1409" t="n"/>
      <c r="X15" s="1409" t="n"/>
      <c r="Y15" s="1409" t="n"/>
      <c r="Z15" s="1409" t="n"/>
      <c r="AA15" s="1409" t="n"/>
      <c r="AB15" s="1409" t="n"/>
      <c r="AC15" s="1409" t="n"/>
      <c r="AD15" s="1409" t="n"/>
      <c r="AE15" s="1409" t="n"/>
      <c r="AF15" s="1409" t="n"/>
      <c r="AG15" s="1409" t="n"/>
      <c r="AH15" s="1409" t="n"/>
      <c r="AI15" s="1409" t="n"/>
      <c r="AJ15" s="1409" t="n"/>
      <c r="AK15" s="1409" t="n"/>
      <c r="AL15" s="1409" t="n"/>
      <c r="AM15" s="1409" t="n"/>
      <c r="AN15" s="1409" t="n"/>
      <c r="AO15" s="1409" t="n"/>
      <c r="AP15" s="1409" t="n"/>
      <c r="AQ15" s="1409" t="n"/>
      <c r="AR15" s="1409" t="n"/>
      <c r="AS15" s="1409" t="n"/>
      <c r="AT15" s="1315" t="inlineStr">
        <is>
          <t>)</t>
        </is>
      </c>
      <c r="BI15" s="1420" t="n"/>
      <c r="BJ15" s="1419" t="n"/>
      <c r="CB15" s="1420" t="n"/>
      <c r="CC15" s="1419" t="n"/>
      <c r="CW15" s="1420" t="n"/>
      <c r="CX15" s="1419" t="n"/>
      <c r="DP15" s="1420" t="n"/>
      <c r="DQ15" s="1419" t="n"/>
      <c r="EK15" s="1420" t="n"/>
      <c r="EL15" s="1419" t="n"/>
      <c r="FC15" s="1420" t="n"/>
      <c r="FD15" s="1419" t="n"/>
      <c r="FV15" s="1420" t="n"/>
      <c r="FW15" s="1419" t="n"/>
      <c r="GQ15" s="1420" t="n"/>
    </row>
    <row r="16" ht="30" customFormat="1" customHeight="1" s="280">
      <c r="A16" s="1516" t="inlineStr">
        <is>
          <t>Отношение общехозяйственных затрат/административно-управленческих расходов к базе распределения, %</t>
        </is>
      </c>
      <c r="B16" s="1412" t="n"/>
      <c r="C16" s="1412" t="n"/>
      <c r="D16" s="1412" t="n"/>
      <c r="E16" s="1412" t="n"/>
      <c r="F16" s="1412" t="n"/>
      <c r="G16" s="1412" t="n"/>
      <c r="H16" s="1412" t="n"/>
      <c r="I16" s="1412" t="n"/>
      <c r="J16" s="1412" t="n"/>
      <c r="K16" s="1412" t="n"/>
      <c r="L16" s="1412" t="n"/>
      <c r="M16" s="1412" t="n"/>
      <c r="N16" s="1412" t="n"/>
      <c r="O16" s="1412" t="n"/>
      <c r="P16" s="1412" t="n"/>
      <c r="Q16" s="1412" t="n"/>
      <c r="R16" s="1412" t="n"/>
      <c r="S16" s="1412" t="n"/>
      <c r="T16" s="1412" t="n"/>
      <c r="U16" s="1412" t="n"/>
      <c r="V16" s="1412" t="n"/>
      <c r="W16" s="1412" t="n"/>
      <c r="X16" s="1412" t="n"/>
      <c r="Y16" s="1412" t="n"/>
      <c r="Z16" s="1412" t="n"/>
      <c r="AA16" s="1412" t="n"/>
      <c r="AB16" s="1412" t="n"/>
      <c r="AC16" s="1412" t="n"/>
      <c r="AD16" s="1412" t="n"/>
      <c r="AE16" s="1412" t="n"/>
      <c r="AF16" s="1412" t="n"/>
      <c r="AG16" s="1412" t="n"/>
      <c r="AH16" s="1412" t="n"/>
      <c r="AI16" s="1412" t="n"/>
      <c r="AJ16" s="1412" t="n"/>
      <c r="AK16" s="1412" t="n"/>
      <c r="AL16" s="1412" t="n"/>
      <c r="AM16" s="1412" t="n"/>
      <c r="AN16" s="1412" t="n"/>
      <c r="AO16" s="1412" t="n"/>
      <c r="AP16" s="1412" t="n"/>
      <c r="AQ16" s="1412" t="n"/>
      <c r="AR16" s="1412" t="n"/>
      <c r="AS16" s="1412" t="n"/>
      <c r="AT16" s="1412" t="n"/>
      <c r="AU16" s="1412" t="n"/>
      <c r="AV16" s="1412" t="n"/>
      <c r="AW16" s="1412" t="n"/>
      <c r="AX16" s="1412" t="n"/>
      <c r="AY16" s="1412" t="n"/>
      <c r="AZ16" s="1412" t="n"/>
      <c r="BA16" s="1412" t="n"/>
      <c r="BB16" s="1412" t="n"/>
      <c r="BC16" s="1412" t="n"/>
      <c r="BD16" s="1412" t="n"/>
      <c r="BE16" s="1412" t="n"/>
      <c r="BF16" s="1412" t="n"/>
      <c r="BG16" s="1412" t="n"/>
      <c r="BH16" s="1412" t="n"/>
      <c r="BI16" s="1410" t="n"/>
      <c r="BJ16" s="1284" t="inlineStr">
        <is>
          <t>-</t>
        </is>
      </c>
      <c r="BK16" s="1412" t="n"/>
      <c r="BL16" s="1412" t="n"/>
      <c r="BM16" s="1412" t="n"/>
      <c r="BN16" s="1412" t="n"/>
      <c r="BO16" s="1412" t="n"/>
      <c r="BP16" s="1412" t="n"/>
      <c r="BQ16" s="1412" t="n"/>
      <c r="BR16" s="1412" t="n"/>
      <c r="BS16" s="1412" t="n"/>
      <c r="BT16" s="1412" t="n"/>
      <c r="BU16" s="1412" t="n"/>
      <c r="BV16" s="1412" t="n"/>
      <c r="BW16" s="1412" t="n"/>
      <c r="BX16" s="1412" t="n"/>
      <c r="BY16" s="1412" t="n"/>
      <c r="BZ16" s="1412" t="n"/>
      <c r="CA16" s="1412" t="n"/>
      <c r="CB16" s="1410" t="n"/>
      <c r="CC16" s="1284" t="inlineStr">
        <is>
          <t>-</t>
        </is>
      </c>
      <c r="CD16" s="1412" t="n"/>
      <c r="CE16" s="1412" t="n"/>
      <c r="CF16" s="1412" t="n"/>
      <c r="CG16" s="1412" t="n"/>
      <c r="CH16" s="1412" t="n"/>
      <c r="CI16" s="1412" t="n"/>
      <c r="CJ16" s="1412" t="n"/>
      <c r="CK16" s="1412" t="n"/>
      <c r="CL16" s="1412" t="n"/>
      <c r="CM16" s="1412" t="n"/>
      <c r="CN16" s="1412" t="n"/>
      <c r="CO16" s="1412" t="n"/>
      <c r="CP16" s="1412" t="n"/>
      <c r="CQ16" s="1412" t="n"/>
      <c r="CR16" s="1412" t="n"/>
      <c r="CS16" s="1412" t="n"/>
      <c r="CT16" s="1412" t="n"/>
      <c r="CU16" s="1412" t="n"/>
      <c r="CV16" s="1412" t="n"/>
      <c r="CW16" s="1410" t="n"/>
      <c r="CX16" s="1284" t="inlineStr">
        <is>
          <t>-</t>
        </is>
      </c>
      <c r="CY16" s="1412" t="n"/>
      <c r="CZ16" s="1412" t="n"/>
      <c r="DA16" s="1412" t="n"/>
      <c r="DB16" s="1412" t="n"/>
      <c r="DC16" s="1412" t="n"/>
      <c r="DD16" s="1412" t="n"/>
      <c r="DE16" s="1412" t="n"/>
      <c r="DF16" s="1412" t="n"/>
      <c r="DG16" s="1412" t="n"/>
      <c r="DH16" s="1412" t="n"/>
      <c r="DI16" s="1412" t="n"/>
      <c r="DJ16" s="1412" t="n"/>
      <c r="DK16" s="1412" t="n"/>
      <c r="DL16" s="1412" t="n"/>
      <c r="DM16" s="1412" t="n"/>
      <c r="DN16" s="1412" t="n"/>
      <c r="DO16" s="1412" t="n"/>
      <c r="DP16" s="1410" t="n"/>
      <c r="DQ16" s="1284" t="inlineStr">
        <is>
          <t>-</t>
        </is>
      </c>
      <c r="DR16" s="1412" t="n"/>
      <c r="DS16" s="1412" t="n"/>
      <c r="DT16" s="1412" t="n"/>
      <c r="DU16" s="1412" t="n"/>
      <c r="DV16" s="1412" t="n"/>
      <c r="DW16" s="1412" t="n"/>
      <c r="DX16" s="1412" t="n"/>
      <c r="DY16" s="1412" t="n"/>
      <c r="DZ16" s="1412" t="n"/>
      <c r="EA16" s="1412" t="n"/>
      <c r="EB16" s="1412" t="n"/>
      <c r="EC16" s="1412" t="n"/>
      <c r="ED16" s="1412" t="n"/>
      <c r="EE16" s="1412" t="n"/>
      <c r="EF16" s="1412" t="n"/>
      <c r="EG16" s="1412" t="n"/>
      <c r="EH16" s="1412" t="n"/>
      <c r="EI16" s="1412" t="n"/>
      <c r="EJ16" s="1412" t="n"/>
      <c r="EK16" s="1410" t="n"/>
      <c r="EL16" s="1284" t="inlineStr">
        <is>
          <t>-</t>
        </is>
      </c>
      <c r="EM16" s="1412" t="n"/>
      <c r="EN16" s="1412" t="n"/>
      <c r="EO16" s="1412" t="n"/>
      <c r="EP16" s="1412" t="n"/>
      <c r="EQ16" s="1412" t="n"/>
      <c r="ER16" s="1412" t="n"/>
      <c r="ES16" s="1412" t="n"/>
      <c r="ET16" s="1412" t="n"/>
      <c r="EU16" s="1412" t="n"/>
      <c r="EV16" s="1412" t="n"/>
      <c r="EW16" s="1412" t="n"/>
      <c r="EX16" s="1412" t="n"/>
      <c r="EY16" s="1412" t="n"/>
      <c r="EZ16" s="1412" t="n"/>
      <c r="FA16" s="1412" t="n"/>
      <c r="FB16" s="1412" t="n"/>
      <c r="FC16" s="1410" t="n"/>
      <c r="FD16" s="1291">
        <f>'22 (22д) свед. о норм_26'!D22</f>
        <v/>
      </c>
      <c r="FE16" s="1412" t="n"/>
      <c r="FF16" s="1412" t="n"/>
      <c r="FG16" s="1412" t="n"/>
      <c r="FH16" s="1412" t="n"/>
      <c r="FI16" s="1412" t="n"/>
      <c r="FJ16" s="1412" t="n"/>
      <c r="FK16" s="1412" t="n"/>
      <c r="FL16" s="1412" t="n"/>
      <c r="FM16" s="1412" t="n"/>
      <c r="FN16" s="1412" t="n"/>
      <c r="FO16" s="1412" t="n"/>
      <c r="FP16" s="1412" t="n"/>
      <c r="FQ16" s="1412" t="n"/>
      <c r="FR16" s="1412" t="n"/>
      <c r="FS16" s="1412" t="n"/>
      <c r="FT16" s="1412" t="n"/>
      <c r="FU16" s="1412" t="n"/>
      <c r="FV16" s="1410" t="n"/>
      <c r="FW16" s="1291">
        <f>'22 (22д) свед. о норм_26'!D22</f>
        <v/>
      </c>
      <c r="FX16" s="1412" t="n"/>
      <c r="FY16" s="1412" t="n"/>
      <c r="FZ16" s="1412" t="n"/>
      <c r="GA16" s="1412" t="n"/>
      <c r="GB16" s="1412" t="n"/>
      <c r="GC16" s="1412" t="n"/>
      <c r="GD16" s="1412" t="n"/>
      <c r="GE16" s="1412" t="n"/>
      <c r="GF16" s="1412" t="n"/>
      <c r="GG16" s="1412" t="n"/>
      <c r="GH16" s="1412" t="n"/>
      <c r="GI16" s="1412" t="n"/>
      <c r="GJ16" s="1412" t="n"/>
      <c r="GK16" s="1412" t="n"/>
      <c r="GL16" s="1412" t="n"/>
      <c r="GM16" s="1412" t="n"/>
      <c r="GN16" s="1412" t="n"/>
      <c r="GO16" s="1412" t="n"/>
      <c r="GP16" s="1412" t="n"/>
      <c r="GQ16" s="1410" t="n"/>
    </row>
    <row r="17" ht="12.75" customFormat="1" customHeight="1" s="300"/>
    <row r="18" ht="23.25" customFormat="1" customHeight="1" s="405">
      <c r="G18" s="1311" t="inlineStr">
        <is>
          <t>Начальник ОФЭиАУ НИОКР</t>
        </is>
      </c>
      <c r="DP18" s="1311" t="inlineStr">
        <is>
          <t>Руководитель договора</t>
        </is>
      </c>
    </row>
    <row r="19" ht="33.75" customFormat="1" customHeight="1" s="405">
      <c r="G19" s="263" t="inlineStr">
        <is>
          <t>_____________________ Н.О. Васецкая</t>
        </is>
      </c>
      <c r="DP19" s="1239" t="inlineStr">
        <is>
          <t>_____________________ А.И. Боровков</t>
        </is>
      </c>
      <c r="DQ19" s="391" t="n"/>
    </row>
    <row r="20" ht="12.75" customFormat="1" customHeight="1" s="299">
      <c r="A20" s="300" t="n"/>
      <c r="B20" s="300" t="n"/>
      <c r="C20" s="300" t="n"/>
      <c r="D20" s="300" t="n"/>
      <c r="E20" s="300" t="n"/>
      <c r="F20" s="300" t="n"/>
      <c r="G20" s="409" t="inlineStr">
        <is>
          <t xml:space="preserve">  (подпись)                                           (Ф.И.О.)</t>
        </is>
      </c>
      <c r="H20" s="300" t="n"/>
      <c r="I20" s="300" t="n"/>
      <c r="J20" s="300" t="n"/>
      <c r="K20" s="300" t="n"/>
      <c r="L20" s="300" t="n"/>
      <c r="M20" s="300" t="n"/>
      <c r="N20" s="300" t="n"/>
      <c r="O20" s="300" t="n"/>
      <c r="P20" s="300" t="n"/>
      <c r="T20" s="300" t="n"/>
      <c r="U20" s="300" t="n"/>
      <c r="V20" s="300" t="n"/>
      <c r="W20" s="300" t="n"/>
      <c r="X20" s="300" t="n"/>
      <c r="Y20" s="300" t="n"/>
      <c r="Z20" s="300" t="n"/>
      <c r="AA20" s="300" t="n"/>
      <c r="AB20" s="300" t="n"/>
      <c r="AC20" s="300" t="n"/>
      <c r="AD20" s="300" t="n"/>
      <c r="AE20" s="300" t="n"/>
      <c r="AF20" s="300" t="n"/>
      <c r="AG20" s="300" t="n"/>
      <c r="AH20" s="300" t="n"/>
      <c r="AI20" s="300" t="n"/>
      <c r="AJ20" s="300" t="n"/>
      <c r="AK20" s="300" t="n"/>
      <c r="AL20" s="300" t="n"/>
      <c r="AM20" s="300" t="n"/>
      <c r="AN20" s="300" t="n"/>
      <c r="AO20" s="300" t="n"/>
      <c r="AP20" s="300" t="n"/>
      <c r="AQ20" s="300" t="n"/>
      <c r="AR20" s="300" t="n"/>
      <c r="AS20" s="300" t="n"/>
      <c r="AT20" s="300" t="n"/>
      <c r="AU20" s="300" t="n"/>
      <c r="AV20" s="300" t="n"/>
      <c r="AW20" s="300" t="n"/>
      <c r="DP20" s="409" t="inlineStr">
        <is>
          <t xml:space="preserve">  (подпись)                                         (Ф.И.О.)</t>
        </is>
      </c>
      <c r="DQ20" s="22" t="n"/>
      <c r="DR20" s="300" t="n"/>
      <c r="DS20" s="300" t="n"/>
      <c r="DT20" s="300" t="n"/>
      <c r="DU20" s="300" t="n"/>
      <c r="DV20" s="300" t="n"/>
      <c r="DW20" s="300" t="n"/>
      <c r="DX20" s="300" t="n"/>
      <c r="DY20" s="300" t="n"/>
      <c r="DZ20" s="300" t="n"/>
      <c r="EA20" s="300" t="n"/>
      <c r="EB20" s="300" t="n"/>
      <c r="EC20" s="300" t="n"/>
      <c r="ED20" s="300" t="n"/>
      <c r="EE20" s="300" t="n"/>
      <c r="EF20" s="300" t="n"/>
      <c r="EJ20" s="300" t="n"/>
      <c r="EK20" s="300" t="n"/>
      <c r="EL20" s="300" t="n"/>
      <c r="EM20" s="300" t="n"/>
      <c r="EN20" s="300" t="n"/>
      <c r="EO20" s="300" t="n"/>
      <c r="EP20" s="300" t="n"/>
      <c r="EQ20" s="300" t="n"/>
      <c r="ER20" s="300" t="n"/>
      <c r="ES20" s="300" t="n"/>
      <c r="ET20" s="300" t="n"/>
      <c r="EU20" s="300" t="n"/>
      <c r="EV20" s="300" t="n"/>
      <c r="EW20" s="300" t="n"/>
      <c r="EX20" s="300" t="n"/>
      <c r="EY20" s="300" t="n"/>
      <c r="EZ20" s="300" t="n"/>
      <c r="FA20" s="300" t="n"/>
      <c r="FB20" s="300" t="n"/>
      <c r="FC20" s="300" t="n"/>
      <c r="FD20" s="300" t="n"/>
      <c r="FE20" s="300" t="n"/>
      <c r="FF20" s="300" t="n"/>
      <c r="FG20" s="300" t="n"/>
      <c r="FH20" s="300" t="n"/>
      <c r="FI20" s="300" t="n"/>
      <c r="FJ20" s="300" t="n"/>
      <c r="FK20" s="300" t="n"/>
      <c r="FL20" s="300" t="n"/>
      <c r="FM20" s="300" t="n"/>
    </row>
    <row r="21" ht="18.75" customFormat="1" customHeight="1" s="405">
      <c r="A21" s="406" t="n"/>
      <c r="B21" s="406" t="n"/>
      <c r="C21" s="406" t="n"/>
      <c r="D21" s="406" t="n"/>
      <c r="E21" s="406" t="n"/>
      <c r="F21" s="406" t="n"/>
      <c r="G21" s="1239" t="inlineStr">
        <is>
          <t>«____» __________________ 2025 г.</t>
        </is>
      </c>
      <c r="H21" s="406" t="n"/>
      <c r="I21" s="406" t="n"/>
      <c r="J21" s="406" t="n"/>
      <c r="K21" s="406" t="n"/>
      <c r="L21" s="406" t="n"/>
      <c r="M21" s="406" t="n"/>
      <c r="N21" s="406" t="n"/>
      <c r="O21" s="406" t="n"/>
      <c r="P21" s="406" t="n"/>
      <c r="Q21" s="407" t="n"/>
      <c r="R21" s="407" t="n"/>
      <c r="S21" s="407" t="n"/>
      <c r="T21" s="406" t="n"/>
      <c r="U21" s="406" t="n"/>
      <c r="V21" s="406" t="n"/>
      <c r="W21" s="406" t="n"/>
      <c r="X21" s="406" t="n"/>
      <c r="Y21" s="406" t="n"/>
      <c r="Z21" s="406" t="n"/>
      <c r="AA21" s="406" t="n"/>
      <c r="AB21" s="406" t="n"/>
      <c r="AC21" s="406" t="n"/>
      <c r="AD21" s="406" t="n"/>
      <c r="AE21" s="406" t="n"/>
      <c r="AF21" s="406" t="n"/>
      <c r="AG21" s="406" t="n"/>
      <c r="AH21" s="406" t="n"/>
      <c r="AI21" s="406" t="n"/>
      <c r="AJ21" s="406" t="n"/>
      <c r="AK21" s="406" t="n"/>
      <c r="AL21" s="406" t="n"/>
      <c r="AM21" s="406" t="n"/>
      <c r="AN21" s="406" t="n"/>
      <c r="AO21" s="406" t="n"/>
      <c r="AP21" s="406" t="n"/>
      <c r="AQ21" s="406" t="n"/>
      <c r="AR21" s="406" t="n"/>
      <c r="AS21" s="406" t="n"/>
      <c r="AT21" s="406" t="n"/>
      <c r="AU21" s="406" t="n"/>
      <c r="AV21" s="406" t="n"/>
      <c r="AW21" s="406" t="n"/>
      <c r="DP21" s="1239" t="inlineStr">
        <is>
          <t>«____» __________________ 2025 г.</t>
        </is>
      </c>
      <c r="DQ21" s="263" t="n"/>
      <c r="DR21" s="406" t="n"/>
      <c r="DS21" s="406" t="n"/>
      <c r="DT21" s="406" t="n"/>
      <c r="DU21" s="406" t="n"/>
      <c r="DV21" s="406" t="n"/>
      <c r="DW21" s="406" t="n"/>
      <c r="DX21" s="406" t="n"/>
      <c r="DY21" s="406" t="n"/>
      <c r="DZ21" s="406" t="n"/>
      <c r="EA21" s="406" t="n"/>
      <c r="EB21" s="406" t="n"/>
      <c r="EC21" s="406" t="n"/>
      <c r="ED21" s="406" t="n"/>
      <c r="EE21" s="406" t="n"/>
      <c r="EF21" s="406" t="n"/>
      <c r="EG21" s="407" t="n"/>
      <c r="EH21" s="407" t="n"/>
      <c r="EI21" s="407" t="n"/>
      <c r="EJ21" s="406" t="n"/>
      <c r="EK21" s="406" t="n"/>
      <c r="EL21" s="406" t="n"/>
      <c r="EM21" s="406" t="n"/>
      <c r="EN21" s="406" t="n"/>
      <c r="EO21" s="406" t="n"/>
      <c r="EP21" s="406" t="n"/>
      <c r="EQ21" s="406" t="n"/>
      <c r="ER21" s="406" t="n"/>
      <c r="ES21" s="406" t="n"/>
      <c r="ET21" s="406" t="n"/>
      <c r="EU21" s="406" t="n"/>
      <c r="EV21" s="406" t="n"/>
      <c r="EW21" s="406" t="n"/>
      <c r="EX21" s="406" t="n"/>
      <c r="EY21" s="406" t="n"/>
      <c r="EZ21" s="406" t="n"/>
      <c r="FA21" s="406" t="n"/>
      <c r="FB21" s="406" t="n"/>
      <c r="FC21" s="406" t="n"/>
      <c r="FD21" s="406" t="n"/>
      <c r="FE21" s="406" t="n"/>
      <c r="FF21" s="406" t="n"/>
      <c r="FG21" s="406" t="n"/>
      <c r="FH21" s="406" t="n"/>
      <c r="FI21" s="406" t="n"/>
      <c r="FJ21" s="406" t="n"/>
      <c r="FK21" s="406" t="n"/>
      <c r="FL21" s="406" t="n"/>
      <c r="FM21" s="406" t="n"/>
    </row>
    <row r="22" customFormat="1" s="299">
      <c r="A22" s="300" t="n"/>
      <c r="B22" s="300" t="n"/>
      <c r="C22" s="791" t="n"/>
      <c r="D22" s="791" t="n"/>
      <c r="E22" s="791" t="n"/>
      <c r="F22" s="791" t="n"/>
      <c r="G22" s="300" t="n"/>
      <c r="H22" s="300" t="n"/>
      <c r="I22" s="791" t="n"/>
      <c r="J22" s="791" t="n"/>
      <c r="K22" s="791" t="n"/>
      <c r="L22" s="791" t="n"/>
      <c r="M22" s="791" t="n"/>
      <c r="N22" s="791" t="n"/>
      <c r="O22" s="791" t="n"/>
      <c r="P22" s="791" t="n"/>
      <c r="Q22" s="791" t="n"/>
      <c r="R22" s="791" t="n"/>
      <c r="S22" s="791" t="n"/>
      <c r="T22" s="791" t="n"/>
      <c r="U22" s="791" t="n"/>
      <c r="V22" s="791" t="n"/>
      <c r="W22" s="791" t="n"/>
      <c r="X22" s="791" t="n"/>
      <c r="Y22" s="791" t="n"/>
      <c r="Z22" s="791" t="n"/>
      <c r="AA22" s="791" t="n"/>
      <c r="AB22" s="791" t="n"/>
      <c r="AC22" s="791" t="n"/>
      <c r="AD22" s="791" t="n"/>
      <c r="AE22" s="300" t="n"/>
      <c r="AF22" s="300" t="n"/>
      <c r="AG22" s="300" t="n"/>
      <c r="DP22" s="1027" t="n"/>
      <c r="DQ22" s="1463" t="n"/>
      <c r="DR22" s="300" t="n"/>
      <c r="DS22" s="791" t="n"/>
      <c r="DT22" s="791" t="n"/>
      <c r="DU22" s="791" t="n"/>
      <c r="DV22" s="791" t="n"/>
      <c r="DW22" s="300" t="n"/>
      <c r="DX22" s="300" t="n"/>
      <c r="DY22" s="791" t="n"/>
      <c r="DZ22" s="791" t="n"/>
      <c r="EA22" s="791" t="n"/>
      <c r="EB22" s="791" t="n"/>
      <c r="EC22" s="791" t="n"/>
      <c r="ED22" s="791" t="n"/>
      <c r="EE22" s="791" t="n"/>
      <c r="EF22" s="791" t="n"/>
      <c r="EG22" s="791" t="n"/>
      <c r="EH22" s="791" t="n"/>
      <c r="EI22" s="791" t="n"/>
      <c r="EJ22" s="791" t="n"/>
      <c r="EK22" s="791" t="n"/>
      <c r="EL22" s="791" t="n"/>
      <c r="EM22" s="791" t="n"/>
      <c r="EN22" s="791" t="n"/>
      <c r="EO22" s="791" t="n"/>
      <c r="EP22" s="791" t="n"/>
      <c r="EQ22" s="791" t="n"/>
      <c r="ER22" s="791" t="n"/>
      <c r="ES22" s="791" t="n"/>
      <c r="ET22" s="791" t="n"/>
      <c r="EU22" s="300" t="n"/>
      <c r="EV22" s="300" t="n"/>
      <c r="EW22" s="300" t="n"/>
    </row>
    <row r="23" ht="6" customFormat="1" customHeight="1" s="299">
      <c r="DP23" s="14" t="n"/>
      <c r="DQ23" s="14" t="n"/>
    </row>
    <row r="24" ht="23.25" customFormat="1" customHeight="1" s="408">
      <c r="G24" s="1311" t="inlineStr">
        <is>
          <t>Главный бухглтер ФГАОУ ВО "СПбПУ"</t>
        </is>
      </c>
      <c r="DP24" s="1311" t="inlineStr">
        <is>
          <t>Ответственный исполнитель</t>
        </is>
      </c>
    </row>
    <row r="25" ht="34.5" customFormat="1" customHeight="1" s="408">
      <c r="G25" s="263" t="inlineStr">
        <is>
          <t>_____________________ Н.В. Иванова</t>
        </is>
      </c>
      <c r="DP25" s="1239" t="inlineStr">
        <is>
          <t>_____________________ И.Б. Войнов</t>
        </is>
      </c>
      <c r="DQ25" s="391" t="n"/>
    </row>
    <row r="26" ht="12.75" customFormat="1" customHeight="1" s="300">
      <c r="G26" s="409" t="inlineStr">
        <is>
          <t xml:space="preserve">  (подпись)                                      (Ф.И.О.)</t>
        </is>
      </c>
      <c r="DP26" s="409" t="inlineStr">
        <is>
          <t xml:space="preserve">  (подпись)                                        (Ф.И.О.)</t>
        </is>
      </c>
      <c r="DQ26" s="22" t="n"/>
    </row>
    <row r="27" ht="18.75" customFormat="1" customHeight="1" s="408">
      <c r="G27" s="1239" t="inlineStr">
        <is>
          <t>«____» __________________ 2025 г.</t>
        </is>
      </c>
      <c r="DP27" s="1239" t="inlineStr">
        <is>
          <t>«____» __________________ 2025 г.</t>
        </is>
      </c>
      <c r="DQ27" s="263" t="n"/>
    </row>
  </sheetData>
  <mergeCells count="70">
    <mergeCell ref="CX13:DP13"/>
    <mergeCell ref="DP18:GA18"/>
    <mergeCell ref="DQ11:EK11"/>
    <mergeCell ref="BJ16:CB16"/>
    <mergeCell ref="AT15:BI15"/>
    <mergeCell ref="A15:B15"/>
    <mergeCell ref="G18:BL18"/>
    <mergeCell ref="BJ14:CB15"/>
    <mergeCell ref="FD8:GE8"/>
    <mergeCell ref="FD13:FV13"/>
    <mergeCell ref="A8:G10"/>
    <mergeCell ref="EL8:FC10"/>
    <mergeCell ref="H8:BI10"/>
    <mergeCell ref="E5:GM5"/>
    <mergeCell ref="BJ13:CB13"/>
    <mergeCell ref="GM8:GQ8"/>
    <mergeCell ref="CC11:CW11"/>
    <mergeCell ref="DQ16:EK16"/>
    <mergeCell ref="DQ14:EK15"/>
    <mergeCell ref="BJ12:CB12"/>
    <mergeCell ref="A14:BI14"/>
    <mergeCell ref="FW10:GQ10"/>
    <mergeCell ref="CX11:DP11"/>
    <mergeCell ref="CX9:EK9"/>
    <mergeCell ref="DQ13:EK13"/>
    <mergeCell ref="CC16:CW16"/>
    <mergeCell ref="CX14:DP15"/>
    <mergeCell ref="CC14:CW15"/>
    <mergeCell ref="FW16:GQ16"/>
    <mergeCell ref="FW11:GQ11"/>
    <mergeCell ref="DQ12:EK12"/>
    <mergeCell ref="FD11:FV11"/>
    <mergeCell ref="A11:G11"/>
    <mergeCell ref="H11:BI11"/>
    <mergeCell ref="FD9:GQ9"/>
    <mergeCell ref="DP24:FZ24"/>
    <mergeCell ref="EL11:FC11"/>
    <mergeCell ref="FD10:FV10"/>
    <mergeCell ref="H4:GL4"/>
    <mergeCell ref="A13:BI13"/>
    <mergeCell ref="GF8:GL8"/>
    <mergeCell ref="G24:BN24"/>
    <mergeCell ref="CX16:DP16"/>
    <mergeCell ref="BJ10:CB10"/>
    <mergeCell ref="CX12:DP12"/>
    <mergeCell ref="CC12:CW12"/>
    <mergeCell ref="C15:AS15"/>
    <mergeCell ref="FW12:GQ12"/>
    <mergeCell ref="ED8:EK8"/>
    <mergeCell ref="EL13:FC13"/>
    <mergeCell ref="EL16:FC16"/>
    <mergeCell ref="DW8:EC8"/>
    <mergeCell ref="EL14:FC15"/>
    <mergeCell ref="H12:BI12"/>
    <mergeCell ref="DQ10:EK10"/>
    <mergeCell ref="FW13:GQ13"/>
    <mergeCell ref="FD16:FV16"/>
    <mergeCell ref="FW14:GQ15"/>
    <mergeCell ref="CC13:CW13"/>
    <mergeCell ref="FD12:FV12"/>
    <mergeCell ref="BJ9:CW9"/>
    <mergeCell ref="A12:G12"/>
    <mergeCell ref="BJ11:CB11"/>
    <mergeCell ref="BJ8:DV8"/>
    <mergeCell ref="A3:GQ3"/>
    <mergeCell ref="EL12:FC12"/>
    <mergeCell ref="CC10:CW10"/>
    <mergeCell ref="A16:BI16"/>
    <mergeCell ref="CX10:DP10"/>
    <mergeCell ref="FD14:FV15"/>
  </mergeCells>
  <pageMargins left="0.5905511811023623" right="0.3937007874015748" top="0.5905511811023623" bottom="0.3149606299212598" header="0.1968503937007874" footer="0.1968503937007874"/>
  <pageSetup orientation="landscape" paperSize="8"/>
</worksheet>
</file>

<file path=xl/worksheets/sheet30.xml><?xml version="1.0" encoding="utf-8"?>
<worksheet xmlns="http://schemas.openxmlformats.org/spreadsheetml/2006/main">
  <sheetPr>
    <tabColor rgb="FFFF0000"/>
    <outlinePr summaryBelow="1" summaryRight="1"/>
    <pageSetUpPr fitToPage="1"/>
  </sheetPr>
  <dimension ref="A1:GO28"/>
  <sheetViews>
    <sheetView view="pageBreakPreview" topLeftCell="A4" zoomScaleNormal="100" zoomScaleSheetLayoutView="100" workbookViewId="0">
      <selection activeCell="EJ14" sqref="EJ14:EX14"/>
    </sheetView>
  </sheetViews>
  <sheetFormatPr baseColWidth="8" defaultColWidth="0.85546875" defaultRowHeight="15"/>
  <cols>
    <col width="0.85546875" customWidth="1" style="282" min="1" max="16"/>
    <col width="6.28515625" customWidth="1" style="282" min="17" max="17"/>
    <col width="0.85546875" customWidth="1" style="282" min="18" max="20"/>
    <col width="5.5703125" customWidth="1" style="282" min="21" max="21"/>
    <col width="16.140625" customWidth="1" style="282" min="22" max="22"/>
    <col width="0.85546875" customWidth="1" style="282" min="23" max="157"/>
    <col width="3" customWidth="1" style="282" min="158" max="158"/>
    <col width="3.7109375" customWidth="1" style="282" min="159" max="159"/>
    <col width="0.85546875" customWidth="1" style="282" min="160" max="189"/>
    <col width="2.28515625" customWidth="1" style="282" min="190" max="190"/>
    <col width="0.85546875" customWidth="1" style="282" min="191" max="16384"/>
  </cols>
  <sheetData>
    <row r="1" ht="15" customFormat="1" customHeight="1" s="448">
      <c r="GC1" s="1404" t="inlineStr">
        <is>
          <t>Форма № 23</t>
        </is>
      </c>
    </row>
    <row r="2" ht="6" customFormat="1" customHeight="1" s="448"/>
    <row r="3" ht="54" customFormat="1" customHeight="1" s="297">
      <c r="A3" s="1320" t="inlineStr">
        <is>
          <t>Расчет (обоснование) трудоемкости 
ТЕМА</t>
        </is>
      </c>
    </row>
    <row r="4" ht="9.949999999999999" customFormat="1" customHeight="1" s="275"/>
    <row r="5" ht="15" customFormat="1" customHeight="1" s="296">
      <c r="A5" s="1526" t="inlineStr">
        <is>
          <t>№ п/п</t>
        </is>
      </c>
      <c r="B5" s="1416" t="n"/>
      <c r="C5" s="1416" t="n"/>
      <c r="D5" s="1417" t="n"/>
      <c r="E5" s="1526" t="inlineStr">
        <is>
          <t>Наименование 
товаров, работ,
услуг 4</t>
        </is>
      </c>
      <c r="F5" s="1416" t="n"/>
      <c r="G5" s="1416" t="n"/>
      <c r="H5" s="1416" t="n"/>
      <c r="I5" s="1416" t="n"/>
      <c r="J5" s="1416" t="n"/>
      <c r="K5" s="1416" t="n"/>
      <c r="L5" s="1416" t="n"/>
      <c r="M5" s="1416" t="n"/>
      <c r="N5" s="1416" t="n"/>
      <c r="O5" s="1416" t="n"/>
      <c r="P5" s="1416" t="n"/>
      <c r="Q5" s="1416" t="n"/>
      <c r="R5" s="1416" t="n"/>
      <c r="S5" s="1416" t="n"/>
      <c r="T5" s="1416" t="n"/>
      <c r="U5" s="1416" t="n"/>
      <c r="V5" s="1416" t="n"/>
      <c r="W5" s="1417" t="n"/>
      <c r="X5" s="1331" t="inlineStr">
        <is>
          <t xml:space="preserve">Отчетный период/период, предшествующий планируемому (год </t>
        </is>
      </c>
      <c r="Y5" s="1416" t="n"/>
      <c r="Z5" s="1416" t="n"/>
      <c r="AA5" s="1416" t="n"/>
      <c r="AB5" s="1416" t="n"/>
      <c r="AC5" s="1416" t="n"/>
      <c r="AD5" s="1416" t="n"/>
      <c r="AE5" s="1416" t="n"/>
      <c r="AF5" s="1416" t="n"/>
      <c r="AG5" s="1416" t="n"/>
      <c r="AH5" s="1416" t="n"/>
      <c r="AI5" s="1416" t="n"/>
      <c r="AJ5" s="1416" t="n"/>
      <c r="AK5" s="1416" t="n"/>
      <c r="AL5" s="1416" t="n"/>
      <c r="AM5" s="1416" t="n"/>
      <c r="AN5" s="1416" t="n"/>
      <c r="AO5" s="1416" t="n"/>
      <c r="AP5" s="1416" t="n"/>
      <c r="AQ5" s="1416" t="n"/>
      <c r="AR5" s="1416" t="n"/>
      <c r="AS5" s="1416" t="n"/>
      <c r="AT5" s="1416" t="n"/>
      <c r="AU5" s="1416" t="n"/>
      <c r="AV5" s="1416" t="n"/>
      <c r="AW5" s="1416" t="n"/>
      <c r="AX5" s="1416" t="n"/>
      <c r="AY5" s="1416" t="n"/>
      <c r="AZ5" s="1416" t="n"/>
      <c r="BA5" s="1416" t="n"/>
      <c r="BB5" s="1416" t="n"/>
      <c r="BC5" s="1416" t="n"/>
      <c r="BD5" s="1416" t="n"/>
      <c r="BE5" s="1416" t="n"/>
      <c r="BF5" s="1416" t="n"/>
      <c r="BG5" s="1416" t="n"/>
      <c r="BH5" s="1416" t="n"/>
      <c r="BI5" s="1416" t="n"/>
      <c r="BJ5" s="1416" t="n"/>
      <c r="BK5" s="1416" t="n"/>
      <c r="BL5" s="1416" t="n"/>
      <c r="BM5" s="1416" t="n"/>
      <c r="BN5" s="1416" t="n"/>
      <c r="BO5" s="1416" t="n"/>
      <c r="BP5" s="1416" t="n"/>
      <c r="BQ5" s="1416" t="n"/>
      <c r="BR5" s="1416" t="n"/>
      <c r="BS5" s="1416" t="n"/>
      <c r="BT5" s="1416" t="n"/>
      <c r="BU5" s="1416" t="n"/>
      <c r="BV5" s="1416" t="n"/>
      <c r="BW5" s="1416" t="n"/>
      <c r="BX5" s="1416" t="n"/>
      <c r="BY5" s="1416" t="n"/>
      <c r="BZ5" s="1416" t="n"/>
      <c r="CA5" s="1416" t="n"/>
      <c r="CB5" s="1416" t="n"/>
      <c r="CC5" s="1416" t="n"/>
      <c r="CD5" s="1416" t="n"/>
      <c r="CE5" s="1416" t="n"/>
      <c r="CF5" s="1416" t="n"/>
      <c r="CG5" s="1416" t="n"/>
      <c r="CH5" s="1416" t="n"/>
      <c r="CI5" s="1416" t="n"/>
      <c r="CJ5" s="1416" t="n"/>
      <c r="CK5" s="1416" t="n"/>
      <c r="CL5" s="1416" t="n"/>
      <c r="CM5" s="1416" t="n"/>
      <c r="CN5" s="1416" t="n"/>
      <c r="CO5" s="1416" t="n"/>
      <c r="CP5" s="1416" t="n"/>
      <c r="CQ5" s="1416" t="n"/>
      <c r="CR5" s="1416" t="n"/>
      <c r="CS5" s="1416" t="n"/>
      <c r="CT5" s="1416" t="n"/>
      <c r="CU5" s="1416" t="n"/>
      <c r="CV5" s="1416" t="n"/>
      <c r="CW5" s="1416" t="n"/>
      <c r="CX5" s="1333" t="inlineStr">
        <is>
          <t>2025</t>
        </is>
      </c>
      <c r="CY5" s="1412" t="n"/>
      <c r="CZ5" s="1412" t="n"/>
      <c r="DA5" s="1412" t="n"/>
      <c r="DB5" s="1412" t="n"/>
      <c r="DC5" s="1335" t="inlineStr">
        <is>
          <t>)</t>
        </is>
      </c>
      <c r="DD5" s="1416" t="n"/>
      <c r="DE5" s="1416" t="n"/>
      <c r="DF5" s="1416" t="n"/>
      <c r="DG5" s="1416" t="n"/>
      <c r="DH5" s="1416" t="n"/>
      <c r="DI5" s="1416" t="n"/>
      <c r="DJ5" s="1416" t="n"/>
      <c r="DK5" s="1416" t="n"/>
      <c r="DL5" s="1416" t="n"/>
      <c r="DM5" s="1416" t="n"/>
      <c r="DN5" s="1416" t="n"/>
      <c r="DO5" s="1416" t="n"/>
      <c r="DP5" s="1416" t="n"/>
      <c r="DQ5" s="1416" t="n"/>
      <c r="DR5" s="1416" t="n"/>
      <c r="DS5" s="1416" t="n"/>
      <c r="DT5" s="1416" t="n"/>
      <c r="DU5" s="1416" t="n"/>
      <c r="DV5" s="1416" t="n"/>
      <c r="DW5" s="1416" t="n"/>
      <c r="DX5" s="1416" t="n"/>
      <c r="DY5" s="1416" t="n"/>
      <c r="DZ5" s="1416" t="n"/>
      <c r="EA5" s="1416" t="n"/>
      <c r="EB5" s="1416" t="n"/>
      <c r="EC5" s="1416" t="n"/>
      <c r="ED5" s="1416" t="n"/>
      <c r="EE5" s="1416" t="n"/>
      <c r="EF5" s="1416" t="n"/>
      <c r="EG5" s="1416" t="n"/>
      <c r="EH5" s="1416" t="n"/>
      <c r="EI5" s="1417" t="n"/>
      <c r="EJ5" s="1331" t="inlineStr">
        <is>
          <t xml:space="preserve">Планируемый период (год </t>
        </is>
      </c>
      <c r="EK5" s="1416" t="n"/>
      <c r="EL5" s="1416" t="n"/>
      <c r="EM5" s="1416" t="n"/>
      <c r="EN5" s="1416" t="n"/>
      <c r="EO5" s="1416" t="n"/>
      <c r="EP5" s="1416" t="n"/>
      <c r="EQ5" s="1416" t="n"/>
      <c r="ER5" s="1416" t="n"/>
      <c r="ES5" s="1416" t="n"/>
      <c r="ET5" s="1416" t="n"/>
      <c r="EU5" s="1416" t="n"/>
      <c r="EV5" s="1416" t="n"/>
      <c r="EW5" s="1416" t="n"/>
      <c r="EX5" s="1416" t="n"/>
      <c r="EY5" s="1416" t="n"/>
      <c r="EZ5" s="1416" t="n"/>
      <c r="FA5" s="1416" t="n"/>
      <c r="FB5" s="1416" t="n"/>
      <c r="FC5" s="1416" t="n"/>
      <c r="FD5" s="1416" t="n"/>
      <c r="FE5" s="1416" t="n"/>
      <c r="FF5" s="1416" t="n"/>
      <c r="FG5" s="1416" t="n"/>
      <c r="FH5" s="1416" t="n"/>
      <c r="FI5" s="1416" t="n"/>
      <c r="FJ5" s="1416" t="n"/>
      <c r="FK5" s="1416" t="n"/>
      <c r="FL5" s="1416" t="n"/>
      <c r="FM5" s="1416" t="n"/>
      <c r="FN5" s="1416" t="n"/>
      <c r="FO5" s="1416" t="n"/>
      <c r="FP5" s="1416" t="n"/>
      <c r="FQ5" s="1416" t="n"/>
      <c r="FR5" s="1416" t="n"/>
      <c r="FS5" s="1416" t="n"/>
      <c r="FT5" s="1333" t="inlineStr">
        <is>
          <t>2026</t>
        </is>
      </c>
      <c r="FU5" s="1416" t="n"/>
      <c r="FV5" s="1416" t="n"/>
      <c r="FW5" s="1416" t="n"/>
      <c r="FX5" s="1416" t="n"/>
      <c r="FY5" s="1335" t="inlineStr">
        <is>
          <t>)</t>
        </is>
      </c>
      <c r="FZ5" s="1416" t="n"/>
      <c r="GA5" s="1416" t="n"/>
      <c r="GB5" s="1416" t="n"/>
      <c r="GC5" s="1416" t="n"/>
      <c r="GD5" s="1416" t="n"/>
      <c r="GE5" s="1416" t="n"/>
      <c r="GF5" s="1416" t="n"/>
      <c r="GG5" s="1416" t="n"/>
      <c r="GH5" s="1416" t="n"/>
      <c r="GI5" s="1416" t="n"/>
      <c r="GJ5" s="1416" t="n"/>
      <c r="GK5" s="1416" t="n"/>
      <c r="GL5" s="1416" t="n"/>
      <c r="GM5" s="1416" t="n"/>
      <c r="GN5" s="1416" t="n"/>
      <c r="GO5" s="1417" t="n"/>
    </row>
    <row r="6" ht="4.5" customFormat="1" customHeight="1" s="296">
      <c r="A6" s="1419" t="n"/>
      <c r="D6" s="1420" t="n"/>
      <c r="E6" s="1419" t="n"/>
      <c r="W6" s="1420" t="n"/>
      <c r="X6" s="1527" t="n"/>
      <c r="Y6" s="1409" t="n"/>
      <c r="Z6" s="1409" t="n"/>
      <c r="AA6" s="1409" t="n"/>
      <c r="AB6" s="1409" t="n"/>
      <c r="AC6" s="1409" t="n"/>
      <c r="AD6" s="1409" t="n"/>
      <c r="AE6" s="1409" t="n"/>
      <c r="AF6" s="1409" t="n"/>
      <c r="AG6" s="1409" t="n"/>
      <c r="AH6" s="1409" t="n"/>
      <c r="AI6" s="1409" t="n"/>
      <c r="AJ6" s="1409" t="n"/>
      <c r="AK6" s="1409" t="n"/>
      <c r="AL6" s="1409" t="n"/>
      <c r="AM6" s="1409" t="n"/>
      <c r="AN6" s="1409" t="n"/>
      <c r="AO6" s="1409" t="n"/>
      <c r="AP6" s="1409" t="n"/>
      <c r="AQ6" s="1409" t="n"/>
      <c r="AR6" s="1409" t="n"/>
      <c r="AS6" s="1409" t="n"/>
      <c r="AT6" s="1409" t="n"/>
      <c r="AU6" s="1409" t="n"/>
      <c r="AV6" s="1409" t="n"/>
      <c r="AW6" s="1409" t="n"/>
      <c r="AX6" s="1409" t="n"/>
      <c r="AY6" s="1409" t="n"/>
      <c r="AZ6" s="1409" t="n"/>
      <c r="BA6" s="1409" t="n"/>
      <c r="BB6" s="1409" t="n"/>
      <c r="BC6" s="1409" t="n"/>
      <c r="BD6" s="1409" t="n"/>
      <c r="BE6" s="1409" t="n"/>
      <c r="BF6" s="1409" t="n"/>
      <c r="BG6" s="1409" t="n"/>
      <c r="BH6" s="1409" t="n"/>
      <c r="BI6" s="1409" t="n"/>
      <c r="BJ6" s="1409" t="n"/>
      <c r="BK6" s="1409" t="n"/>
      <c r="BL6" s="1409" t="n"/>
      <c r="BM6" s="1409" t="n"/>
      <c r="BN6" s="1409" t="n"/>
      <c r="BO6" s="1409" t="n"/>
      <c r="BP6" s="1409" t="n"/>
      <c r="BQ6" s="1409" t="n"/>
      <c r="BR6" s="1409" t="n"/>
      <c r="BS6" s="1409" t="n"/>
      <c r="BT6" s="1409" t="n"/>
      <c r="BU6" s="1409" t="n"/>
      <c r="BV6" s="1409" t="n"/>
      <c r="BW6" s="1409" t="n"/>
      <c r="BX6" s="1409" t="n"/>
      <c r="BY6" s="1409" t="n"/>
      <c r="BZ6" s="1409" t="n"/>
      <c r="CA6" s="1409" t="n"/>
      <c r="CB6" s="1409" t="n"/>
      <c r="CC6" s="1409" t="n"/>
      <c r="CD6" s="1409" t="n"/>
      <c r="CE6" s="1409" t="n"/>
      <c r="CF6" s="1409" t="n"/>
      <c r="CG6" s="1409" t="n"/>
      <c r="CH6" s="1409" t="n"/>
      <c r="CI6" s="1409" t="n"/>
      <c r="CJ6" s="1409" t="n"/>
      <c r="CK6" s="1409" t="n"/>
      <c r="CL6" s="1409" t="n"/>
      <c r="CM6" s="1409" t="n"/>
      <c r="CN6" s="1409" t="n"/>
      <c r="CO6" s="1409" t="n"/>
      <c r="CP6" s="1409" t="n"/>
      <c r="CQ6" s="1409" t="n"/>
      <c r="CR6" s="1409" t="n"/>
      <c r="CS6" s="1409" t="n"/>
      <c r="CT6" s="1409" t="n"/>
      <c r="CU6" s="1409" t="n"/>
      <c r="CV6" s="1409" t="n"/>
      <c r="CW6" s="1409" t="n"/>
      <c r="CX6" s="1409" t="n"/>
      <c r="CY6" s="1409" t="n"/>
      <c r="CZ6" s="1409" t="n"/>
      <c r="DA6" s="1409" t="n"/>
      <c r="DB6" s="1409" t="n"/>
      <c r="DC6" s="1409" t="n"/>
      <c r="DD6" s="1409" t="n"/>
      <c r="DE6" s="1409" t="n"/>
      <c r="DF6" s="1409" t="n"/>
      <c r="DG6" s="1409" t="n"/>
      <c r="DH6" s="1409" t="n"/>
      <c r="DI6" s="1409" t="n"/>
      <c r="DJ6" s="1409" t="n"/>
      <c r="DK6" s="1409" t="n"/>
      <c r="DL6" s="1409" t="n"/>
      <c r="DM6" s="1409" t="n"/>
      <c r="DN6" s="1409" t="n"/>
      <c r="DO6" s="1409" t="n"/>
      <c r="DP6" s="1409" t="n"/>
      <c r="DQ6" s="1409" t="n"/>
      <c r="DR6" s="1409" t="n"/>
      <c r="DS6" s="1409" t="n"/>
      <c r="DT6" s="1409" t="n"/>
      <c r="DU6" s="1409" t="n"/>
      <c r="DV6" s="1409" t="n"/>
      <c r="DW6" s="1409" t="n"/>
      <c r="DX6" s="1409" t="n"/>
      <c r="DY6" s="1409" t="n"/>
      <c r="DZ6" s="1409" t="n"/>
      <c r="EA6" s="1409" t="n"/>
      <c r="EB6" s="1409" t="n"/>
      <c r="EC6" s="1409" t="n"/>
      <c r="ED6" s="1409" t="n"/>
      <c r="EE6" s="1409" t="n"/>
      <c r="EF6" s="1409" t="n"/>
      <c r="EG6" s="1409" t="n"/>
      <c r="EH6" s="1409" t="n"/>
      <c r="EI6" s="1421" t="n"/>
      <c r="EJ6" s="1419" t="n"/>
      <c r="FT6" s="1409" t="n"/>
      <c r="FU6" s="1409" t="n"/>
      <c r="FV6" s="1409" t="n"/>
      <c r="FW6" s="1409" t="n"/>
      <c r="FX6" s="1409" t="n"/>
      <c r="GO6" s="1420" t="n"/>
    </row>
    <row r="7" ht="11.25" customFormat="1" customHeight="1" s="296">
      <c r="A7" s="1419" t="n"/>
      <c r="D7" s="1420" t="n"/>
      <c r="E7" s="1419" t="n"/>
      <c r="W7" s="1420" t="n"/>
      <c r="X7" s="1398" t="inlineStr">
        <is>
          <t>план</t>
        </is>
      </c>
      <c r="Y7" s="1412" t="n"/>
      <c r="Z7" s="1412" t="n"/>
      <c r="AA7" s="1412" t="n"/>
      <c r="AB7" s="1412" t="n"/>
      <c r="AC7" s="1412" t="n"/>
      <c r="AD7" s="1412" t="n"/>
      <c r="AE7" s="1412" t="n"/>
      <c r="AF7" s="1412" t="n"/>
      <c r="AG7" s="1412" t="n"/>
      <c r="AH7" s="1412" t="n"/>
      <c r="AI7" s="1412" t="n"/>
      <c r="AJ7" s="1412" t="n"/>
      <c r="AK7" s="1412" t="n"/>
      <c r="AL7" s="1412" t="n"/>
      <c r="AM7" s="1412" t="n"/>
      <c r="AN7" s="1412" t="n"/>
      <c r="AO7" s="1412" t="n"/>
      <c r="AP7" s="1412" t="n"/>
      <c r="AQ7" s="1412" t="n"/>
      <c r="AR7" s="1412" t="n"/>
      <c r="AS7" s="1412" t="n"/>
      <c r="AT7" s="1412" t="n"/>
      <c r="AU7" s="1412" t="n"/>
      <c r="AV7" s="1412" t="n"/>
      <c r="AW7" s="1412" t="n"/>
      <c r="AX7" s="1412" t="n"/>
      <c r="AY7" s="1412" t="n"/>
      <c r="AZ7" s="1412" t="n"/>
      <c r="BA7" s="1412" t="n"/>
      <c r="BB7" s="1412" t="n"/>
      <c r="BC7" s="1412" t="n"/>
      <c r="BD7" s="1412" t="n"/>
      <c r="BE7" s="1412" t="n"/>
      <c r="BF7" s="1412" t="n"/>
      <c r="BG7" s="1412" t="n"/>
      <c r="BH7" s="1412" t="n"/>
      <c r="BI7" s="1412" t="n"/>
      <c r="BJ7" s="1412" t="n"/>
      <c r="BK7" s="1412" t="n"/>
      <c r="BL7" s="1412" t="n"/>
      <c r="BM7" s="1412" t="n"/>
      <c r="BN7" s="1412" t="n"/>
      <c r="BO7" s="1412" t="n"/>
      <c r="BP7" s="1412" t="n"/>
      <c r="BQ7" s="1412" t="n"/>
      <c r="BR7" s="1412" t="n"/>
      <c r="BS7" s="1412" t="n"/>
      <c r="BT7" s="1412" t="n"/>
      <c r="BU7" s="1412" t="n"/>
      <c r="BV7" s="1412" t="n"/>
      <c r="BW7" s="1412" t="n"/>
      <c r="BX7" s="1412" t="n"/>
      <c r="BY7" s="1412" t="n"/>
      <c r="BZ7" s="1412" t="n"/>
      <c r="CA7" s="1412" t="n"/>
      <c r="CB7" s="1412" t="n"/>
      <c r="CC7" s="1410" t="n"/>
      <c r="CD7" s="1398" t="inlineStr">
        <is>
          <t>факт</t>
        </is>
      </c>
      <c r="CE7" s="1412" t="n"/>
      <c r="CF7" s="1412" t="n"/>
      <c r="CG7" s="1412" t="n"/>
      <c r="CH7" s="1412" t="n"/>
      <c r="CI7" s="1412" t="n"/>
      <c r="CJ7" s="1412" t="n"/>
      <c r="CK7" s="1412" t="n"/>
      <c r="CL7" s="1412" t="n"/>
      <c r="CM7" s="1412" t="n"/>
      <c r="CN7" s="1412" t="n"/>
      <c r="CO7" s="1412" t="n"/>
      <c r="CP7" s="1412" t="n"/>
      <c r="CQ7" s="1412" t="n"/>
      <c r="CR7" s="1412" t="n"/>
      <c r="CS7" s="1412" t="n"/>
      <c r="CT7" s="1412" t="n"/>
      <c r="CU7" s="1412" t="n"/>
      <c r="CV7" s="1412" t="n"/>
      <c r="CW7" s="1412" t="n"/>
      <c r="CX7" s="1412" t="n"/>
      <c r="CY7" s="1412" t="n"/>
      <c r="CZ7" s="1412" t="n"/>
      <c r="DA7" s="1412" t="n"/>
      <c r="DB7" s="1412" t="n"/>
      <c r="DC7" s="1412" t="n"/>
      <c r="DD7" s="1412" t="n"/>
      <c r="DE7" s="1412" t="n"/>
      <c r="DF7" s="1412" t="n"/>
      <c r="DG7" s="1412" t="n"/>
      <c r="DH7" s="1412" t="n"/>
      <c r="DI7" s="1412" t="n"/>
      <c r="DJ7" s="1412" t="n"/>
      <c r="DK7" s="1412" t="n"/>
      <c r="DL7" s="1412" t="n"/>
      <c r="DM7" s="1412" t="n"/>
      <c r="DN7" s="1412" t="n"/>
      <c r="DO7" s="1412" t="n"/>
      <c r="DP7" s="1412" t="n"/>
      <c r="DQ7" s="1412" t="n"/>
      <c r="DR7" s="1412" t="n"/>
      <c r="DS7" s="1412" t="n"/>
      <c r="DT7" s="1412" t="n"/>
      <c r="DU7" s="1412" t="n"/>
      <c r="DV7" s="1412" t="n"/>
      <c r="DW7" s="1412" t="n"/>
      <c r="DX7" s="1412" t="n"/>
      <c r="DY7" s="1412" t="n"/>
      <c r="DZ7" s="1412" t="n"/>
      <c r="EA7" s="1412" t="n"/>
      <c r="EB7" s="1412" t="n"/>
      <c r="EC7" s="1412" t="n"/>
      <c r="ED7" s="1412" t="n"/>
      <c r="EE7" s="1412" t="n"/>
      <c r="EF7" s="1412" t="n"/>
      <c r="EG7" s="1412" t="n"/>
      <c r="EH7" s="1412" t="n"/>
      <c r="EI7" s="1410" t="n"/>
      <c r="EJ7" s="1528" t="n"/>
      <c r="EK7" s="1409" t="n"/>
      <c r="EL7" s="1409" t="n"/>
      <c r="EM7" s="1409" t="n"/>
      <c r="EN7" s="1409" t="n"/>
      <c r="EO7" s="1409" t="n"/>
      <c r="EP7" s="1409" t="n"/>
      <c r="EQ7" s="1409" t="n"/>
      <c r="ER7" s="1409" t="n"/>
      <c r="ES7" s="1409" t="n"/>
      <c r="ET7" s="1409" t="n"/>
      <c r="EU7" s="1409" t="n"/>
      <c r="EV7" s="1409" t="n"/>
      <c r="EW7" s="1409" t="n"/>
      <c r="EX7" s="1409" t="n"/>
      <c r="EY7" s="1409" t="n"/>
      <c r="EZ7" s="1409" t="n"/>
      <c r="FA7" s="1409" t="n"/>
      <c r="FB7" s="1409" t="n"/>
      <c r="FC7" s="1409" t="n"/>
      <c r="FD7" s="1409" t="n"/>
      <c r="FE7" s="1409" t="n"/>
      <c r="FF7" s="1409" t="n"/>
      <c r="FG7" s="1409" t="n"/>
      <c r="FH7" s="1409" t="n"/>
      <c r="FI7" s="1409" t="n"/>
      <c r="FJ7" s="1409" t="n"/>
      <c r="FK7" s="1409" t="n"/>
      <c r="FL7" s="1409" t="n"/>
      <c r="FM7" s="1409" t="n"/>
      <c r="FN7" s="1409" t="n"/>
      <c r="FO7" s="1409" t="n"/>
      <c r="FP7" s="1409" t="n"/>
      <c r="FQ7" s="1409" t="n"/>
      <c r="FR7" s="1409" t="n"/>
      <c r="FS7" s="1409" t="n"/>
      <c r="FT7" s="1409" t="n"/>
      <c r="FU7" s="1409" t="n"/>
      <c r="FV7" s="1409" t="n"/>
      <c r="FW7" s="1409" t="n"/>
      <c r="FX7" s="1409" t="n"/>
      <c r="FY7" s="1409" t="n"/>
      <c r="FZ7" s="1409" t="n"/>
      <c r="GA7" s="1409" t="n"/>
      <c r="GB7" s="1409" t="n"/>
      <c r="GC7" s="1409" t="n"/>
      <c r="GD7" s="1409" t="n"/>
      <c r="GE7" s="1409" t="n"/>
      <c r="GF7" s="1409" t="n"/>
      <c r="GG7" s="1409" t="n"/>
      <c r="GH7" s="1409" t="n"/>
      <c r="GI7" s="1409" t="n"/>
      <c r="GJ7" s="1409" t="n"/>
      <c r="GK7" s="1409" t="n"/>
      <c r="GL7" s="1409" t="n"/>
      <c r="GM7" s="1409" t="n"/>
      <c r="GN7" s="1409" t="n"/>
      <c r="GO7" s="1421" t="n"/>
    </row>
    <row r="8" ht="15" customFormat="1" customHeight="1" s="296">
      <c r="A8" s="1419" t="n"/>
      <c r="D8" s="1420" t="n"/>
      <c r="E8" s="1419" t="n"/>
      <c r="W8" s="1420" t="n"/>
      <c r="X8" s="1529" t="inlineStr">
        <is>
          <t>технологическая
трудоемкость единицы
продукции</t>
        </is>
      </c>
      <c r="Y8" s="1416" t="n"/>
      <c r="Z8" s="1416" t="n"/>
      <c r="AA8" s="1416" t="n"/>
      <c r="AB8" s="1416" t="n"/>
      <c r="AC8" s="1416" t="n"/>
      <c r="AD8" s="1416" t="n"/>
      <c r="AE8" s="1416" t="n"/>
      <c r="AF8" s="1416" t="n"/>
      <c r="AG8" s="1357" t="inlineStr">
        <is>
          <t>)</t>
        </is>
      </c>
      <c r="AH8" s="1416" t="n"/>
      <c r="AI8" s="1416" t="n"/>
      <c r="AJ8" s="1416" t="n"/>
      <c r="AK8" s="1530" t="n"/>
      <c r="AL8" s="1417" t="n"/>
      <c r="AM8" s="1364" t="n"/>
      <c r="AN8" s="1416" t="n"/>
      <c r="AO8" s="1416" t="n"/>
      <c r="AP8" s="1416" t="n"/>
      <c r="AQ8" s="1416" t="n"/>
      <c r="AR8" s="1531" t="inlineStr">
        <is>
          <t>(руб.)</t>
        </is>
      </c>
      <c r="AS8" s="1416" t="n"/>
      <c r="AT8" s="1416" t="n"/>
      <c r="AU8" s="1417" t="n"/>
      <c r="AV8" s="1532" t="inlineStr">
        <is>
          <t>годовой объем 
производства 
(штуки)</t>
        </is>
      </c>
      <c r="AW8" s="1416" t="n"/>
      <c r="AX8" s="1416" t="n"/>
      <c r="AY8" s="1416" t="n"/>
      <c r="AZ8" s="1416" t="n"/>
      <c r="BA8" s="1416" t="n"/>
      <c r="BB8" s="1416" t="n"/>
      <c r="BC8" s="1416" t="n"/>
      <c r="BD8" s="1417" t="n"/>
      <c r="BE8" s="1532" t="inlineStr">
        <is>
          <t>технологическая 
трудоемкость всего 
(гр. 3 * гр. 5)</t>
        </is>
      </c>
      <c r="BF8" s="1416" t="n"/>
      <c r="BG8" s="1416" t="n"/>
      <c r="BH8" s="1416" t="n"/>
      <c r="BI8" s="1416" t="n"/>
      <c r="BJ8" s="1416" t="n"/>
      <c r="BK8" s="1416" t="n"/>
      <c r="BL8" s="1416" t="n"/>
      <c r="BM8" s="1417" t="n"/>
      <c r="BN8" s="1526" t="inlineStr">
        <is>
          <t>основная 
заработная плата 
основных работников
(гр. 4 * гр. 6)</t>
        </is>
      </c>
      <c r="BO8" s="1416" t="n"/>
      <c r="BP8" s="1416" t="n"/>
      <c r="BQ8" s="1416" t="n"/>
      <c r="BR8" s="1416" t="n"/>
      <c r="BS8" s="1416" t="n"/>
      <c r="BT8" s="1416" t="n"/>
      <c r="BU8" s="1416" t="n"/>
      <c r="BV8" s="1416" t="n"/>
      <c r="BW8" s="1416" t="n"/>
      <c r="BX8" s="1416" t="n"/>
      <c r="BY8" s="1416" t="n"/>
      <c r="BZ8" s="1416" t="n"/>
      <c r="CA8" s="1416" t="n"/>
      <c r="CB8" s="1416" t="n"/>
      <c r="CC8" s="1417" t="n"/>
      <c r="CD8" s="1529" t="inlineStr">
        <is>
          <t>технологическая
трудоемкость единицы
продукции</t>
        </is>
      </c>
      <c r="CE8" s="1416" t="n"/>
      <c r="CF8" s="1416" t="n"/>
      <c r="CG8" s="1416" t="n"/>
      <c r="CH8" s="1416" t="n"/>
      <c r="CI8" s="1416" t="n"/>
      <c r="CJ8" s="1416" t="n"/>
      <c r="CK8" s="1416" t="n"/>
      <c r="CL8" s="1416" t="n"/>
      <c r="CM8" s="1357" t="inlineStr">
        <is>
          <t>)</t>
        </is>
      </c>
      <c r="CN8" s="1416" t="n"/>
      <c r="CO8" s="1416" t="n"/>
      <c r="CP8" s="1416" t="n"/>
      <c r="CQ8" s="1530" t="n"/>
      <c r="CR8" s="1417" t="n"/>
      <c r="CS8" s="1364" t="n"/>
      <c r="CT8" s="1416" t="n"/>
      <c r="CU8" s="1416" t="n"/>
      <c r="CV8" s="1416" t="n"/>
      <c r="CW8" s="1416" t="n"/>
      <c r="CX8" s="1531" t="inlineStr">
        <is>
          <t>(руб.)</t>
        </is>
      </c>
      <c r="CY8" s="1416" t="n"/>
      <c r="CZ8" s="1416" t="n"/>
      <c r="DA8" s="1417" t="n"/>
      <c r="DB8" s="1532" t="inlineStr">
        <is>
          <t>годовой объем 
производства 
(штуки)</t>
        </is>
      </c>
      <c r="DC8" s="1416" t="n"/>
      <c r="DD8" s="1416" t="n"/>
      <c r="DE8" s="1416" t="n"/>
      <c r="DF8" s="1416" t="n"/>
      <c r="DG8" s="1416" t="n"/>
      <c r="DH8" s="1416" t="n"/>
      <c r="DI8" s="1416" t="n"/>
      <c r="DJ8" s="1417" t="n"/>
      <c r="DK8" s="1532" t="inlineStr">
        <is>
          <t>технологическая 
трудоемкость всего
(гр. 8 * гр. 10)</t>
        </is>
      </c>
      <c r="DL8" s="1416" t="n"/>
      <c r="DM8" s="1416" t="n"/>
      <c r="DN8" s="1416" t="n"/>
      <c r="DO8" s="1416" t="n"/>
      <c r="DP8" s="1416" t="n"/>
      <c r="DQ8" s="1416" t="n"/>
      <c r="DR8" s="1416" t="n"/>
      <c r="DS8" s="1417" t="n"/>
      <c r="DT8" s="1526" t="inlineStr">
        <is>
          <t>основная 
заработная плата 
основных работников
(гр. 9 * гр. 11)</t>
        </is>
      </c>
      <c r="DU8" s="1416" t="n"/>
      <c r="DV8" s="1416" t="n"/>
      <c r="DW8" s="1416" t="n"/>
      <c r="DX8" s="1416" t="n"/>
      <c r="DY8" s="1416" t="n"/>
      <c r="DZ8" s="1416" t="n"/>
      <c r="EA8" s="1416" t="n"/>
      <c r="EB8" s="1416" t="n"/>
      <c r="EC8" s="1416" t="n"/>
      <c r="ED8" s="1416" t="n"/>
      <c r="EE8" s="1416" t="n"/>
      <c r="EF8" s="1416" t="n"/>
      <c r="EG8" s="1416" t="n"/>
      <c r="EH8" s="1416" t="n"/>
      <c r="EI8" s="1417" t="n"/>
      <c r="EJ8" s="1529" t="inlineStr">
        <is>
          <t>технологическая
трудоемкость единицы
продукции</t>
        </is>
      </c>
      <c r="EK8" s="1416" t="n"/>
      <c r="EL8" s="1416" t="n"/>
      <c r="EM8" s="1416" t="n"/>
      <c r="EN8" s="1416" t="n"/>
      <c r="EO8" s="1416" t="n"/>
      <c r="EP8" s="1416" t="n"/>
      <c r="EQ8" s="1416" t="n"/>
      <c r="ER8" s="1416" t="n"/>
      <c r="ES8" s="1357" t="inlineStr">
        <is>
          <t>)</t>
        </is>
      </c>
      <c r="ET8" s="1416" t="n"/>
      <c r="EU8" s="1416" t="n"/>
      <c r="EV8" s="1416" t="n"/>
      <c r="EW8" s="1530" t="n"/>
      <c r="EX8" s="1417" t="n"/>
      <c r="EY8" s="1364" t="n"/>
      <c r="EZ8" s="1416" t="n"/>
      <c r="FA8" s="1416" t="n"/>
      <c r="FB8" s="1416" t="n"/>
      <c r="FC8" s="1416" t="n"/>
      <c r="FD8" s="1531" t="inlineStr">
        <is>
          <t>(руб.)</t>
        </is>
      </c>
      <c r="FE8" s="1416" t="n"/>
      <c r="FF8" s="1416" t="n"/>
      <c r="FG8" s="1417" t="n"/>
      <c r="FH8" s="1532" t="inlineStr">
        <is>
          <t>годовой объем 
производства 
(штуки)</t>
        </is>
      </c>
      <c r="FI8" s="1416" t="n"/>
      <c r="FJ8" s="1416" t="n"/>
      <c r="FK8" s="1416" t="n"/>
      <c r="FL8" s="1416" t="n"/>
      <c r="FM8" s="1416" t="n"/>
      <c r="FN8" s="1416" t="n"/>
      <c r="FO8" s="1416" t="n"/>
      <c r="FP8" s="1417" t="n"/>
      <c r="FQ8" s="1532" t="inlineStr">
        <is>
          <t>технологическая 
трудоемкость всего 
(гр. 13 * гр. 15)</t>
        </is>
      </c>
      <c r="FR8" s="1416" t="n"/>
      <c r="FS8" s="1416" t="n"/>
      <c r="FT8" s="1416" t="n"/>
      <c r="FU8" s="1416" t="n"/>
      <c r="FV8" s="1416" t="n"/>
      <c r="FW8" s="1416" t="n"/>
      <c r="FX8" s="1416" t="n"/>
      <c r="FY8" s="1417" t="n"/>
      <c r="FZ8" s="1526" t="inlineStr">
        <is>
          <t>основная 
заработная плата 
основных работников
(гр. 14 * гр. 16)</t>
        </is>
      </c>
      <c r="GA8" s="1416" t="n"/>
      <c r="GB8" s="1416" t="n"/>
      <c r="GC8" s="1416" t="n"/>
      <c r="GD8" s="1416" t="n"/>
      <c r="GE8" s="1416" t="n"/>
      <c r="GF8" s="1416" t="n"/>
      <c r="GG8" s="1416" t="n"/>
      <c r="GH8" s="1416" t="n"/>
      <c r="GI8" s="1416" t="n"/>
      <c r="GJ8" s="1416" t="n"/>
      <c r="GK8" s="1416" t="n"/>
      <c r="GL8" s="1416" t="n"/>
      <c r="GM8" s="1416" t="n"/>
      <c r="GN8" s="1416" t="n"/>
      <c r="GO8" s="1417" t="n"/>
    </row>
    <row r="9" ht="6.95" customFormat="1" customHeight="1" s="296">
      <c r="A9" s="1419" t="n"/>
      <c r="D9" s="1420" t="n"/>
      <c r="E9" s="1419" t="n"/>
      <c r="W9" s="1420" t="n"/>
      <c r="X9" s="1419" t="n"/>
      <c r="AL9" s="1420" t="n"/>
      <c r="AM9" s="1533" t="inlineStr">
        <is>
          <t>чел./мес.</t>
        </is>
      </c>
      <c r="AQ9" s="1420" t="n"/>
      <c r="AU9" s="1420" t="n"/>
      <c r="AV9" s="1419" t="n"/>
      <c r="BD9" s="1420" t="n"/>
      <c r="BE9" s="1419" t="n"/>
      <c r="BM9" s="1420" t="n"/>
      <c r="BN9" s="1419" t="n"/>
      <c r="CC9" s="1420" t="n"/>
      <c r="CD9" s="1419" t="n"/>
      <c r="CR9" s="1420" t="n"/>
      <c r="CS9" s="1533" t="inlineStr">
        <is>
          <t>чел./мес.</t>
        </is>
      </c>
      <c r="CW9" s="1420" t="n"/>
      <c r="DA9" s="1420" t="n"/>
      <c r="DB9" s="1419" t="n"/>
      <c r="DJ9" s="1420" t="n"/>
      <c r="DK9" s="1419" t="n"/>
      <c r="DS9" s="1420" t="n"/>
      <c r="DT9" s="1419" t="n"/>
      <c r="EI9" s="1420" t="n"/>
      <c r="EJ9" s="1419" t="n"/>
      <c r="EX9" s="1420" t="n"/>
      <c r="EY9" s="1533" t="inlineStr">
        <is>
          <t>чел./мес.</t>
        </is>
      </c>
      <c r="FC9" s="1420" t="n"/>
      <c r="FG9" s="1420" t="n"/>
      <c r="FH9" s="1419" t="n"/>
      <c r="FP9" s="1420" t="n"/>
      <c r="FQ9" s="1419" t="n"/>
      <c r="FY9" s="1420" t="n"/>
      <c r="FZ9" s="1419" t="n"/>
      <c r="GO9" s="1420" t="n"/>
    </row>
    <row r="10" ht="42" customFormat="1" customHeight="1" s="296">
      <c r="A10" s="1419" t="n"/>
      <c r="D10" s="1420" t="n"/>
      <c r="E10" s="1419" t="n"/>
      <c r="W10" s="1420" t="n"/>
      <c r="X10" s="1419" t="n"/>
      <c r="AG10" s="1382" t="inlineStr">
        <is>
          <t>чел./мес.</t>
        </is>
      </c>
      <c r="AJ10" s="1420" t="n"/>
      <c r="AL10" s="1420" t="n"/>
      <c r="AM10" s="1419" t="n"/>
      <c r="AQ10" s="1420" t="n"/>
      <c r="AU10" s="1420" t="n"/>
      <c r="AV10" s="1419" t="n"/>
      <c r="BD10" s="1420" t="n"/>
      <c r="BE10" s="1419" t="n"/>
      <c r="BM10" s="1420" t="n"/>
      <c r="BN10" s="1419" t="n"/>
      <c r="CC10" s="1420" t="n"/>
      <c r="CD10" s="1419" t="n"/>
      <c r="CM10" s="1382" t="inlineStr">
        <is>
          <t>чел./мес.</t>
        </is>
      </c>
      <c r="CP10" s="1420" t="n"/>
      <c r="CR10" s="1420" t="n"/>
      <c r="CS10" s="1419" t="n"/>
      <c r="CW10" s="1420" t="n"/>
      <c r="DA10" s="1420" t="n"/>
      <c r="DB10" s="1419" t="n"/>
      <c r="DJ10" s="1420" t="n"/>
      <c r="DK10" s="1419" t="n"/>
      <c r="DS10" s="1420" t="n"/>
      <c r="DT10" s="1419" t="n"/>
      <c r="EI10" s="1420" t="n"/>
      <c r="EJ10" s="1419" t="n"/>
      <c r="ES10" s="1382" t="inlineStr">
        <is>
          <t>чел./мес.</t>
        </is>
      </c>
      <c r="EV10" s="1420" t="n"/>
      <c r="EX10" s="1420" t="n"/>
      <c r="EY10" s="1419" t="n"/>
      <c r="FC10" s="1420" t="n"/>
      <c r="FG10" s="1420" t="n"/>
      <c r="FH10" s="1419" t="n"/>
      <c r="FP10" s="1420" t="n"/>
      <c r="FQ10" s="1419" t="n"/>
      <c r="FY10" s="1420" t="n"/>
      <c r="FZ10" s="1419" t="n"/>
      <c r="GO10" s="1420" t="n"/>
    </row>
    <row r="11" ht="36.75" customFormat="1" customHeight="1" s="296">
      <c r="A11" s="1419" t="n"/>
      <c r="D11" s="1420" t="n"/>
      <c r="E11" s="1419" t="n"/>
      <c r="W11" s="1420" t="n"/>
      <c r="X11" s="1419" t="n"/>
      <c r="AJ11" s="1420" t="n"/>
      <c r="AL11" s="1420" t="n"/>
      <c r="AM11" s="1386" t="inlineStr">
        <is>
          <t xml:space="preserve">стоимость </t>
        </is>
      </c>
      <c r="AU11" s="1420" t="n"/>
      <c r="AV11" s="1419" t="n"/>
      <c r="BD11" s="1420" t="n"/>
      <c r="BE11" s="1419" t="n"/>
      <c r="BM11" s="1420" t="n"/>
      <c r="BN11" s="1419" t="n"/>
      <c r="CC11" s="1420" t="n"/>
      <c r="CD11" s="1419" t="n"/>
      <c r="CP11" s="1420" t="n"/>
      <c r="CR11" s="1420" t="n"/>
      <c r="CS11" s="1386" t="inlineStr">
        <is>
          <t xml:space="preserve">стоимость </t>
        </is>
      </c>
      <c r="DA11" s="1420" t="n"/>
      <c r="DB11" s="1419" t="n"/>
      <c r="DJ11" s="1420" t="n"/>
      <c r="DK11" s="1419" t="n"/>
      <c r="DS11" s="1420" t="n"/>
      <c r="DT11" s="1419" t="n"/>
      <c r="EI11" s="1420" t="n"/>
      <c r="EJ11" s="1419" t="n"/>
      <c r="EV11" s="1420" t="n"/>
      <c r="EX11" s="1420" t="n"/>
      <c r="EY11" s="1386" t="inlineStr">
        <is>
          <t xml:space="preserve">стоимость </t>
        </is>
      </c>
      <c r="FG11" s="1420" t="n"/>
      <c r="FH11" s="1419" t="n"/>
      <c r="FP11" s="1420" t="n"/>
      <c r="FQ11" s="1419" t="n"/>
      <c r="FY11" s="1420" t="n"/>
      <c r="FZ11" s="1419" t="n"/>
      <c r="GO11" s="1420" t="n"/>
    </row>
    <row r="12" ht="23.1" customFormat="1" customHeight="1" s="296">
      <c r="A12" s="1414" t="n"/>
      <c r="B12" s="1409" t="n"/>
      <c r="C12" s="1409" t="n"/>
      <c r="D12" s="1421" t="n"/>
      <c r="E12" s="1414" t="n"/>
      <c r="F12" s="1409" t="n"/>
      <c r="G12" s="1409" t="n"/>
      <c r="H12" s="1409" t="n"/>
      <c r="I12" s="1409" t="n"/>
      <c r="J12" s="1409" t="n"/>
      <c r="K12" s="1409" t="n"/>
      <c r="L12" s="1409" t="n"/>
      <c r="M12" s="1409" t="n"/>
      <c r="N12" s="1409" t="n"/>
      <c r="O12" s="1409" t="n"/>
      <c r="P12" s="1409" t="n"/>
      <c r="Q12" s="1409" t="n"/>
      <c r="R12" s="1409" t="n"/>
      <c r="S12" s="1409" t="n"/>
      <c r="T12" s="1409" t="n"/>
      <c r="U12" s="1409" t="n"/>
      <c r="V12" s="1409" t="n"/>
      <c r="W12" s="1421" t="n"/>
      <c r="X12" s="1414" t="n"/>
      <c r="Y12" s="1409" t="n"/>
      <c r="Z12" s="1409" t="n"/>
      <c r="AA12" s="1409" t="n"/>
      <c r="AB12" s="1409" t="n"/>
      <c r="AC12" s="1409" t="n"/>
      <c r="AD12" s="1409" t="n"/>
      <c r="AE12" s="1409" t="n"/>
      <c r="AF12" s="1409" t="n"/>
      <c r="AG12" s="1387" t="inlineStr">
        <is>
          <t>(</t>
        </is>
      </c>
      <c r="AH12" s="1409" t="n"/>
      <c r="AI12" s="1409" t="n"/>
      <c r="AJ12" s="1409" t="n"/>
      <c r="AK12" s="1409" t="n"/>
      <c r="AL12" s="1421" t="n"/>
      <c r="AM12" s="1414" t="n"/>
      <c r="AN12" s="1409" t="n"/>
      <c r="AO12" s="1409" t="n"/>
      <c r="AP12" s="1409" t="n"/>
      <c r="AQ12" s="1409" t="n"/>
      <c r="AR12" s="1409" t="n"/>
      <c r="AS12" s="1409" t="n"/>
      <c r="AT12" s="1409" t="n"/>
      <c r="AU12" s="1421" t="n"/>
      <c r="AV12" s="1414" t="n"/>
      <c r="AW12" s="1409" t="n"/>
      <c r="AX12" s="1409" t="n"/>
      <c r="AY12" s="1409" t="n"/>
      <c r="AZ12" s="1409" t="n"/>
      <c r="BA12" s="1409" t="n"/>
      <c r="BB12" s="1409" t="n"/>
      <c r="BC12" s="1409" t="n"/>
      <c r="BD12" s="1421" t="n"/>
      <c r="BE12" s="1414" t="n"/>
      <c r="BF12" s="1409" t="n"/>
      <c r="BG12" s="1409" t="n"/>
      <c r="BH12" s="1409" t="n"/>
      <c r="BI12" s="1409" t="n"/>
      <c r="BJ12" s="1409" t="n"/>
      <c r="BK12" s="1409" t="n"/>
      <c r="BL12" s="1409" t="n"/>
      <c r="BM12" s="1421" t="n"/>
      <c r="BN12" s="1414" t="n"/>
      <c r="BO12" s="1409" t="n"/>
      <c r="BP12" s="1409" t="n"/>
      <c r="BQ12" s="1409" t="n"/>
      <c r="BR12" s="1409" t="n"/>
      <c r="BS12" s="1409" t="n"/>
      <c r="BT12" s="1409" t="n"/>
      <c r="BU12" s="1409" t="n"/>
      <c r="BV12" s="1409" t="n"/>
      <c r="BW12" s="1409" t="n"/>
      <c r="BX12" s="1409" t="n"/>
      <c r="BY12" s="1409" t="n"/>
      <c r="BZ12" s="1409" t="n"/>
      <c r="CA12" s="1409" t="n"/>
      <c r="CB12" s="1409" t="n"/>
      <c r="CC12" s="1421" t="n"/>
      <c r="CD12" s="1414" t="n"/>
      <c r="CE12" s="1409" t="n"/>
      <c r="CF12" s="1409" t="n"/>
      <c r="CG12" s="1409" t="n"/>
      <c r="CH12" s="1409" t="n"/>
      <c r="CI12" s="1409" t="n"/>
      <c r="CJ12" s="1409" t="n"/>
      <c r="CK12" s="1409" t="n"/>
      <c r="CL12" s="1409" t="n"/>
      <c r="CM12" s="1387" t="inlineStr">
        <is>
          <t>(</t>
        </is>
      </c>
      <c r="CN12" s="1409" t="n"/>
      <c r="CO12" s="1409" t="n"/>
      <c r="CP12" s="1409" t="n"/>
      <c r="CQ12" s="1409" t="n"/>
      <c r="CR12" s="1421" t="n"/>
      <c r="CS12" s="1414" t="n"/>
      <c r="CT12" s="1409" t="n"/>
      <c r="CU12" s="1409" t="n"/>
      <c r="CV12" s="1409" t="n"/>
      <c r="CW12" s="1409" t="n"/>
      <c r="CX12" s="1409" t="n"/>
      <c r="CY12" s="1409" t="n"/>
      <c r="CZ12" s="1409" t="n"/>
      <c r="DA12" s="1421" t="n"/>
      <c r="DB12" s="1414" t="n"/>
      <c r="DC12" s="1409" t="n"/>
      <c r="DD12" s="1409" t="n"/>
      <c r="DE12" s="1409" t="n"/>
      <c r="DF12" s="1409" t="n"/>
      <c r="DG12" s="1409" t="n"/>
      <c r="DH12" s="1409" t="n"/>
      <c r="DI12" s="1409" t="n"/>
      <c r="DJ12" s="1421" t="n"/>
      <c r="DK12" s="1414" t="n"/>
      <c r="DL12" s="1409" t="n"/>
      <c r="DM12" s="1409" t="n"/>
      <c r="DN12" s="1409" t="n"/>
      <c r="DO12" s="1409" t="n"/>
      <c r="DP12" s="1409" t="n"/>
      <c r="DQ12" s="1409" t="n"/>
      <c r="DR12" s="1409" t="n"/>
      <c r="DS12" s="1421" t="n"/>
      <c r="DT12" s="1414" t="n"/>
      <c r="DU12" s="1409" t="n"/>
      <c r="DV12" s="1409" t="n"/>
      <c r="DW12" s="1409" t="n"/>
      <c r="DX12" s="1409" t="n"/>
      <c r="DY12" s="1409" t="n"/>
      <c r="DZ12" s="1409" t="n"/>
      <c r="EA12" s="1409" t="n"/>
      <c r="EB12" s="1409" t="n"/>
      <c r="EC12" s="1409" t="n"/>
      <c r="ED12" s="1409" t="n"/>
      <c r="EE12" s="1409" t="n"/>
      <c r="EF12" s="1409" t="n"/>
      <c r="EG12" s="1409" t="n"/>
      <c r="EH12" s="1409" t="n"/>
      <c r="EI12" s="1421" t="n"/>
      <c r="EJ12" s="1414" t="n"/>
      <c r="EK12" s="1409" t="n"/>
      <c r="EL12" s="1409" t="n"/>
      <c r="EM12" s="1409" t="n"/>
      <c r="EN12" s="1409" t="n"/>
      <c r="EO12" s="1409" t="n"/>
      <c r="EP12" s="1409" t="n"/>
      <c r="EQ12" s="1409" t="n"/>
      <c r="ER12" s="1409" t="n"/>
      <c r="ES12" s="1387" t="inlineStr">
        <is>
          <t>(</t>
        </is>
      </c>
      <c r="ET12" s="1409" t="n"/>
      <c r="EU12" s="1409" t="n"/>
      <c r="EV12" s="1409" t="n"/>
      <c r="EW12" s="1409" t="n"/>
      <c r="EX12" s="1421" t="n"/>
      <c r="EY12" s="1414" t="n"/>
      <c r="EZ12" s="1409" t="n"/>
      <c r="FA12" s="1409" t="n"/>
      <c r="FB12" s="1409" t="n"/>
      <c r="FC12" s="1409" t="n"/>
      <c r="FD12" s="1409" t="n"/>
      <c r="FE12" s="1409" t="n"/>
      <c r="FF12" s="1409" t="n"/>
      <c r="FG12" s="1421" t="n"/>
      <c r="FH12" s="1414" t="n"/>
      <c r="FI12" s="1409" t="n"/>
      <c r="FJ12" s="1409" t="n"/>
      <c r="FK12" s="1409" t="n"/>
      <c r="FL12" s="1409" t="n"/>
      <c r="FM12" s="1409" t="n"/>
      <c r="FN12" s="1409" t="n"/>
      <c r="FO12" s="1409" t="n"/>
      <c r="FP12" s="1421" t="n"/>
      <c r="FQ12" s="1414" t="n"/>
      <c r="FR12" s="1409" t="n"/>
      <c r="FS12" s="1409" t="n"/>
      <c r="FT12" s="1409" t="n"/>
      <c r="FU12" s="1409" t="n"/>
      <c r="FV12" s="1409" t="n"/>
      <c r="FW12" s="1409" t="n"/>
      <c r="FX12" s="1409" t="n"/>
      <c r="FY12" s="1421" t="n"/>
      <c r="FZ12" s="1414" t="n"/>
      <c r="GA12" s="1409" t="n"/>
      <c r="GB12" s="1409" t="n"/>
      <c r="GC12" s="1409" t="n"/>
      <c r="GD12" s="1409" t="n"/>
      <c r="GE12" s="1409" t="n"/>
      <c r="GF12" s="1409" t="n"/>
      <c r="GG12" s="1409" t="n"/>
      <c r="GH12" s="1409" t="n"/>
      <c r="GI12" s="1409" t="n"/>
      <c r="GJ12" s="1409" t="n"/>
      <c r="GK12" s="1409" t="n"/>
      <c r="GL12" s="1409" t="n"/>
      <c r="GM12" s="1409" t="n"/>
      <c r="GN12" s="1409" t="n"/>
      <c r="GO12" s="1421" t="n"/>
    </row>
    <row r="13" ht="11.25" customFormat="1" customHeight="1" s="295">
      <c r="A13" s="1388" t="n">
        <v>1</v>
      </c>
      <c r="B13" s="1412" t="n"/>
      <c r="C13" s="1412" t="n"/>
      <c r="D13" s="1410" t="n"/>
      <c r="E13" s="1388" t="n">
        <v>2</v>
      </c>
      <c r="F13" s="1412" t="n"/>
      <c r="G13" s="1412" t="n"/>
      <c r="H13" s="1412" t="n"/>
      <c r="I13" s="1412" t="n"/>
      <c r="J13" s="1412" t="n"/>
      <c r="K13" s="1412" t="n"/>
      <c r="L13" s="1412" t="n"/>
      <c r="M13" s="1412" t="n"/>
      <c r="N13" s="1412" t="n"/>
      <c r="O13" s="1412" t="n"/>
      <c r="P13" s="1412" t="n"/>
      <c r="Q13" s="1412" t="n"/>
      <c r="R13" s="1412" t="n"/>
      <c r="S13" s="1412" t="n"/>
      <c r="T13" s="1412" t="n"/>
      <c r="U13" s="1412" t="n"/>
      <c r="V13" s="1412" t="n"/>
      <c r="W13" s="1410" t="n"/>
      <c r="X13" s="1388" t="n">
        <v>3</v>
      </c>
      <c r="Y13" s="1412" t="n"/>
      <c r="Z13" s="1412" t="n"/>
      <c r="AA13" s="1412" t="n"/>
      <c r="AB13" s="1412" t="n"/>
      <c r="AC13" s="1412" t="n"/>
      <c r="AD13" s="1412" t="n"/>
      <c r="AE13" s="1412" t="n"/>
      <c r="AF13" s="1412" t="n"/>
      <c r="AG13" s="1412" t="n"/>
      <c r="AH13" s="1412" t="n"/>
      <c r="AI13" s="1412" t="n"/>
      <c r="AJ13" s="1412" t="n"/>
      <c r="AK13" s="1412" t="n"/>
      <c r="AL13" s="1410" t="n"/>
      <c r="AM13" s="1388" t="n">
        <v>4</v>
      </c>
      <c r="AN13" s="1412" t="n"/>
      <c r="AO13" s="1412" t="n"/>
      <c r="AP13" s="1412" t="n"/>
      <c r="AQ13" s="1412" t="n"/>
      <c r="AR13" s="1412" t="n"/>
      <c r="AS13" s="1412" t="n"/>
      <c r="AT13" s="1412" t="n"/>
      <c r="AU13" s="1410" t="n"/>
      <c r="AV13" s="1388" t="n">
        <v>5</v>
      </c>
      <c r="AW13" s="1412" t="n"/>
      <c r="AX13" s="1412" t="n"/>
      <c r="AY13" s="1412" t="n"/>
      <c r="AZ13" s="1412" t="n"/>
      <c r="BA13" s="1412" t="n"/>
      <c r="BB13" s="1412" t="n"/>
      <c r="BC13" s="1412" t="n"/>
      <c r="BD13" s="1410" t="n"/>
      <c r="BE13" s="1388" t="n">
        <v>6</v>
      </c>
      <c r="BF13" s="1412" t="n"/>
      <c r="BG13" s="1412" t="n"/>
      <c r="BH13" s="1412" t="n"/>
      <c r="BI13" s="1412" t="n"/>
      <c r="BJ13" s="1412" t="n"/>
      <c r="BK13" s="1412" t="n"/>
      <c r="BL13" s="1412" t="n"/>
      <c r="BM13" s="1410" t="n"/>
      <c r="BN13" s="1388" t="n">
        <v>7</v>
      </c>
      <c r="BO13" s="1412" t="n"/>
      <c r="BP13" s="1412" t="n"/>
      <c r="BQ13" s="1412" t="n"/>
      <c r="BR13" s="1412" t="n"/>
      <c r="BS13" s="1412" t="n"/>
      <c r="BT13" s="1412" t="n"/>
      <c r="BU13" s="1412" t="n"/>
      <c r="BV13" s="1412" t="n"/>
      <c r="BW13" s="1412" t="n"/>
      <c r="BX13" s="1412" t="n"/>
      <c r="BY13" s="1412" t="n"/>
      <c r="BZ13" s="1412" t="n"/>
      <c r="CA13" s="1412" t="n"/>
      <c r="CB13" s="1412" t="n"/>
      <c r="CC13" s="1410" t="n"/>
      <c r="CD13" s="1388" t="n">
        <v>8</v>
      </c>
      <c r="CE13" s="1412" t="n"/>
      <c r="CF13" s="1412" t="n"/>
      <c r="CG13" s="1412" t="n"/>
      <c r="CH13" s="1412" t="n"/>
      <c r="CI13" s="1412" t="n"/>
      <c r="CJ13" s="1412" t="n"/>
      <c r="CK13" s="1412" t="n"/>
      <c r="CL13" s="1412" t="n"/>
      <c r="CM13" s="1412" t="n"/>
      <c r="CN13" s="1412" t="n"/>
      <c r="CO13" s="1412" t="n"/>
      <c r="CP13" s="1412" t="n"/>
      <c r="CQ13" s="1412" t="n"/>
      <c r="CR13" s="1410" t="n"/>
      <c r="CS13" s="1388" t="n">
        <v>9</v>
      </c>
      <c r="CT13" s="1412" t="n"/>
      <c r="CU13" s="1412" t="n"/>
      <c r="CV13" s="1412" t="n"/>
      <c r="CW13" s="1412" t="n"/>
      <c r="CX13" s="1412" t="n"/>
      <c r="CY13" s="1412" t="n"/>
      <c r="CZ13" s="1412" t="n"/>
      <c r="DA13" s="1410" t="n"/>
      <c r="DB13" s="1388" t="n">
        <v>10</v>
      </c>
      <c r="DC13" s="1412" t="n"/>
      <c r="DD13" s="1412" t="n"/>
      <c r="DE13" s="1412" t="n"/>
      <c r="DF13" s="1412" t="n"/>
      <c r="DG13" s="1412" t="n"/>
      <c r="DH13" s="1412" t="n"/>
      <c r="DI13" s="1412" t="n"/>
      <c r="DJ13" s="1410" t="n"/>
      <c r="DK13" s="1388" t="n">
        <v>11</v>
      </c>
      <c r="DL13" s="1412" t="n"/>
      <c r="DM13" s="1412" t="n"/>
      <c r="DN13" s="1412" t="n"/>
      <c r="DO13" s="1412" t="n"/>
      <c r="DP13" s="1412" t="n"/>
      <c r="DQ13" s="1412" t="n"/>
      <c r="DR13" s="1412" t="n"/>
      <c r="DS13" s="1410" t="n"/>
      <c r="DT13" s="1388" t="n">
        <v>12</v>
      </c>
      <c r="DU13" s="1412" t="n"/>
      <c r="DV13" s="1412" t="n"/>
      <c r="DW13" s="1412" t="n"/>
      <c r="DX13" s="1412" t="n"/>
      <c r="DY13" s="1412" t="n"/>
      <c r="DZ13" s="1412" t="n"/>
      <c r="EA13" s="1412" t="n"/>
      <c r="EB13" s="1412" t="n"/>
      <c r="EC13" s="1412" t="n"/>
      <c r="ED13" s="1412" t="n"/>
      <c r="EE13" s="1412" t="n"/>
      <c r="EF13" s="1412" t="n"/>
      <c r="EG13" s="1412" t="n"/>
      <c r="EH13" s="1412" t="n"/>
      <c r="EI13" s="1410" t="n"/>
      <c r="EJ13" s="1388" t="n">
        <v>13</v>
      </c>
      <c r="EK13" s="1412" t="n"/>
      <c r="EL13" s="1412" t="n"/>
      <c r="EM13" s="1412" t="n"/>
      <c r="EN13" s="1412" t="n"/>
      <c r="EO13" s="1412" t="n"/>
      <c r="EP13" s="1412" t="n"/>
      <c r="EQ13" s="1412" t="n"/>
      <c r="ER13" s="1412" t="n"/>
      <c r="ES13" s="1412" t="n"/>
      <c r="ET13" s="1412" t="n"/>
      <c r="EU13" s="1412" t="n"/>
      <c r="EV13" s="1412" t="n"/>
      <c r="EW13" s="1412" t="n"/>
      <c r="EX13" s="1410" t="n"/>
      <c r="EY13" s="1388" t="n">
        <v>14</v>
      </c>
      <c r="EZ13" s="1412" t="n"/>
      <c r="FA13" s="1412" t="n"/>
      <c r="FB13" s="1412" t="n"/>
      <c r="FC13" s="1412" t="n"/>
      <c r="FD13" s="1412" t="n"/>
      <c r="FE13" s="1412" t="n"/>
      <c r="FF13" s="1412" t="n"/>
      <c r="FG13" s="1410" t="n"/>
      <c r="FH13" s="1388" t="n">
        <v>15</v>
      </c>
      <c r="FI13" s="1412" t="n"/>
      <c r="FJ13" s="1412" t="n"/>
      <c r="FK13" s="1412" t="n"/>
      <c r="FL13" s="1412" t="n"/>
      <c r="FM13" s="1412" t="n"/>
      <c r="FN13" s="1412" t="n"/>
      <c r="FO13" s="1412" t="n"/>
      <c r="FP13" s="1410" t="n"/>
      <c r="FQ13" s="1388" t="n">
        <v>16</v>
      </c>
      <c r="FR13" s="1412" t="n"/>
      <c r="FS13" s="1412" t="n"/>
      <c r="FT13" s="1412" t="n"/>
      <c r="FU13" s="1412" t="n"/>
      <c r="FV13" s="1412" t="n"/>
      <c r="FW13" s="1412" t="n"/>
      <c r="FX13" s="1412" t="n"/>
      <c r="FY13" s="1410" t="n"/>
      <c r="FZ13" s="1388" t="n">
        <v>17</v>
      </c>
      <c r="GA13" s="1412" t="n"/>
      <c r="GB13" s="1412" t="n"/>
      <c r="GC13" s="1412" t="n"/>
      <c r="GD13" s="1412" t="n"/>
      <c r="GE13" s="1412" t="n"/>
      <c r="GF13" s="1412" t="n"/>
      <c r="GG13" s="1412" t="n"/>
      <c r="GH13" s="1412" t="n"/>
      <c r="GI13" s="1412" t="n"/>
      <c r="GJ13" s="1412" t="n"/>
      <c r="GK13" s="1412" t="n"/>
      <c r="GL13" s="1412" t="n"/>
      <c r="GM13" s="1412" t="n"/>
      <c r="GN13" s="1412" t="n"/>
      <c r="GO13" s="1410" t="n"/>
    </row>
    <row r="14" ht="112.5" customFormat="1" customHeight="1" s="294">
      <c r="A14" s="1398" t="n">
        <v>1</v>
      </c>
      <c r="B14" s="1412" t="n"/>
      <c r="C14" s="1412" t="n"/>
      <c r="D14" s="1410" t="n"/>
      <c r="E14" s="1534" t="inlineStr">
        <is>
          <t>СЧ ОКР "Исследование, в том числе с использованием моделей аэродинамики и теплового режима решетчатых органов управления (аэродинамических рулей) в части расчетных исследований аэродинамики и теплового режима решетчатых органов управления в составе многоразовой первой ступени ракеты-носителя «Амур» на участках струйного и бесструйного торможения для различных режимов обтекания, расположения относительно плоскости угла атаки и с учетом интерференции с прилегающей поверхностью ступени"</t>
        </is>
      </c>
      <c r="F14" s="1412" t="n"/>
      <c r="G14" s="1412" t="n"/>
      <c r="H14" s="1412" t="n"/>
      <c r="I14" s="1412" t="n"/>
      <c r="J14" s="1412" t="n"/>
      <c r="K14" s="1412" t="n"/>
      <c r="L14" s="1412" t="n"/>
      <c r="M14" s="1412" t="n"/>
      <c r="N14" s="1412" t="n"/>
      <c r="O14" s="1412" t="n"/>
      <c r="P14" s="1412" t="n"/>
      <c r="Q14" s="1412" t="n"/>
      <c r="R14" s="1412" t="n"/>
      <c r="S14" s="1412" t="n"/>
      <c r="T14" s="1412" t="n"/>
      <c r="U14" s="1412" t="n"/>
      <c r="V14" s="1412" t="n"/>
      <c r="W14" s="1410" t="n"/>
      <c r="X14" s="1383" t="inlineStr">
        <is>
          <t>-</t>
        </is>
      </c>
      <c r="Y14" s="1412" t="n"/>
      <c r="Z14" s="1412" t="n"/>
      <c r="AA14" s="1412" t="n"/>
      <c r="AB14" s="1412" t="n"/>
      <c r="AC14" s="1412" t="n"/>
      <c r="AD14" s="1412" t="n"/>
      <c r="AE14" s="1412" t="n"/>
      <c r="AF14" s="1412" t="n"/>
      <c r="AG14" s="1412" t="n"/>
      <c r="AH14" s="1412" t="n"/>
      <c r="AI14" s="1412" t="n"/>
      <c r="AJ14" s="1412" t="n"/>
      <c r="AK14" s="1412" t="n"/>
      <c r="AL14" s="1410" t="n"/>
      <c r="AM14" s="1383" t="inlineStr">
        <is>
          <t>-</t>
        </is>
      </c>
      <c r="AN14" s="1412" t="n"/>
      <c r="AO14" s="1412" t="n"/>
      <c r="AP14" s="1412" t="n"/>
      <c r="AQ14" s="1412" t="n"/>
      <c r="AR14" s="1412" t="n"/>
      <c r="AS14" s="1412" t="n"/>
      <c r="AT14" s="1412" t="n"/>
      <c r="AU14" s="1410" t="n"/>
      <c r="AV14" s="1383" t="inlineStr">
        <is>
          <t>-</t>
        </is>
      </c>
      <c r="AW14" s="1412" t="n"/>
      <c r="AX14" s="1412" t="n"/>
      <c r="AY14" s="1412" t="n"/>
      <c r="AZ14" s="1412" t="n"/>
      <c r="BA14" s="1412" t="n"/>
      <c r="BB14" s="1412" t="n"/>
      <c r="BC14" s="1412" t="n"/>
      <c r="BD14" s="1410" t="n"/>
      <c r="BE14" s="1383" t="inlineStr">
        <is>
          <t>-</t>
        </is>
      </c>
      <c r="BF14" s="1412" t="n"/>
      <c r="BG14" s="1412" t="n"/>
      <c r="BH14" s="1412" t="n"/>
      <c r="BI14" s="1412" t="n"/>
      <c r="BJ14" s="1412" t="n"/>
      <c r="BK14" s="1412" t="n"/>
      <c r="BL14" s="1412" t="n"/>
      <c r="BM14" s="1410" t="n"/>
      <c r="BN14" s="1383" t="inlineStr">
        <is>
          <t>-</t>
        </is>
      </c>
      <c r="BO14" s="1412" t="n"/>
      <c r="BP14" s="1412" t="n"/>
      <c r="BQ14" s="1412" t="n"/>
      <c r="BR14" s="1412" t="n"/>
      <c r="BS14" s="1412" t="n"/>
      <c r="BT14" s="1412" t="n"/>
      <c r="BU14" s="1412" t="n"/>
      <c r="BV14" s="1412" t="n"/>
      <c r="BW14" s="1412" t="n"/>
      <c r="BX14" s="1412" t="n"/>
      <c r="BY14" s="1412" t="n"/>
      <c r="BZ14" s="1412" t="n"/>
      <c r="CA14" s="1412" t="n"/>
      <c r="CB14" s="1412" t="n"/>
      <c r="CC14" s="1410" t="n"/>
      <c r="CD14" s="1383" t="inlineStr">
        <is>
          <t>-</t>
        </is>
      </c>
      <c r="CE14" s="1412" t="n"/>
      <c r="CF14" s="1412" t="n"/>
      <c r="CG14" s="1412" t="n"/>
      <c r="CH14" s="1412" t="n"/>
      <c r="CI14" s="1412" t="n"/>
      <c r="CJ14" s="1412" t="n"/>
      <c r="CK14" s="1412" t="n"/>
      <c r="CL14" s="1412" t="n"/>
      <c r="CM14" s="1412" t="n"/>
      <c r="CN14" s="1412" t="n"/>
      <c r="CO14" s="1412" t="n"/>
      <c r="CP14" s="1412" t="n"/>
      <c r="CQ14" s="1412" t="n"/>
      <c r="CR14" s="1410" t="n"/>
      <c r="CS14" s="1383" t="inlineStr">
        <is>
          <t>-</t>
        </is>
      </c>
      <c r="CT14" s="1412" t="n"/>
      <c r="CU14" s="1412" t="n"/>
      <c r="CV14" s="1412" t="n"/>
      <c r="CW14" s="1412" t="n"/>
      <c r="CX14" s="1412" t="n"/>
      <c r="CY14" s="1412" t="n"/>
      <c r="CZ14" s="1412" t="n"/>
      <c r="DA14" s="1410" t="n"/>
      <c r="DB14" s="1383" t="inlineStr">
        <is>
          <t>-</t>
        </is>
      </c>
      <c r="DC14" s="1412" t="n"/>
      <c r="DD14" s="1412" t="n"/>
      <c r="DE14" s="1412" t="n"/>
      <c r="DF14" s="1412" t="n"/>
      <c r="DG14" s="1412" t="n"/>
      <c r="DH14" s="1412" t="n"/>
      <c r="DI14" s="1412" t="n"/>
      <c r="DJ14" s="1410" t="n"/>
      <c r="DK14" s="1383" t="inlineStr">
        <is>
          <t>-</t>
        </is>
      </c>
      <c r="DL14" s="1412" t="n"/>
      <c r="DM14" s="1412" t="n"/>
      <c r="DN14" s="1412" t="n"/>
      <c r="DO14" s="1412" t="n"/>
      <c r="DP14" s="1412" t="n"/>
      <c r="DQ14" s="1412" t="n"/>
      <c r="DR14" s="1412" t="n"/>
      <c r="DS14" s="1410" t="n"/>
      <c r="DT14" s="1383" t="inlineStr">
        <is>
          <t>-</t>
        </is>
      </c>
      <c r="DU14" s="1412" t="n"/>
      <c r="DV14" s="1412" t="n"/>
      <c r="DW14" s="1412" t="n"/>
      <c r="DX14" s="1412" t="n"/>
      <c r="DY14" s="1412" t="n"/>
      <c r="DZ14" s="1412" t="n"/>
      <c r="EA14" s="1412" t="n"/>
      <c r="EB14" s="1412" t="n"/>
      <c r="EC14" s="1412" t="n"/>
      <c r="ED14" s="1412" t="n"/>
      <c r="EE14" s="1412" t="n"/>
      <c r="EF14" s="1412" t="n"/>
      <c r="EG14" s="1412" t="n"/>
      <c r="EH14" s="1412" t="n"/>
      <c r="EI14" s="1410" t="n"/>
      <c r="EJ14" s="1517">
        <f>'9 (9д) ОЗП НИР(ОКР)'!F23</f>
        <v/>
      </c>
      <c r="EK14" s="1412" t="n"/>
      <c r="EL14" s="1412" t="n"/>
      <c r="EM14" s="1412" t="n"/>
      <c r="EN14" s="1412" t="n"/>
      <c r="EO14" s="1412" t="n"/>
      <c r="EP14" s="1412" t="n"/>
      <c r="EQ14" s="1412" t="n"/>
      <c r="ER14" s="1412" t="n"/>
      <c r="ES14" s="1412" t="n"/>
      <c r="ET14" s="1412" t="n"/>
      <c r="EU14" s="1412" t="n"/>
      <c r="EV14" s="1412" t="n"/>
      <c r="EW14" s="1412" t="n"/>
      <c r="EX14" s="1410" t="n"/>
      <c r="EY14" s="1517">
        <f>'9 (9д) ОЗП НИР(ОКР)'!G12</f>
        <v/>
      </c>
      <c r="EZ14" s="1412" t="n"/>
      <c r="FA14" s="1412" t="n"/>
      <c r="FB14" s="1412" t="n"/>
      <c r="FC14" s="1412" t="n"/>
      <c r="FD14" s="1412" t="n"/>
      <c r="FE14" s="1412" t="n"/>
      <c r="FF14" s="1412" t="n"/>
      <c r="FG14" s="1410" t="n"/>
      <c r="FH14" s="1517" t="n">
        <v>1</v>
      </c>
      <c r="FI14" s="1412" t="n"/>
      <c r="FJ14" s="1412" t="n"/>
      <c r="FK14" s="1412" t="n"/>
      <c r="FL14" s="1412" t="n"/>
      <c r="FM14" s="1412" t="n"/>
      <c r="FN14" s="1412" t="n"/>
      <c r="FO14" s="1412" t="n"/>
      <c r="FP14" s="1410" t="n"/>
      <c r="FQ14" s="1517">
        <f>EJ14</f>
        <v/>
      </c>
      <c r="FR14" s="1412" t="n"/>
      <c r="FS14" s="1412" t="n"/>
      <c r="FT14" s="1412" t="n"/>
      <c r="FU14" s="1412" t="n"/>
      <c r="FV14" s="1412" t="n"/>
      <c r="FW14" s="1412" t="n"/>
      <c r="FX14" s="1412" t="n"/>
      <c r="FY14" s="1410" t="n"/>
      <c r="FZ14" s="1517">
        <f>'9 (9д) ОЗП НИР(ОКР)'!H12</f>
        <v/>
      </c>
      <c r="GA14" s="1412" t="n"/>
      <c r="GB14" s="1412" t="n"/>
      <c r="GC14" s="1412" t="n"/>
      <c r="GD14" s="1412" t="n"/>
      <c r="GE14" s="1412" t="n"/>
      <c r="GF14" s="1412" t="n"/>
      <c r="GG14" s="1412" t="n"/>
      <c r="GH14" s="1412" t="n"/>
      <c r="GI14" s="1412" t="n"/>
      <c r="GJ14" s="1412" t="n"/>
      <c r="GK14" s="1412" t="n"/>
      <c r="GL14" s="1412" t="n"/>
      <c r="GM14" s="1412" t="n"/>
      <c r="GN14" s="1412" t="n"/>
      <c r="GO14" s="1410" t="n"/>
    </row>
    <row r="15" ht="12.75" customFormat="1" customHeight="1" s="294">
      <c r="A15" s="1535" t="inlineStr">
        <is>
          <t>ИТОГО по ГОЗ</t>
        </is>
      </c>
      <c r="B15" s="1409" t="n"/>
      <c r="C15" s="1409" t="n"/>
      <c r="D15" s="1409" t="n"/>
      <c r="E15" s="1409" t="n"/>
      <c r="F15" s="1409" t="n"/>
      <c r="G15" s="1409" t="n"/>
      <c r="H15" s="1409" t="n"/>
      <c r="I15" s="1409" t="n"/>
      <c r="J15" s="1409" t="n"/>
      <c r="K15" s="1409" t="n"/>
      <c r="L15" s="1409" t="n"/>
      <c r="M15" s="1409" t="n"/>
      <c r="N15" s="1409" t="n"/>
      <c r="O15" s="1409" t="n"/>
      <c r="P15" s="1409" t="n"/>
      <c r="Q15" s="1409" t="n"/>
      <c r="R15" s="1409" t="n"/>
      <c r="S15" s="1409" t="n"/>
      <c r="T15" s="1409" t="n"/>
      <c r="U15" s="1409" t="n"/>
      <c r="V15" s="1409" t="n"/>
      <c r="W15" s="1421" t="n"/>
      <c r="X15" s="1383" t="inlineStr">
        <is>
          <t>-</t>
        </is>
      </c>
      <c r="Y15" s="1412" t="n"/>
      <c r="Z15" s="1412" t="n"/>
      <c r="AA15" s="1412" t="n"/>
      <c r="AB15" s="1412" t="n"/>
      <c r="AC15" s="1412" t="n"/>
      <c r="AD15" s="1412" t="n"/>
      <c r="AE15" s="1412" t="n"/>
      <c r="AF15" s="1412" t="n"/>
      <c r="AG15" s="1412" t="n"/>
      <c r="AH15" s="1412" t="n"/>
      <c r="AI15" s="1412" t="n"/>
      <c r="AJ15" s="1412" t="n"/>
      <c r="AK15" s="1412" t="n"/>
      <c r="AL15" s="1410" t="n"/>
      <c r="AM15" s="1383" t="inlineStr">
        <is>
          <t>-</t>
        </is>
      </c>
      <c r="AN15" s="1412" t="n"/>
      <c r="AO15" s="1412" t="n"/>
      <c r="AP15" s="1412" t="n"/>
      <c r="AQ15" s="1412" t="n"/>
      <c r="AR15" s="1412" t="n"/>
      <c r="AS15" s="1412" t="n"/>
      <c r="AT15" s="1412" t="n"/>
      <c r="AU15" s="1410" t="n"/>
      <c r="AV15" s="1383" t="inlineStr">
        <is>
          <t>-</t>
        </is>
      </c>
      <c r="AW15" s="1412" t="n"/>
      <c r="AX15" s="1412" t="n"/>
      <c r="AY15" s="1412" t="n"/>
      <c r="AZ15" s="1412" t="n"/>
      <c r="BA15" s="1412" t="n"/>
      <c r="BB15" s="1412" t="n"/>
      <c r="BC15" s="1412" t="n"/>
      <c r="BD15" s="1410" t="n"/>
      <c r="BE15" s="1383" t="inlineStr">
        <is>
          <t>-</t>
        </is>
      </c>
      <c r="BF15" s="1412" t="n"/>
      <c r="BG15" s="1412" t="n"/>
      <c r="BH15" s="1412" t="n"/>
      <c r="BI15" s="1412" t="n"/>
      <c r="BJ15" s="1412" t="n"/>
      <c r="BK15" s="1412" t="n"/>
      <c r="BL15" s="1412" t="n"/>
      <c r="BM15" s="1410" t="n"/>
      <c r="BN15" s="1383" t="inlineStr">
        <is>
          <t>-</t>
        </is>
      </c>
      <c r="BO15" s="1412" t="n"/>
      <c r="BP15" s="1412" t="n"/>
      <c r="BQ15" s="1412" t="n"/>
      <c r="BR15" s="1412" t="n"/>
      <c r="BS15" s="1412" t="n"/>
      <c r="BT15" s="1412" t="n"/>
      <c r="BU15" s="1412" t="n"/>
      <c r="BV15" s="1412" t="n"/>
      <c r="BW15" s="1412" t="n"/>
      <c r="BX15" s="1412" t="n"/>
      <c r="BY15" s="1412" t="n"/>
      <c r="BZ15" s="1412" t="n"/>
      <c r="CA15" s="1412" t="n"/>
      <c r="CB15" s="1412" t="n"/>
      <c r="CC15" s="1410" t="n"/>
      <c r="CD15" s="1383" t="inlineStr">
        <is>
          <t>-</t>
        </is>
      </c>
      <c r="CE15" s="1412" t="n"/>
      <c r="CF15" s="1412" t="n"/>
      <c r="CG15" s="1412" t="n"/>
      <c r="CH15" s="1412" t="n"/>
      <c r="CI15" s="1412" t="n"/>
      <c r="CJ15" s="1412" t="n"/>
      <c r="CK15" s="1412" t="n"/>
      <c r="CL15" s="1412" t="n"/>
      <c r="CM15" s="1412" t="n"/>
      <c r="CN15" s="1412" t="n"/>
      <c r="CO15" s="1412" t="n"/>
      <c r="CP15" s="1412" t="n"/>
      <c r="CQ15" s="1412" t="n"/>
      <c r="CR15" s="1410" t="n"/>
      <c r="CS15" s="1383" t="inlineStr">
        <is>
          <t>-</t>
        </is>
      </c>
      <c r="CT15" s="1412" t="n"/>
      <c r="CU15" s="1412" t="n"/>
      <c r="CV15" s="1412" t="n"/>
      <c r="CW15" s="1412" t="n"/>
      <c r="CX15" s="1412" t="n"/>
      <c r="CY15" s="1412" t="n"/>
      <c r="CZ15" s="1412" t="n"/>
      <c r="DA15" s="1410" t="n"/>
      <c r="DB15" s="1383" t="inlineStr">
        <is>
          <t>-</t>
        </is>
      </c>
      <c r="DC15" s="1412" t="n"/>
      <c r="DD15" s="1412" t="n"/>
      <c r="DE15" s="1412" t="n"/>
      <c r="DF15" s="1412" t="n"/>
      <c r="DG15" s="1412" t="n"/>
      <c r="DH15" s="1412" t="n"/>
      <c r="DI15" s="1412" t="n"/>
      <c r="DJ15" s="1410" t="n"/>
      <c r="DK15" s="1383" t="inlineStr">
        <is>
          <t>-</t>
        </is>
      </c>
      <c r="DL15" s="1412" t="n"/>
      <c r="DM15" s="1412" t="n"/>
      <c r="DN15" s="1412" t="n"/>
      <c r="DO15" s="1412" t="n"/>
      <c r="DP15" s="1412" t="n"/>
      <c r="DQ15" s="1412" t="n"/>
      <c r="DR15" s="1412" t="n"/>
      <c r="DS15" s="1410" t="n"/>
      <c r="DT15" s="1383" t="inlineStr">
        <is>
          <t>-</t>
        </is>
      </c>
      <c r="DU15" s="1412" t="n"/>
      <c r="DV15" s="1412" t="n"/>
      <c r="DW15" s="1412" t="n"/>
      <c r="DX15" s="1412" t="n"/>
      <c r="DY15" s="1412" t="n"/>
      <c r="DZ15" s="1412" t="n"/>
      <c r="EA15" s="1412" t="n"/>
      <c r="EB15" s="1412" t="n"/>
      <c r="EC15" s="1412" t="n"/>
      <c r="ED15" s="1412" t="n"/>
      <c r="EE15" s="1412" t="n"/>
      <c r="EF15" s="1412" t="n"/>
      <c r="EG15" s="1412" t="n"/>
      <c r="EH15" s="1412" t="n"/>
      <c r="EI15" s="1410" t="n"/>
      <c r="EJ15" s="1536">
        <f>EJ14</f>
        <v/>
      </c>
      <c r="EK15" s="1412" t="n"/>
      <c r="EL15" s="1412" t="n"/>
      <c r="EM15" s="1412" t="n"/>
      <c r="EN15" s="1412" t="n"/>
      <c r="EO15" s="1412" t="n"/>
      <c r="EP15" s="1412" t="n"/>
      <c r="EQ15" s="1412" t="n"/>
      <c r="ER15" s="1412" t="n"/>
      <c r="ES15" s="1412" t="n"/>
      <c r="ET15" s="1412" t="n"/>
      <c r="EU15" s="1412" t="n"/>
      <c r="EV15" s="1412" t="n"/>
      <c r="EW15" s="1412" t="n"/>
      <c r="EX15" s="1410" t="n"/>
      <c r="EY15" s="1536">
        <f>EY14</f>
        <v/>
      </c>
      <c r="EZ15" s="1412" t="n"/>
      <c r="FA15" s="1412" t="n"/>
      <c r="FB15" s="1412" t="n"/>
      <c r="FC15" s="1412" t="n"/>
      <c r="FD15" s="1412" t="n"/>
      <c r="FE15" s="1412" t="n"/>
      <c r="FF15" s="1412" t="n"/>
      <c r="FG15" s="1410" t="n"/>
      <c r="FH15" s="1536">
        <f>FH14</f>
        <v/>
      </c>
      <c r="FI15" s="1412" t="n"/>
      <c r="FJ15" s="1412" t="n"/>
      <c r="FK15" s="1412" t="n"/>
      <c r="FL15" s="1412" t="n"/>
      <c r="FM15" s="1412" t="n"/>
      <c r="FN15" s="1412" t="n"/>
      <c r="FO15" s="1412" t="n"/>
      <c r="FP15" s="1410" t="n"/>
      <c r="FQ15" s="1536">
        <f>FQ14</f>
        <v/>
      </c>
      <c r="FR15" s="1412" t="n"/>
      <c r="FS15" s="1412" t="n"/>
      <c r="FT15" s="1412" t="n"/>
      <c r="FU15" s="1412" t="n"/>
      <c r="FV15" s="1412" t="n"/>
      <c r="FW15" s="1412" t="n"/>
      <c r="FX15" s="1412" t="n"/>
      <c r="FY15" s="1410" t="n"/>
      <c r="FZ15" s="1536">
        <f>FZ14</f>
        <v/>
      </c>
      <c r="GA15" s="1412" t="n"/>
      <c r="GB15" s="1412" t="n"/>
      <c r="GC15" s="1412" t="n"/>
      <c r="GD15" s="1412" t="n"/>
      <c r="GE15" s="1412" t="n"/>
      <c r="GF15" s="1412" t="n"/>
      <c r="GG15" s="1412" t="n"/>
      <c r="GH15" s="1412" t="n"/>
      <c r="GI15" s="1412" t="n"/>
      <c r="GJ15" s="1412" t="n"/>
      <c r="GK15" s="1412" t="n"/>
      <c r="GL15" s="1412" t="n"/>
      <c r="GM15" s="1412" t="n"/>
      <c r="GN15" s="1412" t="n"/>
      <c r="GO15" s="1410" t="n"/>
    </row>
    <row r="16" ht="12.75" customFormat="1" customHeight="1" s="294">
      <c r="A16" s="1537" t="n">
        <v>1</v>
      </c>
      <c r="B16" s="1412" t="n"/>
      <c r="C16" s="1412" t="n"/>
      <c r="D16" s="1410" t="n"/>
      <c r="E16" s="1526" t="inlineStr">
        <is>
          <t>-</t>
        </is>
      </c>
      <c r="F16" s="1412" t="n"/>
      <c r="G16" s="1412" t="n"/>
      <c r="H16" s="1412" t="n"/>
      <c r="I16" s="1412" t="n"/>
      <c r="J16" s="1412" t="n"/>
      <c r="K16" s="1412" t="n"/>
      <c r="L16" s="1412" t="n"/>
      <c r="M16" s="1412" t="n"/>
      <c r="N16" s="1412" t="n"/>
      <c r="O16" s="1412" t="n"/>
      <c r="P16" s="1412" t="n"/>
      <c r="Q16" s="1412" t="n"/>
      <c r="R16" s="1412" t="n"/>
      <c r="S16" s="1412" t="n"/>
      <c r="T16" s="1412" t="n"/>
      <c r="U16" s="1412" t="n"/>
      <c r="V16" s="1412" t="n"/>
      <c r="W16" s="1410" t="n"/>
      <c r="X16" s="1383" t="inlineStr">
        <is>
          <t>-</t>
        </is>
      </c>
      <c r="Y16" s="1412" t="n"/>
      <c r="Z16" s="1412" t="n"/>
      <c r="AA16" s="1412" t="n"/>
      <c r="AB16" s="1412" t="n"/>
      <c r="AC16" s="1412" t="n"/>
      <c r="AD16" s="1412" t="n"/>
      <c r="AE16" s="1412" t="n"/>
      <c r="AF16" s="1412" t="n"/>
      <c r="AG16" s="1412" t="n"/>
      <c r="AH16" s="1412" t="n"/>
      <c r="AI16" s="1412" t="n"/>
      <c r="AJ16" s="1412" t="n"/>
      <c r="AK16" s="1412" t="n"/>
      <c r="AL16" s="1410" t="n"/>
      <c r="AM16" s="1383" t="inlineStr">
        <is>
          <t>-</t>
        </is>
      </c>
      <c r="AN16" s="1412" t="n"/>
      <c r="AO16" s="1412" t="n"/>
      <c r="AP16" s="1412" t="n"/>
      <c r="AQ16" s="1412" t="n"/>
      <c r="AR16" s="1412" t="n"/>
      <c r="AS16" s="1412" t="n"/>
      <c r="AT16" s="1412" t="n"/>
      <c r="AU16" s="1410" t="n"/>
      <c r="AV16" s="1383" t="inlineStr">
        <is>
          <t>-</t>
        </is>
      </c>
      <c r="AW16" s="1412" t="n"/>
      <c r="AX16" s="1412" t="n"/>
      <c r="AY16" s="1412" t="n"/>
      <c r="AZ16" s="1412" t="n"/>
      <c r="BA16" s="1412" t="n"/>
      <c r="BB16" s="1412" t="n"/>
      <c r="BC16" s="1412" t="n"/>
      <c r="BD16" s="1410" t="n"/>
      <c r="BE16" s="1383" t="inlineStr">
        <is>
          <t>-</t>
        </is>
      </c>
      <c r="BF16" s="1412" t="n"/>
      <c r="BG16" s="1412" t="n"/>
      <c r="BH16" s="1412" t="n"/>
      <c r="BI16" s="1412" t="n"/>
      <c r="BJ16" s="1412" t="n"/>
      <c r="BK16" s="1412" t="n"/>
      <c r="BL16" s="1412" t="n"/>
      <c r="BM16" s="1410" t="n"/>
      <c r="BN16" s="1383" t="inlineStr">
        <is>
          <t>-</t>
        </is>
      </c>
      <c r="BO16" s="1412" t="n"/>
      <c r="BP16" s="1412" t="n"/>
      <c r="BQ16" s="1412" t="n"/>
      <c r="BR16" s="1412" t="n"/>
      <c r="BS16" s="1412" t="n"/>
      <c r="BT16" s="1412" t="n"/>
      <c r="BU16" s="1412" t="n"/>
      <c r="BV16" s="1412" t="n"/>
      <c r="BW16" s="1412" t="n"/>
      <c r="BX16" s="1412" t="n"/>
      <c r="BY16" s="1412" t="n"/>
      <c r="BZ16" s="1412" t="n"/>
      <c r="CA16" s="1412" t="n"/>
      <c r="CB16" s="1412" t="n"/>
      <c r="CC16" s="1410" t="n"/>
      <c r="CD16" s="1383" t="inlineStr">
        <is>
          <t>-</t>
        </is>
      </c>
      <c r="CE16" s="1412" t="n"/>
      <c r="CF16" s="1412" t="n"/>
      <c r="CG16" s="1412" t="n"/>
      <c r="CH16" s="1412" t="n"/>
      <c r="CI16" s="1412" t="n"/>
      <c r="CJ16" s="1412" t="n"/>
      <c r="CK16" s="1412" t="n"/>
      <c r="CL16" s="1412" t="n"/>
      <c r="CM16" s="1412" t="n"/>
      <c r="CN16" s="1412" t="n"/>
      <c r="CO16" s="1412" t="n"/>
      <c r="CP16" s="1412" t="n"/>
      <c r="CQ16" s="1412" t="n"/>
      <c r="CR16" s="1410" t="n"/>
      <c r="CS16" s="1383" t="inlineStr">
        <is>
          <t>-</t>
        </is>
      </c>
      <c r="CT16" s="1412" t="n"/>
      <c r="CU16" s="1412" t="n"/>
      <c r="CV16" s="1412" t="n"/>
      <c r="CW16" s="1412" t="n"/>
      <c r="CX16" s="1412" t="n"/>
      <c r="CY16" s="1412" t="n"/>
      <c r="CZ16" s="1412" t="n"/>
      <c r="DA16" s="1410" t="n"/>
      <c r="DB16" s="1383" t="inlineStr">
        <is>
          <t>-</t>
        </is>
      </c>
      <c r="DC16" s="1412" t="n"/>
      <c r="DD16" s="1412" t="n"/>
      <c r="DE16" s="1412" t="n"/>
      <c r="DF16" s="1412" t="n"/>
      <c r="DG16" s="1412" t="n"/>
      <c r="DH16" s="1412" t="n"/>
      <c r="DI16" s="1412" t="n"/>
      <c r="DJ16" s="1410" t="n"/>
      <c r="DK16" s="1383" t="inlineStr">
        <is>
          <t>-</t>
        </is>
      </c>
      <c r="DL16" s="1412" t="n"/>
      <c r="DM16" s="1412" t="n"/>
      <c r="DN16" s="1412" t="n"/>
      <c r="DO16" s="1412" t="n"/>
      <c r="DP16" s="1412" t="n"/>
      <c r="DQ16" s="1412" t="n"/>
      <c r="DR16" s="1412" t="n"/>
      <c r="DS16" s="1410" t="n"/>
      <c r="DT16" s="1383" t="inlineStr">
        <is>
          <t>-</t>
        </is>
      </c>
      <c r="DU16" s="1412" t="n"/>
      <c r="DV16" s="1412" t="n"/>
      <c r="DW16" s="1412" t="n"/>
      <c r="DX16" s="1412" t="n"/>
      <c r="DY16" s="1412" t="n"/>
      <c r="DZ16" s="1412" t="n"/>
      <c r="EA16" s="1412" t="n"/>
      <c r="EB16" s="1412" t="n"/>
      <c r="EC16" s="1412" t="n"/>
      <c r="ED16" s="1412" t="n"/>
      <c r="EE16" s="1412" t="n"/>
      <c r="EF16" s="1412" t="n"/>
      <c r="EG16" s="1412" t="n"/>
      <c r="EH16" s="1412" t="n"/>
      <c r="EI16" s="1410" t="n"/>
      <c r="EJ16" s="1517" t="inlineStr">
        <is>
          <t>-</t>
        </is>
      </c>
      <c r="EK16" s="1412" t="n"/>
      <c r="EL16" s="1412" t="n"/>
      <c r="EM16" s="1412" t="n"/>
      <c r="EN16" s="1412" t="n"/>
      <c r="EO16" s="1412" t="n"/>
      <c r="EP16" s="1412" t="n"/>
      <c r="EQ16" s="1412" t="n"/>
      <c r="ER16" s="1412" t="n"/>
      <c r="ES16" s="1412" t="n"/>
      <c r="ET16" s="1412" t="n"/>
      <c r="EU16" s="1412" t="n"/>
      <c r="EV16" s="1412" t="n"/>
      <c r="EW16" s="1412" t="n"/>
      <c r="EX16" s="1410" t="n"/>
      <c r="EY16" s="1517" t="inlineStr">
        <is>
          <t>-</t>
        </is>
      </c>
      <c r="EZ16" s="1412" t="n"/>
      <c r="FA16" s="1412" t="n"/>
      <c r="FB16" s="1412" t="n"/>
      <c r="FC16" s="1412" t="n"/>
      <c r="FD16" s="1412" t="n"/>
      <c r="FE16" s="1412" t="n"/>
      <c r="FF16" s="1412" t="n"/>
      <c r="FG16" s="1410" t="n"/>
      <c r="FH16" s="1517" t="inlineStr">
        <is>
          <t>-</t>
        </is>
      </c>
      <c r="FI16" s="1412" t="n"/>
      <c r="FJ16" s="1412" t="n"/>
      <c r="FK16" s="1412" t="n"/>
      <c r="FL16" s="1412" t="n"/>
      <c r="FM16" s="1412" t="n"/>
      <c r="FN16" s="1412" t="n"/>
      <c r="FO16" s="1412" t="n"/>
      <c r="FP16" s="1410" t="n"/>
      <c r="FQ16" s="1517" t="inlineStr">
        <is>
          <t>-</t>
        </is>
      </c>
      <c r="FR16" s="1412" t="n"/>
      <c r="FS16" s="1412" t="n"/>
      <c r="FT16" s="1412" t="n"/>
      <c r="FU16" s="1412" t="n"/>
      <c r="FV16" s="1412" t="n"/>
      <c r="FW16" s="1412" t="n"/>
      <c r="FX16" s="1412" t="n"/>
      <c r="FY16" s="1410" t="n"/>
      <c r="FZ16" s="1517" t="inlineStr">
        <is>
          <t>-</t>
        </is>
      </c>
      <c r="GA16" s="1412" t="n"/>
      <c r="GB16" s="1412" t="n"/>
      <c r="GC16" s="1412" t="n"/>
      <c r="GD16" s="1412" t="n"/>
      <c r="GE16" s="1412" t="n"/>
      <c r="GF16" s="1412" t="n"/>
      <c r="GG16" s="1412" t="n"/>
      <c r="GH16" s="1412" t="n"/>
      <c r="GI16" s="1412" t="n"/>
      <c r="GJ16" s="1412" t="n"/>
      <c r="GK16" s="1412" t="n"/>
      <c r="GL16" s="1412" t="n"/>
      <c r="GM16" s="1412" t="n"/>
      <c r="GN16" s="1412" t="n"/>
      <c r="GO16" s="1410" t="n"/>
    </row>
    <row r="17" ht="24.75" customFormat="1" customHeight="1" s="294">
      <c r="A17" s="1538" t="inlineStr">
        <is>
          <t>ИТОГО прочая 
продукция</t>
        </is>
      </c>
      <c r="B17" s="1412" t="n"/>
      <c r="C17" s="1412" t="n"/>
      <c r="D17" s="1412" t="n"/>
      <c r="E17" s="1412" t="n"/>
      <c r="F17" s="1412" t="n"/>
      <c r="G17" s="1412" t="n"/>
      <c r="H17" s="1412" t="n"/>
      <c r="I17" s="1412" t="n"/>
      <c r="J17" s="1412" t="n"/>
      <c r="K17" s="1412" t="n"/>
      <c r="L17" s="1412" t="n"/>
      <c r="M17" s="1412" t="n"/>
      <c r="N17" s="1412" t="n"/>
      <c r="O17" s="1412" t="n"/>
      <c r="P17" s="1412" t="n"/>
      <c r="Q17" s="1412" t="n"/>
      <c r="R17" s="1412" t="n"/>
      <c r="S17" s="1412" t="n"/>
      <c r="T17" s="1412" t="n"/>
      <c r="U17" s="1412" t="n"/>
      <c r="V17" s="1412" t="n"/>
      <c r="W17" s="1410" t="n"/>
      <c r="X17" s="1383" t="inlineStr">
        <is>
          <t>-</t>
        </is>
      </c>
      <c r="Y17" s="1412" t="n"/>
      <c r="Z17" s="1412" t="n"/>
      <c r="AA17" s="1412" t="n"/>
      <c r="AB17" s="1412" t="n"/>
      <c r="AC17" s="1412" t="n"/>
      <c r="AD17" s="1412" t="n"/>
      <c r="AE17" s="1412" t="n"/>
      <c r="AF17" s="1412" t="n"/>
      <c r="AG17" s="1412" t="n"/>
      <c r="AH17" s="1412" t="n"/>
      <c r="AI17" s="1412" t="n"/>
      <c r="AJ17" s="1412" t="n"/>
      <c r="AK17" s="1412" t="n"/>
      <c r="AL17" s="1410" t="n"/>
      <c r="AM17" s="1383" t="inlineStr">
        <is>
          <t>-</t>
        </is>
      </c>
      <c r="AN17" s="1412" t="n"/>
      <c r="AO17" s="1412" t="n"/>
      <c r="AP17" s="1412" t="n"/>
      <c r="AQ17" s="1412" t="n"/>
      <c r="AR17" s="1412" t="n"/>
      <c r="AS17" s="1412" t="n"/>
      <c r="AT17" s="1412" t="n"/>
      <c r="AU17" s="1410" t="n"/>
      <c r="AV17" s="1383" t="inlineStr">
        <is>
          <t>-</t>
        </is>
      </c>
      <c r="AW17" s="1412" t="n"/>
      <c r="AX17" s="1412" t="n"/>
      <c r="AY17" s="1412" t="n"/>
      <c r="AZ17" s="1412" t="n"/>
      <c r="BA17" s="1412" t="n"/>
      <c r="BB17" s="1412" t="n"/>
      <c r="BC17" s="1412" t="n"/>
      <c r="BD17" s="1410" t="n"/>
      <c r="BE17" s="1383" t="inlineStr">
        <is>
          <t>-</t>
        </is>
      </c>
      <c r="BF17" s="1412" t="n"/>
      <c r="BG17" s="1412" t="n"/>
      <c r="BH17" s="1412" t="n"/>
      <c r="BI17" s="1412" t="n"/>
      <c r="BJ17" s="1412" t="n"/>
      <c r="BK17" s="1412" t="n"/>
      <c r="BL17" s="1412" t="n"/>
      <c r="BM17" s="1410" t="n"/>
      <c r="BN17" s="1383" t="inlineStr">
        <is>
          <t>-</t>
        </is>
      </c>
      <c r="BO17" s="1412" t="n"/>
      <c r="BP17" s="1412" t="n"/>
      <c r="BQ17" s="1412" t="n"/>
      <c r="BR17" s="1412" t="n"/>
      <c r="BS17" s="1412" t="n"/>
      <c r="BT17" s="1412" t="n"/>
      <c r="BU17" s="1412" t="n"/>
      <c r="BV17" s="1412" t="n"/>
      <c r="BW17" s="1412" t="n"/>
      <c r="BX17" s="1412" t="n"/>
      <c r="BY17" s="1412" t="n"/>
      <c r="BZ17" s="1412" t="n"/>
      <c r="CA17" s="1412" t="n"/>
      <c r="CB17" s="1412" t="n"/>
      <c r="CC17" s="1410" t="n"/>
      <c r="CD17" s="1383" t="inlineStr">
        <is>
          <t>-</t>
        </is>
      </c>
      <c r="CE17" s="1412" t="n"/>
      <c r="CF17" s="1412" t="n"/>
      <c r="CG17" s="1412" t="n"/>
      <c r="CH17" s="1412" t="n"/>
      <c r="CI17" s="1412" t="n"/>
      <c r="CJ17" s="1412" t="n"/>
      <c r="CK17" s="1412" t="n"/>
      <c r="CL17" s="1412" t="n"/>
      <c r="CM17" s="1412" t="n"/>
      <c r="CN17" s="1412" t="n"/>
      <c r="CO17" s="1412" t="n"/>
      <c r="CP17" s="1412" t="n"/>
      <c r="CQ17" s="1412" t="n"/>
      <c r="CR17" s="1410" t="n"/>
      <c r="CS17" s="1383" t="inlineStr">
        <is>
          <t>-</t>
        </is>
      </c>
      <c r="CT17" s="1412" t="n"/>
      <c r="CU17" s="1412" t="n"/>
      <c r="CV17" s="1412" t="n"/>
      <c r="CW17" s="1412" t="n"/>
      <c r="CX17" s="1412" t="n"/>
      <c r="CY17" s="1412" t="n"/>
      <c r="CZ17" s="1412" t="n"/>
      <c r="DA17" s="1410" t="n"/>
      <c r="DB17" s="1383" t="inlineStr">
        <is>
          <t>-</t>
        </is>
      </c>
      <c r="DC17" s="1412" t="n"/>
      <c r="DD17" s="1412" t="n"/>
      <c r="DE17" s="1412" t="n"/>
      <c r="DF17" s="1412" t="n"/>
      <c r="DG17" s="1412" t="n"/>
      <c r="DH17" s="1412" t="n"/>
      <c r="DI17" s="1412" t="n"/>
      <c r="DJ17" s="1410" t="n"/>
      <c r="DK17" s="1383" t="inlineStr">
        <is>
          <t>-</t>
        </is>
      </c>
      <c r="DL17" s="1412" t="n"/>
      <c r="DM17" s="1412" t="n"/>
      <c r="DN17" s="1412" t="n"/>
      <c r="DO17" s="1412" t="n"/>
      <c r="DP17" s="1412" t="n"/>
      <c r="DQ17" s="1412" t="n"/>
      <c r="DR17" s="1412" t="n"/>
      <c r="DS17" s="1410" t="n"/>
      <c r="DT17" s="1402" t="inlineStr">
        <is>
          <t>-</t>
        </is>
      </c>
      <c r="DU17" s="1412" t="n"/>
      <c r="DV17" s="1412" t="n"/>
      <c r="DW17" s="1412" t="n"/>
      <c r="DX17" s="1412" t="n"/>
      <c r="DY17" s="1412" t="n"/>
      <c r="DZ17" s="1412" t="n"/>
      <c r="EA17" s="1412" t="n"/>
      <c r="EB17" s="1412" t="n"/>
      <c r="EC17" s="1412" t="n"/>
      <c r="ED17" s="1412" t="n"/>
      <c r="EE17" s="1412" t="n"/>
      <c r="EF17" s="1412" t="n"/>
      <c r="EG17" s="1412" t="n"/>
      <c r="EH17" s="1412" t="n"/>
      <c r="EI17" s="1410" t="n"/>
      <c r="EJ17" s="1517" t="inlineStr">
        <is>
          <t>-</t>
        </is>
      </c>
      <c r="EK17" s="1412" t="n"/>
      <c r="EL17" s="1412" t="n"/>
      <c r="EM17" s="1412" t="n"/>
      <c r="EN17" s="1412" t="n"/>
      <c r="EO17" s="1412" t="n"/>
      <c r="EP17" s="1412" t="n"/>
      <c r="EQ17" s="1412" t="n"/>
      <c r="ER17" s="1412" t="n"/>
      <c r="ES17" s="1412" t="n"/>
      <c r="ET17" s="1412" t="n"/>
      <c r="EU17" s="1412" t="n"/>
      <c r="EV17" s="1412" t="n"/>
      <c r="EW17" s="1412" t="n"/>
      <c r="EX17" s="1410" t="n"/>
      <c r="EY17" s="1517" t="inlineStr">
        <is>
          <t>-</t>
        </is>
      </c>
      <c r="EZ17" s="1412" t="n"/>
      <c r="FA17" s="1412" t="n"/>
      <c r="FB17" s="1412" t="n"/>
      <c r="FC17" s="1412" t="n"/>
      <c r="FD17" s="1412" t="n"/>
      <c r="FE17" s="1412" t="n"/>
      <c r="FF17" s="1412" t="n"/>
      <c r="FG17" s="1410" t="n"/>
      <c r="FH17" s="1517" t="inlineStr">
        <is>
          <t>-</t>
        </is>
      </c>
      <c r="FI17" s="1412" t="n"/>
      <c r="FJ17" s="1412" t="n"/>
      <c r="FK17" s="1412" t="n"/>
      <c r="FL17" s="1412" t="n"/>
      <c r="FM17" s="1412" t="n"/>
      <c r="FN17" s="1412" t="n"/>
      <c r="FO17" s="1412" t="n"/>
      <c r="FP17" s="1410" t="n"/>
      <c r="FQ17" s="1517" t="inlineStr">
        <is>
          <t>-</t>
        </is>
      </c>
      <c r="FR17" s="1412" t="n"/>
      <c r="FS17" s="1412" t="n"/>
      <c r="FT17" s="1412" t="n"/>
      <c r="FU17" s="1412" t="n"/>
      <c r="FV17" s="1412" t="n"/>
      <c r="FW17" s="1412" t="n"/>
      <c r="FX17" s="1412" t="n"/>
      <c r="FY17" s="1410" t="n"/>
      <c r="FZ17" s="1517" t="inlineStr">
        <is>
          <t>-</t>
        </is>
      </c>
      <c r="GA17" s="1412" t="n"/>
      <c r="GB17" s="1412" t="n"/>
      <c r="GC17" s="1412" t="n"/>
      <c r="GD17" s="1412" t="n"/>
      <c r="GE17" s="1412" t="n"/>
      <c r="GF17" s="1412" t="n"/>
      <c r="GG17" s="1412" t="n"/>
      <c r="GH17" s="1412" t="n"/>
      <c r="GI17" s="1412" t="n"/>
      <c r="GJ17" s="1412" t="n"/>
      <c r="GK17" s="1412" t="n"/>
      <c r="GL17" s="1412" t="n"/>
      <c r="GM17" s="1412" t="n"/>
      <c r="GN17" s="1412" t="n"/>
      <c r="GO17" s="1410" t="n"/>
    </row>
    <row r="18" ht="12.75" customFormat="1" customHeight="1" s="294">
      <c r="A18" s="1398" t="inlineStr">
        <is>
          <t>ВСЕГО</t>
        </is>
      </c>
      <c r="B18" s="1412" t="n"/>
      <c r="C18" s="1412" t="n"/>
      <c r="D18" s="1412" t="n"/>
      <c r="E18" s="1412" t="n"/>
      <c r="F18" s="1412" t="n"/>
      <c r="G18" s="1412" t="n"/>
      <c r="H18" s="1412" t="n"/>
      <c r="I18" s="1412" t="n"/>
      <c r="J18" s="1412" t="n"/>
      <c r="K18" s="1412" t="n"/>
      <c r="L18" s="1412" t="n"/>
      <c r="M18" s="1412" t="n"/>
      <c r="N18" s="1412" t="n"/>
      <c r="O18" s="1412" t="n"/>
      <c r="P18" s="1412" t="n"/>
      <c r="Q18" s="1412" t="n"/>
      <c r="R18" s="1412" t="n"/>
      <c r="S18" s="1412" t="n"/>
      <c r="T18" s="1412" t="n"/>
      <c r="U18" s="1412" t="n"/>
      <c r="V18" s="1412" t="n"/>
      <c r="W18" s="1410" t="n"/>
      <c r="X18" s="1383" t="inlineStr">
        <is>
          <t>-</t>
        </is>
      </c>
      <c r="Y18" s="1412" t="n"/>
      <c r="Z18" s="1412" t="n"/>
      <c r="AA18" s="1412" t="n"/>
      <c r="AB18" s="1412" t="n"/>
      <c r="AC18" s="1412" t="n"/>
      <c r="AD18" s="1412" t="n"/>
      <c r="AE18" s="1412" t="n"/>
      <c r="AF18" s="1412" t="n"/>
      <c r="AG18" s="1412" t="n"/>
      <c r="AH18" s="1412" t="n"/>
      <c r="AI18" s="1412" t="n"/>
      <c r="AJ18" s="1412" t="n"/>
      <c r="AK18" s="1412" t="n"/>
      <c r="AL18" s="1410" t="n"/>
      <c r="AM18" s="1383" t="inlineStr">
        <is>
          <t>-</t>
        </is>
      </c>
      <c r="AN18" s="1412" t="n"/>
      <c r="AO18" s="1412" t="n"/>
      <c r="AP18" s="1412" t="n"/>
      <c r="AQ18" s="1412" t="n"/>
      <c r="AR18" s="1412" t="n"/>
      <c r="AS18" s="1412" t="n"/>
      <c r="AT18" s="1412" t="n"/>
      <c r="AU18" s="1410" t="n"/>
      <c r="AV18" s="1383" t="inlineStr">
        <is>
          <t>-</t>
        </is>
      </c>
      <c r="AW18" s="1412" t="n"/>
      <c r="AX18" s="1412" t="n"/>
      <c r="AY18" s="1412" t="n"/>
      <c r="AZ18" s="1412" t="n"/>
      <c r="BA18" s="1412" t="n"/>
      <c r="BB18" s="1412" t="n"/>
      <c r="BC18" s="1412" t="n"/>
      <c r="BD18" s="1410" t="n"/>
      <c r="BE18" s="1383" t="inlineStr">
        <is>
          <t>-</t>
        </is>
      </c>
      <c r="BF18" s="1412" t="n"/>
      <c r="BG18" s="1412" t="n"/>
      <c r="BH18" s="1412" t="n"/>
      <c r="BI18" s="1412" t="n"/>
      <c r="BJ18" s="1412" t="n"/>
      <c r="BK18" s="1412" t="n"/>
      <c r="BL18" s="1412" t="n"/>
      <c r="BM18" s="1410" t="n"/>
      <c r="BN18" s="1383" t="inlineStr">
        <is>
          <t>-</t>
        </is>
      </c>
      <c r="BO18" s="1412" t="n"/>
      <c r="BP18" s="1412" t="n"/>
      <c r="BQ18" s="1412" t="n"/>
      <c r="BR18" s="1412" t="n"/>
      <c r="BS18" s="1412" t="n"/>
      <c r="BT18" s="1412" t="n"/>
      <c r="BU18" s="1412" t="n"/>
      <c r="BV18" s="1412" t="n"/>
      <c r="BW18" s="1412" t="n"/>
      <c r="BX18" s="1412" t="n"/>
      <c r="BY18" s="1412" t="n"/>
      <c r="BZ18" s="1412" t="n"/>
      <c r="CA18" s="1412" t="n"/>
      <c r="CB18" s="1412" t="n"/>
      <c r="CC18" s="1410" t="n"/>
      <c r="CD18" s="1383" t="inlineStr">
        <is>
          <t>-</t>
        </is>
      </c>
      <c r="CE18" s="1412" t="n"/>
      <c r="CF18" s="1412" t="n"/>
      <c r="CG18" s="1412" t="n"/>
      <c r="CH18" s="1412" t="n"/>
      <c r="CI18" s="1412" t="n"/>
      <c r="CJ18" s="1412" t="n"/>
      <c r="CK18" s="1412" t="n"/>
      <c r="CL18" s="1412" t="n"/>
      <c r="CM18" s="1412" t="n"/>
      <c r="CN18" s="1412" t="n"/>
      <c r="CO18" s="1412" t="n"/>
      <c r="CP18" s="1412" t="n"/>
      <c r="CQ18" s="1412" t="n"/>
      <c r="CR18" s="1410" t="n"/>
      <c r="CS18" s="1383" t="inlineStr">
        <is>
          <t>-</t>
        </is>
      </c>
      <c r="CT18" s="1412" t="n"/>
      <c r="CU18" s="1412" t="n"/>
      <c r="CV18" s="1412" t="n"/>
      <c r="CW18" s="1412" t="n"/>
      <c r="CX18" s="1412" t="n"/>
      <c r="CY18" s="1412" t="n"/>
      <c r="CZ18" s="1412" t="n"/>
      <c r="DA18" s="1410" t="n"/>
      <c r="DB18" s="1383" t="inlineStr">
        <is>
          <t>-</t>
        </is>
      </c>
      <c r="DC18" s="1412" t="n"/>
      <c r="DD18" s="1412" t="n"/>
      <c r="DE18" s="1412" t="n"/>
      <c r="DF18" s="1412" t="n"/>
      <c r="DG18" s="1412" t="n"/>
      <c r="DH18" s="1412" t="n"/>
      <c r="DI18" s="1412" t="n"/>
      <c r="DJ18" s="1410" t="n"/>
      <c r="DK18" s="1383" t="inlineStr">
        <is>
          <t>-</t>
        </is>
      </c>
      <c r="DL18" s="1412" t="n"/>
      <c r="DM18" s="1412" t="n"/>
      <c r="DN18" s="1412" t="n"/>
      <c r="DO18" s="1412" t="n"/>
      <c r="DP18" s="1412" t="n"/>
      <c r="DQ18" s="1412" t="n"/>
      <c r="DR18" s="1412" t="n"/>
      <c r="DS18" s="1410" t="n"/>
      <c r="DT18" s="1383" t="inlineStr">
        <is>
          <t>-</t>
        </is>
      </c>
      <c r="DU18" s="1412" t="n"/>
      <c r="DV18" s="1412" t="n"/>
      <c r="DW18" s="1412" t="n"/>
      <c r="DX18" s="1412" t="n"/>
      <c r="DY18" s="1412" t="n"/>
      <c r="DZ18" s="1412" t="n"/>
      <c r="EA18" s="1412" t="n"/>
      <c r="EB18" s="1412" t="n"/>
      <c r="EC18" s="1412" t="n"/>
      <c r="ED18" s="1412" t="n"/>
      <c r="EE18" s="1412" t="n"/>
      <c r="EF18" s="1412" t="n"/>
      <c r="EG18" s="1412" t="n"/>
      <c r="EH18" s="1412" t="n"/>
      <c r="EI18" s="1410" t="n"/>
      <c r="EJ18" s="1536">
        <f>EJ15</f>
        <v/>
      </c>
      <c r="EK18" s="1412" t="n"/>
      <c r="EL18" s="1412" t="n"/>
      <c r="EM18" s="1412" t="n"/>
      <c r="EN18" s="1412" t="n"/>
      <c r="EO18" s="1412" t="n"/>
      <c r="EP18" s="1412" t="n"/>
      <c r="EQ18" s="1412" t="n"/>
      <c r="ER18" s="1412" t="n"/>
      <c r="ES18" s="1412" t="n"/>
      <c r="ET18" s="1412" t="n"/>
      <c r="EU18" s="1412" t="n"/>
      <c r="EV18" s="1412" t="n"/>
      <c r="EW18" s="1412" t="n"/>
      <c r="EX18" s="1410" t="n"/>
      <c r="EY18" s="1536">
        <f>EY15</f>
        <v/>
      </c>
      <c r="EZ18" s="1412" t="n"/>
      <c r="FA18" s="1412" t="n"/>
      <c r="FB18" s="1412" t="n"/>
      <c r="FC18" s="1412" t="n"/>
      <c r="FD18" s="1412" t="n"/>
      <c r="FE18" s="1412" t="n"/>
      <c r="FF18" s="1412" t="n"/>
      <c r="FG18" s="1410" t="n"/>
      <c r="FH18" s="1536">
        <f>FH15</f>
        <v/>
      </c>
      <c r="FI18" s="1412" t="n"/>
      <c r="FJ18" s="1412" t="n"/>
      <c r="FK18" s="1412" t="n"/>
      <c r="FL18" s="1412" t="n"/>
      <c r="FM18" s="1412" t="n"/>
      <c r="FN18" s="1412" t="n"/>
      <c r="FO18" s="1412" t="n"/>
      <c r="FP18" s="1410" t="n"/>
      <c r="FQ18" s="1536">
        <f>FQ15</f>
        <v/>
      </c>
      <c r="FR18" s="1412" t="n"/>
      <c r="FS18" s="1412" t="n"/>
      <c r="FT18" s="1412" t="n"/>
      <c r="FU18" s="1412" t="n"/>
      <c r="FV18" s="1412" t="n"/>
      <c r="FW18" s="1412" t="n"/>
      <c r="FX18" s="1412" t="n"/>
      <c r="FY18" s="1410" t="n"/>
      <c r="FZ18" s="1536">
        <f>FZ15</f>
        <v/>
      </c>
      <c r="GA18" s="1412" t="n"/>
      <c r="GB18" s="1412" t="n"/>
      <c r="GC18" s="1412" t="n"/>
      <c r="GD18" s="1412" t="n"/>
      <c r="GE18" s="1412" t="n"/>
      <c r="GF18" s="1412" t="n"/>
      <c r="GG18" s="1412" t="n"/>
      <c r="GH18" s="1412" t="n"/>
      <c r="GI18" s="1412" t="n"/>
      <c r="GJ18" s="1412" t="n"/>
      <c r="GK18" s="1412" t="n"/>
      <c r="GL18" s="1412" t="n"/>
      <c r="GM18" s="1412" t="n"/>
      <c r="GN18" s="1412" t="n"/>
      <c r="GO18" s="1410" t="n"/>
    </row>
    <row r="19" ht="11.25" customFormat="1" customHeight="1" s="1340"/>
    <row r="20" ht="24.75" customFormat="1" customHeight="1" s="396">
      <c r="D20" s="1311" t="inlineStr">
        <is>
          <t>Проректор по научной работе</t>
        </is>
      </c>
      <c r="BI20" s="1311" t="inlineStr">
        <is>
          <t>Начальник ОФЭиАУ НИОКР</t>
        </is>
      </c>
      <c r="DQ20" s="389" t="n"/>
      <c r="DR20" s="389" t="n"/>
      <c r="DS20" s="389" t="n"/>
      <c r="DT20" s="389" t="n"/>
      <c r="DU20" s="389" t="n"/>
      <c r="DV20" s="389" t="n"/>
      <c r="DW20" s="389" t="n"/>
      <c r="DX20" s="389" t="n"/>
      <c r="DY20" s="389" t="n"/>
      <c r="DZ20" s="389" t="n"/>
      <c r="EA20" s="389" t="n"/>
      <c r="EB20" s="389" t="n"/>
      <c r="EC20" s="389" t="n"/>
      <c r="ED20" s="389" t="n"/>
      <c r="EE20" s="389" t="n"/>
      <c r="EF20" s="389" t="n"/>
      <c r="EG20" s="389" t="n"/>
      <c r="EH20" s="389" t="n"/>
      <c r="EI20" s="389" t="n"/>
      <c r="EJ20" s="390" t="inlineStr">
        <is>
          <t>Руководитель договора</t>
        </is>
      </c>
      <c r="EK20" s="391" t="n"/>
      <c r="EM20" s="263" t="n"/>
      <c r="EN20" s="263" t="n"/>
      <c r="EO20" s="263" t="n"/>
      <c r="EP20" s="389" t="n"/>
      <c r="EQ20" s="389" t="n"/>
      <c r="ER20" s="389" t="n"/>
      <c r="ES20" s="389" t="n"/>
      <c r="ET20" s="389" t="n"/>
      <c r="EU20" s="389" t="n"/>
      <c r="EV20" s="389" t="n"/>
      <c r="EW20" s="389" t="n"/>
      <c r="EX20" s="389" t="n"/>
      <c r="EY20" s="389" t="n"/>
      <c r="EZ20" s="389" t="n"/>
      <c r="FA20" s="389" t="n"/>
      <c r="FB20" s="389" t="n"/>
      <c r="FC20" s="389" t="n"/>
      <c r="FD20" s="389" t="n"/>
      <c r="FE20" s="389" t="n"/>
      <c r="FF20" s="389" t="n"/>
      <c r="FG20" s="389" t="n"/>
      <c r="FH20" s="389" t="n"/>
      <c r="FI20" s="389" t="n"/>
      <c r="FJ20" s="389" t="n"/>
      <c r="FK20" s="389" t="n"/>
      <c r="FL20" s="389" t="n"/>
      <c r="FM20" s="389" t="n"/>
      <c r="FN20" s="389" t="n"/>
      <c r="FO20" s="389" t="n"/>
      <c r="FP20" s="389" t="n"/>
      <c r="FQ20" s="389" t="n"/>
      <c r="FR20" s="389" t="n"/>
      <c r="FS20" s="389" t="n"/>
    </row>
    <row r="21" ht="16.5" customFormat="1" customHeight="1" s="446">
      <c r="D21" s="98" t="n"/>
      <c r="E21" s="98" t="n"/>
      <c r="F21" s="99" t="n"/>
      <c r="G21" s="99" t="n"/>
      <c r="BI21" s="98" t="n"/>
      <c r="BJ21" s="98" t="n"/>
      <c r="BK21" s="98" t="n"/>
      <c r="BL21" s="99" t="n"/>
      <c r="BM21" s="99" t="n"/>
      <c r="DK21" s="298" t="n"/>
      <c r="DL21" s="298" t="n"/>
      <c r="DM21" s="298" t="n"/>
      <c r="DN21" s="298" t="n"/>
      <c r="DO21" s="298" t="n"/>
      <c r="DP21" s="298" t="n"/>
      <c r="DQ21" s="298" t="n"/>
      <c r="DR21" s="298" t="n"/>
      <c r="DS21" s="298" t="n"/>
      <c r="DT21" s="298" t="n"/>
      <c r="DU21" s="298" t="n"/>
      <c r="DV21" s="298" t="n"/>
      <c r="DW21" s="298" t="n"/>
      <c r="DX21" s="298" t="n"/>
      <c r="DY21" s="298" t="n"/>
      <c r="DZ21" s="298" t="n"/>
      <c r="EA21" s="298" t="n"/>
      <c r="EB21" s="298" t="n"/>
      <c r="EC21" s="298" t="n"/>
      <c r="ED21" s="298" t="n"/>
      <c r="EE21" s="298" t="n"/>
      <c r="EF21" s="298" t="n"/>
      <c r="EG21" s="298" t="n"/>
      <c r="EH21" s="298" t="n"/>
      <c r="EI21" s="298" t="n"/>
      <c r="EJ21" s="97" t="n"/>
      <c r="EK21" s="100" t="n"/>
      <c r="EL21" s="99" t="n"/>
      <c r="EM21" s="99" t="n"/>
      <c r="EN21" s="99" t="n"/>
      <c r="EO21" s="99" t="n"/>
      <c r="EP21" s="298" t="n"/>
      <c r="EQ21" s="298" t="n"/>
      <c r="ER21" s="298" t="n"/>
      <c r="ES21" s="298" t="n"/>
      <c r="ET21" s="298" t="n"/>
      <c r="EU21" s="298" t="n"/>
      <c r="EV21" s="298" t="n"/>
      <c r="EW21" s="298" t="n"/>
      <c r="EX21" s="298" t="n"/>
      <c r="EY21" s="298" t="n"/>
      <c r="EZ21" s="298" t="n"/>
      <c r="FA21" s="298" t="n"/>
      <c r="FB21" s="298" t="n"/>
      <c r="FC21" s="298" t="n"/>
      <c r="FD21" s="298" t="n"/>
      <c r="FE21" s="298" t="n"/>
      <c r="FF21" s="298" t="n"/>
      <c r="FG21" s="298" t="n"/>
      <c r="FH21" s="298" t="n"/>
      <c r="FI21" s="298" t="n"/>
      <c r="FJ21" s="298" t="n"/>
      <c r="FK21" s="298" t="n"/>
      <c r="FL21" s="298" t="n"/>
      <c r="FM21" s="298" t="n"/>
      <c r="FN21" s="298" t="n"/>
      <c r="FO21" s="298" t="n"/>
      <c r="FP21" s="298" t="n"/>
      <c r="FQ21" s="298" t="n"/>
      <c r="FR21" s="298" t="n"/>
      <c r="FS21" s="298" t="n"/>
    </row>
    <row r="22" ht="33" customFormat="1" customHeight="1" s="396">
      <c r="D22" s="1239" t="inlineStr">
        <is>
          <t>_____________________ Ю.В. Фомин</t>
        </is>
      </c>
      <c r="E22" s="391" t="n"/>
      <c r="F22" s="391" t="n"/>
      <c r="G22" s="391" t="n"/>
      <c r="X22" s="401" t="n"/>
      <c r="Y22" s="401" t="n"/>
      <c r="Z22" s="401" t="n"/>
      <c r="AA22" s="401" t="n"/>
      <c r="AB22" s="401" t="n"/>
      <c r="AC22" s="401" t="n"/>
      <c r="AD22" s="401" t="n"/>
      <c r="AE22" s="401" t="n"/>
      <c r="AF22" s="401" t="n"/>
      <c r="AG22" s="401" t="n"/>
      <c r="AH22" s="401" t="n"/>
      <c r="AI22" s="401" t="n"/>
      <c r="AJ22" s="401" t="n"/>
      <c r="AK22" s="401" t="n"/>
      <c r="AL22" s="401" t="n"/>
      <c r="AM22" s="401" t="n"/>
      <c r="AP22" s="393" t="n"/>
      <c r="AQ22" s="393" t="n"/>
      <c r="AR22" s="393" t="n"/>
      <c r="AS22" s="393" t="n"/>
      <c r="AT22" s="393" t="n"/>
      <c r="AU22" s="393" t="n"/>
      <c r="AV22" s="393" t="n"/>
      <c r="AW22" s="393" t="n"/>
      <c r="AX22" s="393" t="n"/>
      <c r="AY22" s="393" t="n"/>
      <c r="AZ22" s="393" t="n"/>
      <c r="BA22" s="393" t="n"/>
      <c r="BB22" s="393" t="n"/>
      <c r="BC22" s="393" t="n"/>
      <c r="BD22" s="393" t="n"/>
      <c r="BE22" s="393" t="n"/>
      <c r="BF22" s="393" t="n"/>
      <c r="BG22" s="393" t="n"/>
      <c r="BH22" s="393" t="n"/>
      <c r="BI22" s="1239" t="inlineStr">
        <is>
          <t>_____________________ Н.О. Васецкая</t>
        </is>
      </c>
      <c r="BJ22" s="391" t="n"/>
      <c r="BK22" s="391" t="n"/>
      <c r="BL22" s="391" t="n"/>
      <c r="BM22" s="263" t="n"/>
      <c r="BN22" s="393" t="n"/>
      <c r="BO22" s="393" t="n"/>
      <c r="BP22" s="393" t="n"/>
      <c r="BQ22" s="393" t="n"/>
      <c r="BR22" s="393" t="n"/>
      <c r="DK22" s="401" t="n"/>
      <c r="DL22" s="401" t="n"/>
      <c r="DM22" s="401" t="n"/>
      <c r="DN22" s="401" t="n"/>
      <c r="DO22" s="401" t="n"/>
      <c r="DP22" s="401" t="n"/>
      <c r="DQ22" s="401" t="n"/>
      <c r="DR22" s="401" t="n"/>
      <c r="DS22" s="401" t="n"/>
      <c r="DT22" s="401" t="n"/>
      <c r="DU22" s="401" t="n"/>
      <c r="DV22" s="401" t="n"/>
      <c r="DW22" s="401" t="n"/>
      <c r="DX22" s="401" t="n"/>
      <c r="DY22" s="401" t="n"/>
      <c r="DZ22" s="401" t="n"/>
      <c r="EC22" s="393" t="n"/>
      <c r="ED22" s="393" t="n"/>
      <c r="EE22" s="393" t="n"/>
      <c r="EF22" s="393" t="n"/>
      <c r="EG22" s="393" t="n"/>
      <c r="EH22" s="393" t="n"/>
      <c r="EI22" s="393" t="n"/>
      <c r="EJ22" s="1239" t="inlineStr">
        <is>
          <t>_________________ А.И. Боровков</t>
        </is>
      </c>
    </row>
    <row r="23" ht="21" customFormat="1" customHeight="1" s="396">
      <c r="D23" s="1239" t="inlineStr">
        <is>
          <t>«____» __________________ 2025 г.</t>
        </is>
      </c>
      <c r="E23" s="263" t="n"/>
      <c r="F23" s="263" t="n"/>
      <c r="G23" s="263" t="n"/>
      <c r="X23" s="394" t="n"/>
      <c r="Y23" s="394" t="n"/>
      <c r="Z23" s="394" t="n"/>
      <c r="AA23" s="394" t="n"/>
      <c r="AB23" s="394" t="n"/>
      <c r="AC23" s="394" t="n"/>
      <c r="AD23" s="394" t="n"/>
      <c r="AE23" s="394" t="n"/>
      <c r="AF23" s="394" t="n"/>
      <c r="AG23" s="394" t="n"/>
      <c r="AH23" s="394" t="n"/>
      <c r="AI23" s="394" t="n"/>
      <c r="AJ23" s="394" t="n"/>
      <c r="AK23" s="394" t="n"/>
      <c r="AL23" s="394" t="n"/>
      <c r="AM23" s="394" t="n"/>
      <c r="AN23" s="395" t="n"/>
      <c r="AO23" s="395" t="n"/>
      <c r="AP23" s="394" t="n"/>
      <c r="AQ23" s="394" t="n"/>
      <c r="AR23" s="394" t="n"/>
      <c r="AS23" s="394" t="n"/>
      <c r="AT23" s="394" t="n"/>
      <c r="AU23" s="394" t="n"/>
      <c r="AV23" s="394" t="n"/>
      <c r="AW23" s="394" t="n"/>
      <c r="AX23" s="394" t="n"/>
      <c r="AY23" s="394" t="n"/>
      <c r="AZ23" s="394" t="n"/>
      <c r="BA23" s="394" t="n"/>
      <c r="BB23" s="394" t="n"/>
      <c r="BC23" s="394" t="n"/>
      <c r="BD23" s="394" t="n"/>
      <c r="BE23" s="394" t="n"/>
      <c r="BF23" s="394" t="n"/>
      <c r="BG23" s="394" t="n"/>
      <c r="BH23" s="394" t="n"/>
      <c r="BI23" s="1239" t="inlineStr">
        <is>
          <t>«____» __________________ 2025 г.</t>
        </is>
      </c>
      <c r="BJ23" s="263" t="n"/>
      <c r="BK23" s="263" t="n"/>
      <c r="BL23" s="263" t="n"/>
      <c r="BM23" s="263" t="n"/>
      <c r="BN23" s="394" t="n"/>
      <c r="BO23" s="394" t="n"/>
      <c r="BP23" s="394" t="n"/>
      <c r="BQ23" s="394" t="n"/>
      <c r="BR23" s="394" t="n"/>
      <c r="DK23" s="394" t="n"/>
      <c r="DL23" s="394" t="n"/>
      <c r="DM23" s="394" t="n"/>
      <c r="DN23" s="394" t="n"/>
      <c r="DO23" s="394" t="n"/>
      <c r="DP23" s="394" t="n"/>
      <c r="DQ23" s="394" t="n"/>
      <c r="DR23" s="394" t="n"/>
      <c r="DS23" s="394" t="n"/>
      <c r="DT23" s="394" t="n"/>
      <c r="DU23" s="394" t="n"/>
      <c r="DV23" s="394" t="n"/>
      <c r="DW23" s="394" t="n"/>
      <c r="DX23" s="394" t="n"/>
      <c r="DY23" s="394" t="n"/>
      <c r="DZ23" s="394" t="n"/>
      <c r="EA23" s="395" t="n"/>
      <c r="EB23" s="395" t="n"/>
      <c r="EC23" s="394" t="n"/>
      <c r="ED23" s="394" t="n"/>
      <c r="EE23" s="394" t="n"/>
      <c r="EF23" s="394" t="n"/>
      <c r="EG23" s="394" t="n"/>
      <c r="EH23" s="394" t="n"/>
      <c r="EI23" s="394" t="n"/>
      <c r="EJ23" s="1239" t="inlineStr">
        <is>
          <t>«____» __________________ 2025 г.</t>
        </is>
      </c>
      <c r="EK23" s="263" t="n"/>
      <c r="EL23" s="263" t="n"/>
      <c r="EM23" s="263" t="n"/>
      <c r="EN23" s="263" t="n"/>
      <c r="EO23" s="263" t="n"/>
      <c r="EP23" s="394" t="n"/>
      <c r="EQ23" s="394" t="n"/>
      <c r="ER23" s="394" t="n"/>
      <c r="ES23" s="394" t="n"/>
      <c r="ET23" s="394" t="n"/>
      <c r="EU23" s="394" t="n"/>
      <c r="EV23" s="394" t="n"/>
      <c r="EW23" s="394" t="n"/>
      <c r="EX23" s="394" t="n"/>
      <c r="EY23" s="394" t="n"/>
      <c r="EZ23" s="394" t="n"/>
      <c r="FA23" s="394" t="n"/>
      <c r="FB23" s="394" t="n"/>
      <c r="FC23" s="394" t="n"/>
      <c r="FD23" s="394" t="n"/>
      <c r="FE23" s="394" t="n"/>
    </row>
    <row r="24" ht="17.25" customFormat="1" customHeight="1" s="446">
      <c r="W24" s="448" t="n"/>
      <c r="X24" s="448" t="n"/>
      <c r="Y24" s="292" t="n"/>
      <c r="Z24" s="292" t="n"/>
      <c r="AA24" s="292" t="n"/>
      <c r="AB24" s="292" t="n"/>
      <c r="AC24" s="448" t="n"/>
      <c r="AD24" s="448" t="n"/>
      <c r="AE24" s="292" t="n"/>
      <c r="AF24" s="292" t="n"/>
      <c r="AG24" s="292" t="n"/>
      <c r="AH24" s="292" t="n"/>
      <c r="AI24" s="292" t="n"/>
      <c r="AJ24" s="292" t="n"/>
      <c r="AK24" s="292" t="n"/>
      <c r="AL24" s="292" t="n"/>
      <c r="AM24" s="292" t="n"/>
      <c r="AN24" s="292" t="n"/>
      <c r="AO24" s="292" t="n"/>
      <c r="AP24" s="292" t="n"/>
      <c r="AQ24" s="292" t="n"/>
      <c r="AR24" s="292" t="n"/>
      <c r="AS24" s="292" t="n"/>
      <c r="AT24" s="292" t="n"/>
      <c r="AU24" s="292" t="n"/>
      <c r="AV24" s="292" t="n"/>
      <c r="AW24" s="292" t="n"/>
      <c r="AX24" s="292" t="n"/>
      <c r="AY24" s="292" t="n"/>
      <c r="AZ24" s="292" t="n"/>
      <c r="BA24" s="448" t="n"/>
      <c r="BB24" s="448" t="n"/>
      <c r="BC24" s="448" t="n"/>
      <c r="DJ24" s="448" t="n"/>
      <c r="DK24" s="448" t="n"/>
      <c r="DL24" s="292" t="n"/>
      <c r="DM24" s="292" t="n"/>
      <c r="DN24" s="292" t="n"/>
      <c r="DO24" s="292" t="n"/>
      <c r="DP24" s="448" t="n"/>
      <c r="DQ24" s="448" t="n"/>
      <c r="DR24" s="292" t="n"/>
      <c r="DS24" s="292" t="n"/>
      <c r="DT24" s="292" t="n"/>
      <c r="DU24" s="292" t="n"/>
      <c r="DV24" s="292" t="n"/>
      <c r="DW24" s="292" t="n"/>
      <c r="DX24" s="292" t="n"/>
      <c r="DY24" s="292" t="n"/>
      <c r="DZ24" s="292" t="n"/>
      <c r="EA24" s="292" t="n"/>
      <c r="EB24" s="292" t="n"/>
      <c r="EC24" s="292" t="n"/>
      <c r="ED24" s="292" t="n"/>
      <c r="EE24" s="292" t="n"/>
      <c r="EF24" s="292" t="n"/>
      <c r="EG24" s="292" t="n"/>
      <c r="EH24" s="292" t="n"/>
      <c r="EI24" s="292" t="n"/>
      <c r="EJ24" s="22" t="n"/>
      <c r="EK24" s="22" t="n"/>
      <c r="EL24" s="22" t="n"/>
      <c r="EM24" s="22" t="n"/>
      <c r="EN24" s="22" t="n"/>
      <c r="EO24" s="22" t="n"/>
      <c r="EP24" s="448" t="n"/>
    </row>
    <row r="25" ht="23.25" customFormat="1" customHeight="1" s="396">
      <c r="W25" s="397" t="n"/>
      <c r="X25" s="397" t="n"/>
      <c r="Y25" s="398" t="n"/>
      <c r="Z25" s="398" t="n"/>
      <c r="AA25" s="398" t="n"/>
      <c r="AB25" s="398" t="n"/>
      <c r="AE25" s="398" t="n"/>
      <c r="AF25" s="398" t="n"/>
      <c r="AG25" s="398" t="n"/>
      <c r="AH25" s="398" t="n"/>
      <c r="AI25" s="398" t="n"/>
      <c r="AJ25" s="398" t="n"/>
      <c r="AK25" s="398" t="n"/>
      <c r="AL25" s="398" t="n"/>
      <c r="AM25" s="398" t="n"/>
      <c r="AN25" s="398" t="n"/>
      <c r="AO25" s="398" t="n"/>
      <c r="AP25" s="398" t="n"/>
      <c r="AQ25" s="398" t="n"/>
      <c r="AR25" s="398" t="n"/>
      <c r="AS25" s="398" t="n"/>
      <c r="AT25" s="398" t="n"/>
      <c r="AU25" s="399" t="n"/>
      <c r="AV25" s="399" t="n"/>
      <c r="AW25" s="399" t="n"/>
      <c r="AX25" s="400" t="n"/>
      <c r="AY25" s="400" t="n"/>
      <c r="AZ25" s="400" t="n"/>
      <c r="DJ25" s="397" t="n"/>
      <c r="DK25" s="397" t="n"/>
      <c r="DL25" s="398" t="n"/>
      <c r="DM25" s="398" t="n"/>
      <c r="DN25" s="398" t="n"/>
      <c r="DO25" s="398" t="n"/>
      <c r="DR25" s="398" t="n"/>
      <c r="DS25" s="398" t="n"/>
      <c r="DT25" s="398" t="n"/>
      <c r="DU25" s="398" t="n"/>
      <c r="DV25" s="398" t="n"/>
      <c r="DW25" s="398" t="n"/>
      <c r="DX25" s="398" t="n"/>
      <c r="DY25" s="398" t="n"/>
      <c r="DZ25" s="398" t="n"/>
      <c r="EA25" s="398" t="n"/>
      <c r="EB25" s="398" t="n"/>
      <c r="EC25" s="398" t="n"/>
      <c r="ED25" s="398" t="n"/>
      <c r="EE25" s="398" t="n"/>
      <c r="EF25" s="398" t="n"/>
      <c r="EG25" s="398" t="n"/>
      <c r="EH25" s="399" t="n"/>
      <c r="EI25" s="399" t="n"/>
      <c r="EJ25" s="1311" t="inlineStr">
        <is>
          <t>Ответственный исполнитель</t>
        </is>
      </c>
    </row>
    <row r="26" ht="15.75" customHeight="1" s="794">
      <c r="EJ26" s="99" t="n"/>
      <c r="EK26" s="205" t="n"/>
      <c r="EL26" s="99" t="n"/>
      <c r="EM26" s="99" t="n"/>
      <c r="EN26" s="57" t="n"/>
      <c r="EO26" s="57" t="n"/>
    </row>
    <row r="27" ht="18.75" customFormat="1" customHeight="1" s="401">
      <c r="EJ27" s="491" t="inlineStr">
        <is>
          <t>__________________ И.Б. Войнов</t>
        </is>
      </c>
      <c r="EK27" s="402" t="n"/>
      <c r="EL27" s="391" t="n"/>
      <c r="EM27" s="391" t="n"/>
      <c r="EN27" s="403" t="n"/>
      <c r="EO27" s="403" t="n"/>
    </row>
    <row r="28" ht="18.75" customFormat="1" customHeight="1" s="401">
      <c r="EJ28" s="1239" t="inlineStr">
        <is>
          <t>«____» __________________ 2025 г.</t>
        </is>
      </c>
      <c r="EK28" s="247" t="n"/>
      <c r="EL28" s="263" t="n"/>
      <c r="EM28" s="263" t="n"/>
      <c r="EN28" s="404" t="n"/>
      <c r="EO28" s="404" t="n"/>
    </row>
  </sheetData>
  <mergeCells count="153">
    <mergeCell ref="X13:AL13"/>
    <mergeCell ref="AV17:BD17"/>
    <mergeCell ref="FQ14:FY14"/>
    <mergeCell ref="AM11:AQ12"/>
    <mergeCell ref="FQ13:FY13"/>
    <mergeCell ref="CM10:CP11"/>
    <mergeCell ref="A13:D13"/>
    <mergeCell ref="E16:W16"/>
    <mergeCell ref="ES10:EV11"/>
    <mergeCell ref="CS17:DA17"/>
    <mergeCell ref="FZ13:GO13"/>
    <mergeCell ref="ES12:EV12"/>
    <mergeCell ref="BE17:BM17"/>
    <mergeCell ref="FZ15:GO15"/>
    <mergeCell ref="DK18:DS18"/>
    <mergeCell ref="AV15:BD15"/>
    <mergeCell ref="BN16:CC16"/>
    <mergeCell ref="DC5:EI5"/>
    <mergeCell ref="CS11:CW12"/>
    <mergeCell ref="CD16:CR16"/>
    <mergeCell ref="A16:D16"/>
    <mergeCell ref="BN18:CC18"/>
    <mergeCell ref="AG8:AJ9"/>
    <mergeCell ref="FQ16:FY16"/>
    <mergeCell ref="X5:CW5"/>
    <mergeCell ref="FH14:FP14"/>
    <mergeCell ref="AV16:BD16"/>
    <mergeCell ref="E13:W13"/>
    <mergeCell ref="EY15:FG15"/>
    <mergeCell ref="FH13:FP13"/>
    <mergeCell ref="AM14:AU14"/>
    <mergeCell ref="BE14:BM14"/>
    <mergeCell ref="CX8:DA12"/>
    <mergeCell ref="X7:CC7"/>
    <mergeCell ref="AV18:BD18"/>
    <mergeCell ref="X8:AF12"/>
    <mergeCell ref="DK14:DS14"/>
    <mergeCell ref="ES8:EV9"/>
    <mergeCell ref="FH15:FP15"/>
    <mergeCell ref="FQ18:FY18"/>
    <mergeCell ref="AM8:AQ8"/>
    <mergeCell ref="DT18:EI18"/>
    <mergeCell ref="FZ17:GO17"/>
    <mergeCell ref="AG12:AJ12"/>
    <mergeCell ref="FD8:FG12"/>
    <mergeCell ref="DB16:DJ16"/>
    <mergeCell ref="X6:EI6"/>
    <mergeCell ref="CS14:DA14"/>
    <mergeCell ref="DK15:DS15"/>
    <mergeCell ref="X15:AL15"/>
    <mergeCell ref="CD7:EI7"/>
    <mergeCell ref="CQ8:CR12"/>
    <mergeCell ref="FZ8:GO12"/>
    <mergeCell ref="CS9:CW10"/>
    <mergeCell ref="FQ15:FY15"/>
    <mergeCell ref="E5:W12"/>
    <mergeCell ref="AM16:AU16"/>
    <mergeCell ref="EJ14:EX14"/>
    <mergeCell ref="D20:AQ20"/>
    <mergeCell ref="A3:GO3"/>
    <mergeCell ref="BE8:BM12"/>
    <mergeCell ref="FH16:FP16"/>
    <mergeCell ref="BI20:DP20"/>
    <mergeCell ref="EJ13:EX13"/>
    <mergeCell ref="EY14:FG14"/>
    <mergeCell ref="AM18:AU18"/>
    <mergeCell ref="FH17:FP17"/>
    <mergeCell ref="BE18:BM18"/>
    <mergeCell ref="DB14:DJ14"/>
    <mergeCell ref="FY5:GO6"/>
    <mergeCell ref="CD18:CR18"/>
    <mergeCell ref="FH18:FP18"/>
    <mergeCell ref="AM17:AU17"/>
    <mergeCell ref="DT13:EI13"/>
    <mergeCell ref="CM12:CP12"/>
    <mergeCell ref="DB13:DJ13"/>
    <mergeCell ref="EJ8:ER12"/>
    <mergeCell ref="FT5:FX6"/>
    <mergeCell ref="EJ5:FS6"/>
    <mergeCell ref="EJ22:GM22"/>
    <mergeCell ref="FH8:FP12"/>
    <mergeCell ref="DT15:EI15"/>
    <mergeCell ref="X17:AL17"/>
    <mergeCell ref="DB15:DJ15"/>
    <mergeCell ref="EY11:FC12"/>
    <mergeCell ref="A5:D12"/>
    <mergeCell ref="AG10:AJ11"/>
    <mergeCell ref="FQ17:FY17"/>
    <mergeCell ref="DT14:EI14"/>
    <mergeCell ref="AV8:BD12"/>
    <mergeCell ref="EY16:FG16"/>
    <mergeCell ref="FQ8:FY12"/>
    <mergeCell ref="X14:AL14"/>
    <mergeCell ref="CD8:CL12"/>
    <mergeCell ref="EY18:FG18"/>
    <mergeCell ref="CM8:CP9"/>
    <mergeCell ref="CD14:CR14"/>
    <mergeCell ref="CS13:DA13"/>
    <mergeCell ref="BE13:BM13"/>
    <mergeCell ref="EY17:FG17"/>
    <mergeCell ref="A18:W18"/>
    <mergeCell ref="DT17:EI17"/>
    <mergeCell ref="CD13:CR13"/>
    <mergeCell ref="DB17:DJ17"/>
    <mergeCell ref="EJ7:GO7"/>
    <mergeCell ref="CS15:DA15"/>
    <mergeCell ref="BN13:CC13"/>
    <mergeCell ref="EY8:FC8"/>
    <mergeCell ref="AR8:AU12"/>
    <mergeCell ref="CD15:CR15"/>
    <mergeCell ref="DK13:DS13"/>
    <mergeCell ref="DT8:EI12"/>
    <mergeCell ref="AM9:AQ10"/>
    <mergeCell ref="DB8:DJ12"/>
    <mergeCell ref="BN15:CC15"/>
    <mergeCell ref="EJ25:GJ25"/>
    <mergeCell ref="CS16:DA16"/>
    <mergeCell ref="EJ15:EX15"/>
    <mergeCell ref="A14:D14"/>
    <mergeCell ref="FZ18:GO18"/>
    <mergeCell ref="X16:AL16"/>
    <mergeCell ref="BE16:BM16"/>
    <mergeCell ref="CS18:DA18"/>
    <mergeCell ref="FZ14:GO14"/>
    <mergeCell ref="EY13:FG13"/>
    <mergeCell ref="AK8:AL12"/>
    <mergeCell ref="AV14:BD14"/>
    <mergeCell ref="X18:AL18"/>
    <mergeCell ref="A15:W15"/>
    <mergeCell ref="DK16:DS16"/>
    <mergeCell ref="AV13:BD13"/>
    <mergeCell ref="EJ16:EX16"/>
    <mergeCell ref="DT16:EI16"/>
    <mergeCell ref="CD17:CR17"/>
    <mergeCell ref="EJ18:EX18"/>
    <mergeCell ref="BN17:CC17"/>
    <mergeCell ref="BN8:CC12"/>
    <mergeCell ref="DB18:DJ18"/>
    <mergeCell ref="DK17:DS17"/>
    <mergeCell ref="AM15:AU15"/>
    <mergeCell ref="EJ17:EX17"/>
    <mergeCell ref="EY9:FC10"/>
    <mergeCell ref="E14:W14"/>
    <mergeCell ref="CS8:CW8"/>
    <mergeCell ref="FZ16:GO16"/>
    <mergeCell ref="DK8:DS12"/>
    <mergeCell ref="A17:W17"/>
    <mergeCell ref="CX5:DB5"/>
    <mergeCell ref="BE15:BM15"/>
    <mergeCell ref="EW8:EX12"/>
    <mergeCell ref="BN14:CC14"/>
    <mergeCell ref="AM13:AU13"/>
    <mergeCell ref="GC1:GO1"/>
  </mergeCells>
  <conditionalFormatting sqref="G22">
    <cfRule type="duplicateValues" priority="1" dxfId="0"/>
  </conditionalFormatting>
  <pageMargins left="0.3937007874015748" right="0.3937007874015748" top="0.7874015748031497" bottom="0.3937007874015748" header="0.1968503937007874" footer="0.1968503937007874"/>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2017-11-14T09:44:46Z</dcterms:created>
  <dcterms:modified xsi:type="dcterms:W3CDTF">2026-09-04T07:02:55Z</dcterms:modified>
</cp:coreProperties>
</file>