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48" firstSheet="0" activeTab="3" autoFilterDateGrouping="1"/>
  </bookViews>
  <sheets>
    <sheet name="Структура цены" sheetId="1" state="visible" r:id="rId1"/>
    <sheet name="Материалы" sheetId="2" state="visible" r:id="rId2"/>
    <sheet name="Спец_обор" sheetId="3" state="visible" r:id="rId3"/>
    <sheet name="Расшифровка ФОТ" sheetId="4" state="visible" r:id="rId4"/>
    <sheet name="Амортизация" sheetId="5" state="visible" r:id="rId5"/>
    <sheet name="Прочие прямые" sheetId="6" state="visible" r:id="rId6"/>
    <sheet name="Командировочные" sheetId="7" state="visible" r:id="rId7"/>
    <sheet name="Накладные" sheetId="8" state="visible" r:id="rId8"/>
    <sheet name="Стор_орг" sheetId="9" state="visible" r:id="rId9"/>
  </sheets>
  <externalReferences>
    <externalReference r:id="rId10"/>
  </externalReferences>
  <definedNames>
    <definedName name="договор">'Структура цены'!#REF!</definedName>
    <definedName name="тема">'Структура цены'!$A$2</definedName>
    <definedName name="_xlnm.Print_Area" localSheetId="0">'Структура цены'!$A$1:$I$36</definedName>
    <definedName name="_xlnm.Print_Area" localSheetId="1">'Материалы'!$A$1:$H$17</definedName>
    <definedName name="_xlnm.Print_Area" localSheetId="2">'Спец_обор'!$A$1:$G$19</definedName>
    <definedName name="_xlnm.Print_Area" localSheetId="3">'Расшифровка ФОТ'!$A$1:$I$64</definedName>
    <definedName name="_Hlk68180980" localSheetId="4">Амортизация!$B$6</definedName>
    <definedName name="_xlnm.Print_Area" localSheetId="5">'Прочие прямые'!$A$1:$D$18</definedName>
    <definedName name="_xlnm.Print_Area" localSheetId="6">'Командировочные'!$A$1:$M$20</definedName>
    <definedName name="_Hlk532895363" localSheetId="7">Накладные!#REF!</definedName>
    <definedName name="договор" localSheetId="7">'[1]структура цены'!$A$3</definedName>
    <definedName name="_xlnm.Print_Area" localSheetId="7">'Накладные'!$A$1:$E$15</definedName>
    <definedName name="_Hlk68180980" localSheetId="8">Стор_орг!$B$6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3">
    <numFmt numFmtId="164" formatCode="0.0000%"/>
    <numFmt numFmtId="165" formatCode="#,##0.000"/>
    <numFmt numFmtId="166" formatCode="0.000"/>
  </numFmts>
  <fonts count="3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color theme="1"/>
      <sz val="8"/>
    </font>
    <font>
      <name val="Calibri"/>
      <family val="2"/>
      <color theme="1"/>
      <sz val="12"/>
      <scheme val="minor"/>
    </font>
    <font>
      <name val="Calibri"/>
      <charset val="204"/>
      <family val="2"/>
      <color rgb="FF000000"/>
      <sz val="11"/>
    </font>
    <font>
      <name val="Times New Roman"/>
      <charset val="204"/>
      <family val="1"/>
      <sz val="12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charset val="204"/>
      <family val="1"/>
      <b val="1"/>
      <sz val="10"/>
    </font>
    <font>
      <name val="Times New Roman"/>
      <charset val="204"/>
      <family val="1"/>
      <sz val="11"/>
    </font>
    <font>
      <name val="Calibri"/>
      <family val="2"/>
      <sz val="8"/>
      <scheme val="minor"/>
    </font>
    <font>
      <name val="Times New Roman"/>
      <charset val="204"/>
      <family val="1"/>
      <sz val="10"/>
    </font>
    <font>
      <name val="Calibri"/>
      <family val="2"/>
      <color rgb="FF0070C0"/>
      <sz val="12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002060"/>
      <sz val="11"/>
    </font>
    <font>
      <name val="Calibri"/>
      <family val="2"/>
      <color rgb="FF002060"/>
      <sz val="11"/>
      <scheme val="minor"/>
    </font>
    <font>
      <name val="Arial"/>
      <charset val="204"/>
      <family val="2"/>
      <i val="1"/>
      <color rgb="FF002060"/>
      <sz val="11"/>
    </font>
    <font>
      <name val="Times New Roman"/>
      <charset val="204"/>
      <family val="1"/>
      <color rgb="FFFF0000"/>
      <sz val="10"/>
    </font>
    <font>
      <name val="Times New Roman"/>
      <charset val="204"/>
      <family val="1"/>
      <b val="1"/>
      <color rgb="FF000000"/>
      <sz val="10"/>
    </font>
    <font>
      <name val="Times New Roman"/>
      <charset val="204"/>
      <family val="1"/>
      <b val="1"/>
      <color rgb="FFFF0000"/>
      <sz val="10"/>
    </font>
    <font>
      <name val="Times New Roman"/>
      <charset val="204"/>
      <family val="1"/>
      <i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19" fillId="0" borderId="0"/>
    <xf numFmtId="0" fontId="3" fillId="0" borderId="0"/>
    <xf numFmtId="0" fontId="3" fillId="0" borderId="0"/>
    <xf numFmtId="0" fontId="16" fillId="0" borderId="0"/>
    <xf numFmtId="9" fontId="19" fillId="0" borderId="0"/>
    <xf numFmtId="0" fontId="16" fillId="0" borderId="0"/>
  </cellStyleXfs>
  <cellXfs count="201">
    <xf numFmtId="0" fontId="0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 vertical="center" indent="15"/>
    </xf>
    <xf numFmtId="0" fontId="5" fillId="0" borderId="0" applyAlignment="1" pivotButton="0" quotePrefix="0" xfId="0">
      <alignment horizontal="justify" vertical="center"/>
    </xf>
    <xf numFmtId="0" fontId="11" fillId="0" borderId="0" applyAlignment="1" pivotButton="0" quotePrefix="0" xfId="0">
      <alignment horizontal="left" vertical="center" indent="2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4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0" fontId="5" fillId="0" borderId="0" applyAlignment="1" pivotButton="0" quotePrefix="0" xfId="4">
      <alignment horizontal="center" vertical="center" wrapText="1"/>
    </xf>
    <xf numFmtId="49" fontId="5" fillId="0" borderId="1" applyAlignment="1" pivotButton="0" quotePrefix="0" xfId="0">
      <alignment vertical="center" wrapText="1"/>
    </xf>
    <xf numFmtId="49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4" fontId="7" fillId="0" borderId="0" applyAlignment="1" pivotButton="0" quotePrefix="0" xfId="0">
      <alignment horizontal="center" vertical="center" wrapText="1"/>
    </xf>
    <xf numFmtId="0" fontId="20" fillId="0" borderId="0" pivotButton="0" quotePrefix="0" xfId="0"/>
    <xf numFmtId="4" fontId="20" fillId="0" borderId="0" pivotButton="0" quotePrefix="0" xfId="0"/>
    <xf numFmtId="4" fontId="2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wrapText="1"/>
    </xf>
    <xf numFmtId="0" fontId="0" fillId="0" borderId="0" pivotButton="0" quotePrefix="0" xfId="0"/>
    <xf numFmtId="0" fontId="6" fillId="0" borderId="0" pivotButton="0" quotePrefix="0" xfId="0"/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vertical="center" wrapText="1"/>
    </xf>
    <xf numFmtId="0" fontId="2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2" fillId="3" borderId="0" applyAlignment="1" pivotButton="0" quotePrefix="0" xfId="0">
      <alignment horizontal="left" vertical="center"/>
    </xf>
    <xf numFmtId="164" fontId="5" fillId="0" borderId="0" applyAlignment="1" pivotButton="0" quotePrefix="0" xfId="4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right" indent="1"/>
    </xf>
    <xf numFmtId="4" fontId="13" fillId="2" borderId="1" applyAlignment="1" pivotButton="0" quotePrefix="0" xfId="0">
      <alignment horizontal="right" vertical="center" wrapText="1" indent="1"/>
    </xf>
    <xf numFmtId="0" fontId="6" fillId="0" borderId="0" applyAlignment="1" pivotButton="0" quotePrefix="0" xfId="0">
      <alignment horizontal="right" wrapText="1" indent="1"/>
    </xf>
    <xf numFmtId="0" fontId="0" fillId="0" borderId="0" applyAlignment="1" pivotButton="0" quotePrefix="0" xfId="0">
      <alignment horizontal="right" indent="1"/>
    </xf>
    <xf numFmtId="4" fontId="24" fillId="0" borderId="1" applyAlignment="1" pivotButton="0" quotePrefix="0" xfId="0">
      <alignment horizontal="center" vertical="center" wrapText="1"/>
    </xf>
    <xf numFmtId="49" fontId="24" fillId="0" borderId="1" applyAlignment="1" pivotButton="0" quotePrefix="0" xfId="0">
      <alignment vertical="center" wrapText="1"/>
    </xf>
    <xf numFmtId="0" fontId="24" fillId="0" borderId="1" applyAlignment="1" pivotButton="0" quotePrefix="0" xfId="0">
      <alignment vertical="center" wrapText="1"/>
    </xf>
    <xf numFmtId="4" fontId="24" fillId="0" borderId="0" applyAlignment="1" pivotButton="0" quotePrefix="0" xfId="0">
      <alignment horizontal="center" vertical="center" wrapText="1"/>
    </xf>
    <xf numFmtId="0" fontId="12" fillId="3" borderId="1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justify" vertical="center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6" fillId="0" borderId="0" pivotButton="0" quotePrefix="0" xfId="0"/>
    <xf numFmtId="0" fontId="0" fillId="0" borderId="0" pivotButton="0" quotePrefix="0" xfId="0"/>
    <xf numFmtId="0" fontId="1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wrapText="1"/>
    </xf>
    <xf numFmtId="0" fontId="12" fillId="0" borderId="0" pivotButton="0" quotePrefix="0" xfId="0"/>
    <xf numFmtId="0" fontId="12" fillId="0" borderId="0" pivotButton="0" quotePrefix="0" xfId="0"/>
    <xf numFmtId="0" fontId="12" fillId="0" borderId="0" pivotButton="0" quotePrefix="0" xfId="0"/>
    <xf numFmtId="165" fontId="25" fillId="0" borderId="0" pivotButton="0" quotePrefix="0" xfId="0"/>
    <xf numFmtId="165" fontId="26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28" fillId="0" borderId="0" pivotButton="0" quotePrefix="0" xfId="0"/>
    <xf numFmtId="4" fontId="27" fillId="0" borderId="0" applyAlignment="1" pivotButton="0" quotePrefix="0" xfId="0">
      <alignment horizontal="center" vertical="center"/>
    </xf>
    <xf numFmtId="4" fontId="2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22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 wrapText="1" indent="1"/>
    </xf>
    <xf numFmtId="0" fontId="5" fillId="0" borderId="1" applyAlignment="1" pivotButton="0" quotePrefix="0" xfId="0">
      <alignment horizontal="center" vertical="center"/>
    </xf>
    <xf numFmtId="0" fontId="31" fillId="2" borderId="1" applyAlignment="1" pivotButton="0" quotePrefix="0" xfId="0">
      <alignment horizontal="center" vertical="center" wrapText="1"/>
    </xf>
    <xf numFmtId="166" fontId="31" fillId="2" borderId="1" applyAlignment="1" pivotButton="0" quotePrefix="0" xfId="0">
      <alignment horizontal="center" vertical="center" wrapText="1"/>
    </xf>
    <xf numFmtId="4" fontId="31" fillId="0" borderId="1" applyAlignment="1" pivotButton="0" quotePrefix="0" xfId="0">
      <alignment horizontal="center" vertical="center" wrapText="1"/>
    </xf>
    <xf numFmtId="4" fontId="31" fillId="2" borderId="1" applyAlignment="1" pivotButton="0" quotePrefix="0" xfId="0">
      <alignment horizontal="right" vertical="center" wrapText="1" indent="1"/>
    </xf>
    <xf numFmtId="0" fontId="31" fillId="0" borderId="1" applyAlignment="1" pivotButton="0" quotePrefix="0" xfId="0">
      <alignment horizontal="center" vertical="center" wrapText="1"/>
    </xf>
    <xf numFmtId="166" fontId="31" fillId="0" borderId="1" applyAlignment="1" pivotButton="0" quotePrefix="0" xfId="0">
      <alignment horizontal="center" vertical="center" wrapText="1"/>
    </xf>
    <xf numFmtId="4" fontId="31" fillId="0" borderId="1" applyAlignment="1" pivotButton="0" quotePrefix="0" xfId="0">
      <alignment horizontal="right" vertical="center" wrapText="1" indent="1"/>
    </xf>
    <xf numFmtId="0" fontId="7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textRotation="90" wrapText="1"/>
    </xf>
    <xf numFmtId="0" fontId="24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vertical="center" wrapText="1"/>
    </xf>
    <xf numFmtId="4" fontId="21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3" borderId="1" applyAlignment="1" pivotButton="0" quotePrefix="0" xfId="0">
      <alignment horizontal="center" vertical="center" wrapText="1"/>
    </xf>
    <xf numFmtId="166" fontId="13" fillId="3" borderId="1" applyAlignment="1" pivotButton="0" quotePrefix="0" xfId="0">
      <alignment horizontal="center" vertical="center" wrapText="1"/>
    </xf>
    <xf numFmtId="4" fontId="13" fillId="3" borderId="1" applyAlignment="1" pivotButton="0" quotePrefix="0" xfId="0">
      <alignment horizontal="center" vertical="center" wrapText="1"/>
    </xf>
    <xf numFmtId="4" fontId="24" fillId="0" borderId="0" pivotButton="0" quotePrefix="0" xfId="0"/>
    <xf numFmtId="4" fontId="24" fillId="3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30" fillId="0" borderId="2" applyAlignment="1" pivotButton="0" quotePrefix="0" xfId="0">
      <alignment horizontal="center" vertical="center" wrapText="1"/>
    </xf>
    <xf numFmtId="0" fontId="30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24" fillId="0" borderId="2" applyAlignment="1" pivotButton="0" quotePrefix="0" xfId="0">
      <alignment horizontal="center" vertical="center" textRotation="90" wrapText="1"/>
    </xf>
    <xf numFmtId="0" fontId="24" fillId="0" borderId="3" applyAlignment="1" pivotButton="0" quotePrefix="0" xfId="0">
      <alignment horizontal="center" vertical="center" textRotation="90" wrapText="1"/>
    </xf>
    <xf numFmtId="0" fontId="24" fillId="0" borderId="4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top"/>
    </xf>
    <xf numFmtId="0" fontId="24" fillId="0" borderId="2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166" fontId="30" fillId="3" borderId="1" applyAlignment="1" pivotButton="0" quotePrefix="0" xfId="0">
      <alignment horizontal="center" vertical="center" wrapText="1"/>
    </xf>
    <xf numFmtId="166" fontId="32" fillId="2" borderId="1" applyAlignment="1" pivotButton="0" quotePrefix="0" xfId="0">
      <alignment horizontal="center" vertical="center" wrapText="1"/>
    </xf>
    <xf numFmtId="166" fontId="32" fillId="0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30" fillId="0" borderId="0" applyAlignment="1" pivotButton="0" quotePrefix="0" xfId="0">
      <alignment horizontal="left" vertical="center"/>
    </xf>
    <xf numFmtId="0" fontId="33" fillId="0" borderId="0" pivotButton="0" quotePrefix="0" xfId="0"/>
    <xf numFmtId="4" fontId="30" fillId="0" borderId="10" applyAlignment="1" pivotButton="0" quotePrefix="0" xfId="0">
      <alignment horizontal="center" vertical="center" wrapText="1"/>
    </xf>
    <xf numFmtId="0" fontId="30" fillId="0" borderId="0" applyAlignment="1" pivotButton="0" quotePrefix="0" xfId="0">
      <alignment wrapText="1"/>
    </xf>
    <xf numFmtId="4" fontId="30" fillId="3" borderId="0" applyAlignment="1" pivotButton="0" quotePrefix="0" xfId="0">
      <alignment horizontal="center" vertical="center"/>
    </xf>
    <xf numFmtId="3" fontId="30" fillId="3" borderId="0" pivotButton="0" quotePrefix="0" xfId="0"/>
    <xf numFmtId="4" fontId="30" fillId="0" borderId="0" applyAlignment="1" pivotButton="0" quotePrefix="0" xfId="0">
      <alignment horizontal="center" vertical="center"/>
    </xf>
    <xf numFmtId="4" fontId="30" fillId="0" borderId="0" pivotButton="0" quotePrefix="0" xfId="0"/>
    <xf numFmtId="3" fontId="30" fillId="0" borderId="0" pivotButton="0" quotePrefix="0" xfId="0"/>
    <xf numFmtId="166" fontId="30" fillId="0" borderId="0" pivotButton="0" quotePrefix="0" xfId="0"/>
    <xf numFmtId="0" fontId="30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4">
      <alignment horizontal="center" vertical="center" wrapText="1"/>
    </xf>
    <xf numFmtId="0" fontId="0" fillId="0" borderId="8" pivotButton="0" quotePrefix="0" xfId="0"/>
    <xf numFmtId="165" fontId="26" fillId="0" borderId="0" pivotButton="0" quotePrefix="0" xfId="0"/>
    <xf numFmtId="165" fontId="25" fillId="0" borderId="0" pivotButton="0" quotePrefix="0" xfId="0"/>
    <xf numFmtId="0" fontId="0" fillId="0" borderId="3" pivotButton="0" quotePrefix="0" xfId="0"/>
    <xf numFmtId="166" fontId="30" fillId="3" borderId="1" applyAlignment="1" pivotButton="0" quotePrefix="0" xfId="0">
      <alignment horizontal="center" vertical="center" wrapText="1"/>
    </xf>
    <xf numFmtId="166" fontId="13" fillId="3" borderId="1" applyAlignment="1" pivotButton="0" quotePrefix="0" xfId="0">
      <alignment horizontal="center" vertical="center" wrapText="1"/>
    </xf>
    <xf numFmtId="166" fontId="32" fillId="2" borderId="1" applyAlignment="1" pivotButton="0" quotePrefix="0" xfId="0">
      <alignment horizontal="center" vertical="center" wrapText="1"/>
    </xf>
    <xf numFmtId="166" fontId="31" fillId="2" borderId="1" applyAlignment="1" pivotButton="0" quotePrefix="0" xfId="0">
      <alignment horizontal="center" vertical="center" wrapText="1"/>
    </xf>
    <xf numFmtId="166" fontId="32" fillId="0" borderId="1" applyAlignment="1" pivotButton="0" quotePrefix="0" xfId="0">
      <alignment horizontal="center" vertical="center" wrapText="1"/>
    </xf>
    <xf numFmtId="166" fontId="31" fillId="0" borderId="1" applyAlignment="1" pivotButton="0" quotePrefix="0" xfId="0">
      <alignment horizontal="center" vertical="center" wrapText="1"/>
    </xf>
    <xf numFmtId="166" fontId="30" fillId="0" borderId="0" pivotButton="0" quotePrefix="0" xfId="0"/>
    <xf numFmtId="0" fontId="0" fillId="0" borderId="5" pivotButton="0" quotePrefix="0" xfId="0"/>
    <xf numFmtId="0" fontId="24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</cellXfs>
  <cellStyles count="6">
    <cellStyle name="Обычный" xfId="0" builtinId="0"/>
    <cellStyle name="Обычный 2" xfId="1"/>
    <cellStyle name="Обычный 2 2" xfId="2"/>
    <cellStyle name="Обычный 7" xfId="3"/>
    <cellStyle name="Процентный" xfId="4" builtinId="5"/>
    <cellStyle name="Обычный 3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externalLink" Target="/xl/externalLinks/externalLink1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&#1058;&#1045;&#1050;&#1059;&#1065;&#1040;&#1071;%20&#1055;&#1044;_&#1057;&#1055;&#1073;&#1055;&#1059;/&#1056;&#1059;&#1041;&#1048;&#1053;/&#1056;&#1050;&#1052;_&#1056;&#1091;&#1073;&#1080;&#1085;/2023_06_16_&#1057;&#1090;&#1088;&#1091;&#1082;&#1090;&#1091;&#1088;&#1072;%20&#1094;&#1077;&#1085;&#1099;_&#1056;&#1091;&#1073;&#1080;&#1085;_&#1079;&#1072;&#1087;&#1088;&#1086;&#1089;%20&#1086;&#1090;%2018.05.23_&#1082;&#1086;&#1088;.1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структура цены"/>
      <sheetName val="Материалы"/>
      <sheetName val="Спец_обор"/>
      <sheetName val="Заработная плата"/>
      <sheetName val="Накладные"/>
      <sheetName val="командировочные"/>
      <sheetName val="Прочие прямые"/>
      <sheetName val="стор_орг"/>
    </sheetNames>
    <sheetDataSet>
      <sheetData sheetId="0">
        <row r="2">
          <cell r="A2" t="str">
            <v xml:space="preserve">Работы по теме: «Обеспечение выполнения расчетов прочности специализированного морского сооружения» </v>
          </cell>
        </row>
        <row r="3">
          <cell r="A3" t="str">
            <v>Основание: запрос АО "ЦКБ МТ "Рубин", исх. №ГГК-Ш/100-23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4"/>
  <sheetViews>
    <sheetView view="pageBreakPreview" zoomScaleNormal="100" zoomScaleSheetLayoutView="100" workbookViewId="0">
      <selection activeCell="A21" sqref="A21:B21"/>
    </sheetView>
  </sheetViews>
  <sheetFormatPr baseColWidth="8" defaultColWidth="9.140625" defaultRowHeight="15"/>
  <cols>
    <col width="5.85546875" customWidth="1" style="77" min="1" max="1"/>
    <col width="45.85546875" customWidth="1" style="77" min="2" max="2"/>
    <col width="14.28515625" customWidth="1" style="77" min="3" max="3"/>
    <col width="12.28515625" customWidth="1" style="77" min="4" max="9"/>
    <col width="9.5703125" customWidth="1" style="77" min="10" max="10"/>
    <col width="21" customWidth="1" style="77" min="11" max="11"/>
    <col width="9.140625" customWidth="1" style="77" min="12" max="13"/>
    <col width="12.42578125" bestFit="1" customWidth="1" style="77" min="14" max="14"/>
    <col width="9.140625" customWidth="1" style="77" min="15" max="16384"/>
  </cols>
  <sheetData>
    <row r="1" ht="18.75" customHeight="1" s="77">
      <c r="A1" s="131" t="inlineStr">
        <is>
          <t>СТРУКТУРА ЦЕНЫ</t>
        </is>
      </c>
      <c r="J1" s="17" t="n"/>
      <c r="K1" s="17" t="n"/>
    </row>
    <row r="2" ht="45.75" customHeight="1" s="77">
      <c r="A2" s="136" t="inlineStr">
        <is>
          <t>на выполнение научно-исследовательской работы по теме:
«ТЕМА»</t>
        </is>
      </c>
      <c r="J2" s="136" t="n"/>
      <c r="K2" s="136" t="n"/>
    </row>
    <row r="3" ht="36.75" customFormat="1" customHeight="1" s="11">
      <c r="A3" s="146" t="inlineStr">
        <is>
          <t>№
п/п</t>
        </is>
      </c>
      <c r="B3" s="146" t="inlineStr">
        <is>
          <t>Предметные статьи расходов</t>
        </is>
      </c>
      <c r="C3" s="146" t="inlineStr">
        <is>
          <t>Всего по НИР
 сумма, руб.</t>
        </is>
      </c>
      <c r="D3" s="146" t="inlineStr">
        <is>
          <t>Этап 1</t>
        </is>
      </c>
      <c r="E3" s="146" t="inlineStr">
        <is>
          <t>Этап 2</t>
        </is>
      </c>
      <c r="F3" s="146" t="inlineStr">
        <is>
          <t>Этап 3</t>
        </is>
      </c>
      <c r="G3" s="146" t="inlineStr">
        <is>
          <t>Этап 4</t>
        </is>
      </c>
      <c r="H3" s="146" t="inlineStr">
        <is>
          <t>Этап 5</t>
        </is>
      </c>
      <c r="I3" s="146" t="inlineStr">
        <is>
          <t>Этап 6</t>
        </is>
      </c>
      <c r="J3" s="20" t="n"/>
      <c r="K3" s="20" t="n"/>
      <c r="N3" s="161" t="n"/>
    </row>
    <row r="4" customFormat="1" s="11">
      <c r="A4" s="28" t="n">
        <v>1</v>
      </c>
      <c r="B4" s="26" t="inlineStr">
        <is>
          <t>Прямые расходы, в том числе:</t>
        </is>
      </c>
      <c r="C4" s="121">
        <f>SUM(D4:I4)</f>
        <v/>
      </c>
      <c r="D4" s="121">
        <f>D5+D6+D7+D10+D11+D12+D13</f>
        <v/>
      </c>
      <c r="E4" s="121">
        <f>E5+E6+E7+E10+E11+E12+E13</f>
        <v/>
      </c>
      <c r="F4" s="121">
        <f>F5+F6+F7+F10+F11+F12+F13</f>
        <v/>
      </c>
      <c r="G4" s="121">
        <f>G5+G6+G7+G10+G11+G12+G13</f>
        <v/>
      </c>
      <c r="H4" s="121">
        <f>H5+H6+H7+H10+H11+H12+H13</f>
        <v/>
      </c>
      <c r="I4" s="121">
        <f>I5+I6+I7+I10+I11+I12+I13</f>
        <v/>
      </c>
      <c r="J4" s="20" t="n"/>
      <c r="K4" s="20" t="n"/>
    </row>
    <row r="5" ht="14.25" customHeight="1" s="77">
      <c r="A5" s="28" t="inlineStr">
        <is>
          <t>1.1</t>
        </is>
      </c>
      <c r="B5" s="26" t="inlineStr">
        <is>
          <t>материалы и комплектующие</t>
        </is>
      </c>
      <c r="C5" s="121">
        <f>SUM(D5:I5)</f>
        <v/>
      </c>
      <c r="D5" s="121" t="n">
        <v>0</v>
      </c>
      <c r="E5" s="121" t="n">
        <v>0</v>
      </c>
      <c r="F5" s="121" t="n">
        <v>0</v>
      </c>
      <c r="G5" s="121" t="n">
        <v>0</v>
      </c>
      <c r="H5" s="121" t="n">
        <v>0</v>
      </c>
      <c r="I5" s="121" t="n">
        <v>0</v>
      </c>
      <c r="J5" s="21" t="n"/>
      <c r="K5" s="21" t="n"/>
    </row>
    <row r="6" ht="14.25" customHeight="1" s="77">
      <c r="A6" s="28" t="inlineStr">
        <is>
          <t>1.2</t>
        </is>
      </c>
      <c r="B6" s="26" t="inlineStr">
        <is>
          <t>специальное оборудование</t>
        </is>
      </c>
      <c r="C6" s="121">
        <f>SUM(D6:I6)</f>
        <v/>
      </c>
      <c r="D6" s="121" t="n">
        <v>0</v>
      </c>
      <c r="E6" s="121" t="n">
        <v>0</v>
      </c>
      <c r="F6" s="121" t="n">
        <v>0</v>
      </c>
      <c r="G6" s="121" t="n">
        <v>0</v>
      </c>
      <c r="H6" s="121" t="n">
        <v>0</v>
      </c>
      <c r="I6" s="121" t="n">
        <v>0</v>
      </c>
      <c r="J6" s="21" t="n"/>
      <c r="K6" s="21" t="n"/>
    </row>
    <row r="7" ht="14.25" customHeight="1" s="77">
      <c r="A7" s="28" t="inlineStr">
        <is>
          <t>1.3</t>
        </is>
      </c>
      <c r="B7" s="26" t="inlineStr">
        <is>
          <t>расходы на оплату труда:</t>
        </is>
      </c>
      <c r="C7" s="121">
        <f>SUM(D7:I7)</f>
        <v/>
      </c>
      <c r="D7" s="130" t="n">
        <v>1445532</v>
      </c>
      <c r="E7" s="130">
        <f>SUM(E8:E9)</f>
        <v/>
      </c>
      <c r="F7" s="130">
        <f>SUM(F8:F9)</f>
        <v/>
      </c>
      <c r="G7" s="130">
        <f>SUM(G8:G9)</f>
        <v/>
      </c>
      <c r="H7" s="130">
        <f>SUM(H8:H9)</f>
        <v/>
      </c>
      <c r="I7" s="130">
        <f>SUM(I8:I9)</f>
        <v/>
      </c>
      <c r="J7" s="21" t="n"/>
      <c r="K7" s="21" t="n"/>
    </row>
    <row r="8" ht="14.25" customFormat="1" customHeight="1" s="24">
      <c r="A8" s="61" t="inlineStr">
        <is>
          <t>1.3.1</t>
        </is>
      </c>
      <c r="B8" s="62" t="inlineStr">
        <is>
          <t>основная заработная плата</t>
        </is>
      </c>
      <c r="C8" s="121">
        <f>SUM(D8:I8)</f>
        <v/>
      </c>
      <c r="D8" s="129" t="n">
        <v>1330000</v>
      </c>
      <c r="E8" s="129" t="n">
        <v>760000</v>
      </c>
      <c r="F8" s="129" t="n">
        <v>570000</v>
      </c>
      <c r="G8" s="129">
        <f>'Расшифровка ФОТ'!I38</f>
        <v/>
      </c>
      <c r="H8" s="129">
        <f>'Расшифровка ФОТ'!I46</f>
        <v/>
      </c>
      <c r="I8" s="129">
        <f>'Расшифровка ФОТ'!I54</f>
        <v/>
      </c>
      <c r="J8" s="63" t="n"/>
      <c r="K8" s="63" t="n"/>
    </row>
    <row r="9" ht="14.25" customHeight="1" s="77">
      <c r="A9" s="28" t="inlineStr">
        <is>
          <t>1.3.2</t>
        </is>
      </c>
      <c r="B9" s="26" t="inlineStr">
        <is>
          <t>дополнительная заработная плата</t>
        </is>
      </c>
      <c r="C9" s="121">
        <f>SUM(D9:I9)</f>
        <v/>
      </c>
      <c r="D9" s="130" t="n">
        <v>115532</v>
      </c>
      <c r="E9" s="130" t="n">
        <v>66018</v>
      </c>
      <c r="F9" s="130" t="n">
        <v>49514</v>
      </c>
      <c r="G9" s="130">
        <f>G8*0.086866</f>
        <v/>
      </c>
      <c r="H9" s="130">
        <f>H8*0.086866</f>
        <v/>
      </c>
      <c r="I9" s="130">
        <f>I8*0.086866</f>
        <v/>
      </c>
      <c r="J9" s="21" t="n"/>
      <c r="K9" s="21" t="n"/>
    </row>
    <row r="10" ht="14.25" customHeight="1" s="77">
      <c r="A10" s="28" t="inlineStr">
        <is>
          <t>1.4</t>
        </is>
      </c>
      <c r="B10" s="26" t="inlineStr">
        <is>
          <t>обязательные отчисления от оплаты труда</t>
        </is>
      </c>
      <c r="C10" s="121">
        <f>SUM(D10:I10)</f>
        <v/>
      </c>
      <c r="D10" s="130" t="n">
        <v>436551</v>
      </c>
      <c r="E10" s="130">
        <f>E7*0.302</f>
        <v/>
      </c>
      <c r="F10" s="130">
        <f>F7*0.302</f>
        <v/>
      </c>
      <c r="G10" s="130">
        <f>G7*0.302</f>
        <v/>
      </c>
      <c r="H10" s="130">
        <f>H7*0.302</f>
        <v/>
      </c>
      <c r="I10" s="130">
        <f>I7*0.302</f>
        <v/>
      </c>
      <c r="J10" s="21" t="n"/>
      <c r="K10" s="21" t="n"/>
    </row>
    <row r="11" ht="14.25" customHeight="1" s="77">
      <c r="A11" s="28" t="inlineStr">
        <is>
          <t>1.5</t>
        </is>
      </c>
      <c r="B11" s="26" t="inlineStr">
        <is>
          <t>амортизационные отчисления</t>
        </is>
      </c>
      <c r="C11" s="121">
        <f>SUM(D11:I11)</f>
        <v/>
      </c>
      <c r="D11" s="121" t="n">
        <v>0</v>
      </c>
      <c r="E11" s="121" t="n">
        <v>0</v>
      </c>
      <c r="F11" s="121" t="n">
        <v>0</v>
      </c>
      <c r="G11" s="121" t="n">
        <v>0</v>
      </c>
      <c r="H11" s="121" t="n">
        <v>0</v>
      </c>
      <c r="I11" s="121" t="n">
        <v>0</v>
      </c>
      <c r="J11" s="21" t="n"/>
      <c r="K11" s="21" t="n"/>
    </row>
    <row r="12" ht="14.25" customHeight="1" s="77">
      <c r="A12" s="28" t="inlineStr">
        <is>
          <t>1.6</t>
        </is>
      </c>
      <c r="B12" s="26" t="inlineStr">
        <is>
          <t xml:space="preserve">прочие прямые </t>
        </is>
      </c>
      <c r="C12" s="121">
        <f>SUM(D12:I12)</f>
        <v/>
      </c>
      <c r="D12" s="121" t="n">
        <v>0</v>
      </c>
      <c r="E12" s="121" t="n">
        <v>0</v>
      </c>
      <c r="F12" s="121" t="n">
        <v>0</v>
      </c>
      <c r="G12" s="121" t="n">
        <v>0</v>
      </c>
      <c r="H12" s="121" t="n">
        <v>0</v>
      </c>
      <c r="I12" s="121" t="n">
        <v>0</v>
      </c>
      <c r="J12" s="21" t="n"/>
      <c r="K12" s="21" t="n"/>
    </row>
    <row r="13" ht="14.25" customHeight="1" s="77">
      <c r="A13" s="28" t="inlineStr">
        <is>
          <t>1.7</t>
        </is>
      </c>
      <c r="B13" s="26" t="inlineStr">
        <is>
          <t>командировки и т.п.</t>
        </is>
      </c>
      <c r="C13" s="121">
        <f>SUM(D13:I13)</f>
        <v/>
      </c>
      <c r="D13" s="121">
        <f>Командировочные!L6</f>
        <v/>
      </c>
      <c r="E13" s="121">
        <f>Командировочные!L7</f>
        <v/>
      </c>
      <c r="F13" s="121">
        <f>Командировочные!L8</f>
        <v/>
      </c>
      <c r="G13" s="121">
        <f>Командировочные!L9</f>
        <v/>
      </c>
      <c r="H13" s="121">
        <f>Командировочные!L10</f>
        <v/>
      </c>
      <c r="I13" s="121">
        <f>Командировочные!L11</f>
        <v/>
      </c>
      <c r="J13" s="21" t="n"/>
      <c r="K13" s="185" t="n"/>
    </row>
    <row r="14" ht="14.25" customHeight="1" s="77">
      <c r="A14" s="28" t="n">
        <v>2</v>
      </c>
      <c r="B14" s="26" t="inlineStr">
        <is>
          <t>Накладные расходы (хх,хх% от п.1.3.1), в том числе:</t>
        </is>
      </c>
      <c r="C14" s="121">
        <f>SUM(D14:I14)</f>
        <v/>
      </c>
      <c r="D14" s="121" t="n">
        <v>0</v>
      </c>
      <c r="E14" s="121" t="n">
        <v>0</v>
      </c>
      <c r="F14" s="121" t="n">
        <v>0</v>
      </c>
      <c r="G14" s="121" t="n">
        <v>0</v>
      </c>
      <c r="H14" s="121" t="n">
        <v>0</v>
      </c>
      <c r="I14" s="121" t="n">
        <v>0</v>
      </c>
      <c r="J14" s="27" t="n"/>
      <c r="K14" s="185" t="n"/>
      <c r="L14" s="185" t="n"/>
      <c r="M14" s="185" t="n"/>
      <c r="N14" s="185" t="n"/>
      <c r="O14" s="185" t="n"/>
      <c r="P14" s="185" t="n"/>
      <c r="Q14" s="185" t="n"/>
    </row>
    <row r="15" ht="30.75" customHeight="1" s="77">
      <c r="A15" s="28" t="inlineStr">
        <is>
          <t>2.1</t>
        </is>
      </c>
      <c r="B15" s="26" t="inlineStr">
        <is>
          <t>расходы на оплату труда административно-управленческого аппарата с отчислениями</t>
        </is>
      </c>
      <c r="C15" s="121">
        <f>SUM(D15:I15)</f>
        <v/>
      </c>
      <c r="D15" s="121" t="n">
        <v>0</v>
      </c>
      <c r="E15" s="121" t="n">
        <v>0</v>
      </c>
      <c r="F15" s="121" t="n">
        <v>0</v>
      </c>
      <c r="G15" s="121" t="n">
        <v>0</v>
      </c>
      <c r="H15" s="121" t="n">
        <v>0</v>
      </c>
      <c r="I15" s="121" t="n">
        <v>0</v>
      </c>
      <c r="J15" s="27" t="n"/>
      <c r="K15" s="27" t="n"/>
      <c r="L15" s="27" t="n"/>
      <c r="M15" s="27" t="n"/>
      <c r="N15" s="21" t="n"/>
      <c r="O15" s="21" t="n"/>
    </row>
    <row r="16" customFormat="1" s="45">
      <c r="A16" s="29" t="n">
        <v>3</v>
      </c>
      <c r="B16" s="151" t="inlineStr">
        <is>
          <t>Всего расходов собственными силами</t>
        </is>
      </c>
      <c r="C16" s="118">
        <f>SUM(D16:I16)</f>
        <v/>
      </c>
      <c r="D16" s="118">
        <f>D4+D14</f>
        <v/>
      </c>
      <c r="E16" s="118">
        <f>E4+E14</f>
        <v/>
      </c>
      <c r="F16" s="118">
        <f>F4+F14</f>
        <v/>
      </c>
      <c r="G16" s="118">
        <f>G4+G14</f>
        <v/>
      </c>
      <c r="H16" s="118">
        <f>H4+H14</f>
        <v/>
      </c>
      <c r="I16" s="118">
        <f>I4+I14</f>
        <v/>
      </c>
      <c r="J16" s="33" t="n"/>
      <c r="K16" s="33" t="n"/>
    </row>
    <row r="17" ht="25.5" customHeight="1" s="77">
      <c r="A17" s="28" t="n">
        <v>4</v>
      </c>
      <c r="B17" s="26" t="inlineStr">
        <is>
          <t xml:space="preserve">Затраты на выполнение работ сторонними организациями </t>
        </is>
      </c>
      <c r="C17" s="121">
        <f>SUM(D17:I17)</f>
        <v/>
      </c>
      <c r="D17" s="121" t="n">
        <v>0</v>
      </c>
      <c r="E17" s="121" t="n">
        <v>0</v>
      </c>
      <c r="F17" s="121" t="n">
        <v>0</v>
      </c>
      <c r="G17" s="121" t="n">
        <v>0</v>
      </c>
      <c r="H17" s="121" t="n">
        <v>0</v>
      </c>
      <c r="I17" s="121" t="n">
        <v>0</v>
      </c>
      <c r="J17" s="21" t="n"/>
      <c r="K17" s="21" t="n"/>
    </row>
    <row r="18" customFormat="1" s="45">
      <c r="A18" s="29" t="inlineStr">
        <is>
          <t>5</t>
        </is>
      </c>
      <c r="B18" s="151" t="inlineStr">
        <is>
          <t>Всего расходов</t>
        </is>
      </c>
      <c r="C18" s="111">
        <f>SUM(D18:I18)</f>
        <v/>
      </c>
      <c r="D18" s="111">
        <f>D16+D17</f>
        <v/>
      </c>
      <c r="E18" s="111">
        <f>E16+E17</f>
        <v/>
      </c>
      <c r="F18" s="111">
        <f>F16+F17</f>
        <v/>
      </c>
      <c r="G18" s="111">
        <f>G16+G17</f>
        <v/>
      </c>
      <c r="H18" s="111">
        <f>H16+H17</f>
        <v/>
      </c>
      <c r="I18" s="111">
        <f>I16+I17</f>
        <v/>
      </c>
      <c r="J18" s="33" t="n"/>
      <c r="K18" s="33" t="n"/>
      <c r="L18" s="35" t="n"/>
      <c r="M18" s="35" t="n"/>
      <c r="N18" s="35" t="n"/>
    </row>
    <row r="19">
      <c r="A19" s="28" t="inlineStr">
        <is>
          <t>6</t>
        </is>
      </c>
      <c r="B19" s="26" t="inlineStr">
        <is>
          <t xml:space="preserve">Прибыль </t>
        </is>
      </c>
      <c r="C19" s="121">
        <f>SUM(D19:I19)</f>
        <v/>
      </c>
      <c r="D19" s="121" t="n">
        <v>0</v>
      </c>
      <c r="E19" s="121" t="n">
        <v>0</v>
      </c>
      <c r="F19" s="121" t="n">
        <v>0</v>
      </c>
      <c r="G19" s="121" t="n">
        <v>0</v>
      </c>
      <c r="H19" s="121" t="n">
        <v>0</v>
      </c>
      <c r="I19" s="121" t="n">
        <v>0</v>
      </c>
      <c r="J19" s="21" t="n"/>
      <c r="K19" s="21" t="n"/>
    </row>
    <row r="20" customFormat="1" s="45">
      <c r="A20" s="29" t="inlineStr">
        <is>
          <t>7</t>
        </is>
      </c>
      <c r="B20" s="151" t="inlineStr">
        <is>
          <t>Цена договора без НДС</t>
        </is>
      </c>
      <c r="C20" s="111">
        <f>SUM(D20:I20)</f>
        <v/>
      </c>
      <c r="D20" s="111">
        <f>D18+D19</f>
        <v/>
      </c>
      <c r="E20" s="111">
        <f>E18+E19</f>
        <v/>
      </c>
      <c r="F20" s="111">
        <f>F18+F19</f>
        <v/>
      </c>
      <c r="G20" s="111">
        <f>G18+G19</f>
        <v/>
      </c>
      <c r="H20" s="111">
        <f>H18+H19</f>
        <v/>
      </c>
      <c r="I20" s="111">
        <f>I18+I19</f>
        <v/>
      </c>
      <c r="J20" s="33" t="n"/>
      <c r="K20" s="33" t="n"/>
    </row>
    <row r="21" customFormat="1" s="45">
      <c r="A21" s="28" t="inlineStr">
        <is>
          <t>8</t>
        </is>
      </c>
      <c r="B21" s="26" t="inlineStr">
        <is>
          <t>НДС</t>
        </is>
      </c>
      <c r="C21" s="121" t="n">
        <v>0</v>
      </c>
      <c r="D21" s="121" t="n">
        <v>0</v>
      </c>
      <c r="E21" s="121" t="n">
        <v>0</v>
      </c>
      <c r="F21" s="121" t="n">
        <v>0</v>
      </c>
      <c r="G21" s="121" t="n">
        <v>0</v>
      </c>
      <c r="H21" s="121" t="n">
        <v>0</v>
      </c>
      <c r="I21" s="121" t="n">
        <v>0</v>
      </c>
      <c r="J21" s="33" t="n"/>
      <c r="K21" s="33" t="n"/>
    </row>
    <row r="22" customFormat="1" s="45">
      <c r="A22" s="29" t="inlineStr">
        <is>
          <t>9</t>
        </is>
      </c>
      <c r="B22" s="151" t="inlineStr">
        <is>
          <t xml:space="preserve">Цена договора </t>
        </is>
      </c>
      <c r="C22" s="111">
        <f>C20+C21</f>
        <v/>
      </c>
      <c r="D22" s="111">
        <f>D20+D21</f>
        <v/>
      </c>
      <c r="E22" s="111">
        <f>E20+E21</f>
        <v/>
      </c>
      <c r="F22" s="111">
        <f>F20+F21</f>
        <v/>
      </c>
      <c r="G22" s="111">
        <f>G20+G21</f>
        <v/>
      </c>
      <c r="H22" s="111">
        <f>H20+H21</f>
        <v/>
      </c>
      <c r="I22" s="111">
        <f>I20+I21</f>
        <v/>
      </c>
      <c r="J22" s="33" t="n"/>
      <c r="K22" s="33" t="n"/>
    </row>
    <row r="23" ht="21.75" customHeight="1" s="77"/>
    <row r="24" ht="9.75" customHeight="1" s="77"/>
    <row r="25" ht="17.25" customHeight="1" s="77">
      <c r="A25" s="135" t="inlineStr">
        <is>
          <t>Проректор по научной работе</t>
        </is>
      </c>
      <c r="C25" s="74" t="n"/>
      <c r="D25" s="80" t="n"/>
      <c r="E25" s="80" t="n"/>
      <c r="F25" s="80" t="n"/>
      <c r="G25" s="147" t="inlineStr">
        <is>
          <t>Главный бухгалтер</t>
        </is>
      </c>
      <c r="H25" s="80" t="n"/>
      <c r="I25" s="80" t="n"/>
      <c r="J25" s="136" t="n"/>
      <c r="K25" s="136" t="n"/>
    </row>
    <row r="26" ht="7.5" customHeight="1" s="77">
      <c r="A26" s="23" t="n"/>
      <c r="B26" s="94" t="n"/>
      <c r="C26" s="85" t="n"/>
      <c r="D26" s="85" t="n"/>
      <c r="E26" s="85" t="n"/>
      <c r="F26" s="85" t="n"/>
      <c r="G26" s="85" t="n"/>
      <c r="H26" s="85" t="n"/>
      <c r="I26" s="80" t="n"/>
      <c r="J26" s="80" t="n"/>
      <c r="K26" s="80" t="n"/>
    </row>
    <row r="27" ht="24.75" customHeight="1" s="77">
      <c r="A27" s="136" t="inlineStr">
        <is>
          <t>___________/ Фомин Ю.В./___</t>
        </is>
      </c>
      <c r="C27" s="80" t="n"/>
      <c r="D27" s="71" t="n"/>
      <c r="E27" s="71" t="n"/>
      <c r="F27" s="71" t="n"/>
      <c r="G27" s="72" t="inlineStr">
        <is>
          <t>_________/Иванова Н.В./_________</t>
        </is>
      </c>
      <c r="H27" s="71" t="n"/>
      <c r="I27" s="71" t="n"/>
      <c r="J27" s="166" t="n"/>
      <c r="K27" s="166" t="n"/>
    </row>
    <row r="28" ht="11.25" customHeight="1" s="77">
      <c r="A28" s="138" t="inlineStr">
        <is>
          <t>(подпись, ФИО, дата)</t>
        </is>
      </c>
      <c r="C28" s="81" t="n"/>
      <c r="D28" s="85" t="n"/>
      <c r="E28" s="81" t="n"/>
      <c r="F28" s="81" t="n"/>
      <c r="G28" s="138" t="inlineStr">
        <is>
          <t>(подпись, ФИО, дата)</t>
        </is>
      </c>
      <c r="J28" s="138" t="n"/>
      <c r="K28" s="138" t="n"/>
    </row>
    <row r="29" ht="9.75" customHeight="1" s="77">
      <c r="A29" s="136" t="n"/>
      <c r="B29" s="85" t="n"/>
      <c r="C29" s="85" t="n"/>
      <c r="D29" s="85" t="n"/>
      <c r="E29" s="85" t="n"/>
      <c r="F29" s="85" t="n"/>
      <c r="G29" s="85" t="n"/>
      <c r="H29" s="85" t="n"/>
      <c r="I29" s="136" t="n"/>
      <c r="J29" s="136" t="n"/>
      <c r="K29" s="136" t="n"/>
    </row>
    <row r="30" ht="15.75" customHeight="1" s="77">
      <c r="A30" s="162" t="inlineStr">
        <is>
          <t>Руководитель договора</t>
        </is>
      </c>
      <c r="C30" s="80" t="n"/>
      <c r="D30" s="80" t="n"/>
      <c r="E30" s="80" t="n"/>
      <c r="F30" s="80" t="n"/>
      <c r="G30" s="72" t="inlineStr">
        <is>
          <t>Начальник ОФЭАУ НИОКР</t>
        </is>
      </c>
      <c r="H30" s="80" t="n"/>
      <c r="I30" s="80" t="n"/>
      <c r="J30" s="136" t="n"/>
      <c r="K30" s="136" t="n"/>
    </row>
    <row r="31" ht="28.5" customHeight="1" s="77">
      <c r="A31" s="166" t="inlineStr">
        <is>
          <t>__________/Боровков А.И./ ______</t>
        </is>
      </c>
      <c r="C31" s="71" t="n"/>
      <c r="D31" s="85" t="n"/>
      <c r="E31" s="71" t="n"/>
      <c r="F31" s="71" t="n"/>
      <c r="G31" s="72" t="inlineStr">
        <is>
          <t>_________/Васецкая Н.О./_________</t>
        </is>
      </c>
      <c r="H31" s="71" t="n"/>
      <c r="I31" s="71" t="n"/>
      <c r="J31" s="166" t="n"/>
      <c r="K31" s="166" t="n"/>
    </row>
    <row r="32" ht="15" customHeight="1" s="77">
      <c r="A32" s="138" t="inlineStr">
        <is>
          <t>(подпись, ФИО, дата)</t>
        </is>
      </c>
      <c r="C32" s="81" t="n"/>
      <c r="D32" s="85" t="n"/>
      <c r="E32" s="81" t="n"/>
      <c r="F32" s="81" t="n"/>
      <c r="G32" s="137" t="inlineStr">
        <is>
          <t>(подпись, ФИО, дата)</t>
        </is>
      </c>
      <c r="J32" s="138" t="n"/>
      <c r="K32" s="138" t="n"/>
    </row>
    <row r="33" ht="10.5" customHeight="1" s="77">
      <c r="A33" s="136" t="n"/>
      <c r="B33" s="85" t="n"/>
      <c r="C33" s="85" t="n"/>
      <c r="D33" s="85" t="n"/>
      <c r="E33" s="85" t="n"/>
      <c r="F33" s="85" t="n"/>
      <c r="G33" s="85" t="n"/>
      <c r="H33" s="85" t="n"/>
      <c r="I33" s="136" t="n"/>
      <c r="J33" s="136" t="n"/>
      <c r="K33" s="136" t="n"/>
    </row>
    <row r="34" ht="15.75" customHeight="1" s="77">
      <c r="A34" s="136" t="inlineStr">
        <is>
          <t>Ответственный исполнитель</t>
        </is>
      </c>
      <c r="C34" s="80" t="n"/>
      <c r="D34" s="85" t="n"/>
      <c r="E34" s="85" t="n"/>
      <c r="F34" s="85" t="n"/>
      <c r="G34" s="85" t="n"/>
      <c r="H34" s="85" t="n"/>
      <c r="I34" s="136" t="n"/>
      <c r="J34" s="136" t="n"/>
      <c r="K34" s="136" t="n"/>
    </row>
    <row r="35" ht="32.25" customHeight="1" s="77">
      <c r="A35" s="166" t="inlineStr">
        <is>
          <t>________/Фамилия И.О./_______</t>
        </is>
      </c>
      <c r="C35" s="71" t="n"/>
      <c r="D35" s="85" t="n"/>
      <c r="E35" s="85" t="n"/>
      <c r="F35" s="85" t="n"/>
      <c r="G35" s="85" t="n"/>
      <c r="H35" s="85" t="n"/>
      <c r="I35" s="85" t="n"/>
      <c r="J35" s="166" t="n"/>
      <c r="K35" s="166" t="n"/>
    </row>
    <row r="36" ht="15.75" customHeight="1" s="77">
      <c r="A36" s="138" t="inlineStr">
        <is>
          <t>(подпись, ФИО, дата)</t>
        </is>
      </c>
      <c r="C36" s="81" t="n"/>
      <c r="D36" s="85" t="n"/>
      <c r="E36" s="85" t="n"/>
      <c r="F36" s="85" t="n"/>
      <c r="G36" s="85" t="n"/>
      <c r="H36" s="85" t="n"/>
      <c r="I36" s="85" t="n"/>
      <c r="J36" s="136" t="n"/>
      <c r="K36" s="136" t="n"/>
    </row>
    <row r="37" ht="15.75" customHeight="1" s="77">
      <c r="B37" s="136" t="n"/>
      <c r="J37" s="136" t="n"/>
      <c r="K37" s="136" t="n"/>
    </row>
    <row r="38" ht="15.75" customHeight="1" s="77">
      <c r="J38" s="136" t="n"/>
      <c r="K38" s="136" t="n"/>
    </row>
    <row r="39" ht="15.75" customHeight="1" s="77">
      <c r="J39" s="136" t="n"/>
      <c r="K39" s="136" t="n"/>
    </row>
    <row r="40" ht="15.75" customHeight="1" s="77">
      <c r="J40" s="136" t="n"/>
      <c r="K40" s="136" t="n"/>
    </row>
    <row r="41" ht="15.75" customHeight="1" s="77">
      <c r="J41" s="136" t="n"/>
      <c r="K41" s="136" t="n"/>
    </row>
    <row r="42" ht="15.75" customHeight="1" s="77">
      <c r="J42" s="136" t="n"/>
      <c r="K42" s="136" t="n"/>
    </row>
    <row r="43" ht="15.75" customHeight="1" s="77">
      <c r="J43" s="136" t="n"/>
      <c r="K43" s="136" t="n"/>
    </row>
    <row r="44" ht="15.75" customHeight="1" s="77">
      <c r="B44" s="136" t="n"/>
      <c r="J44" s="136" t="n"/>
      <c r="K44" s="136" t="n"/>
    </row>
  </sheetData>
  <mergeCells count="13">
    <mergeCell ref="A30:B30"/>
    <mergeCell ref="G32:I32"/>
    <mergeCell ref="A2:I2"/>
    <mergeCell ref="G28:I28"/>
    <mergeCell ref="A25:B25"/>
    <mergeCell ref="A28:B28"/>
    <mergeCell ref="A1:I1"/>
    <mergeCell ref="A32:B32"/>
    <mergeCell ref="A36:B36"/>
    <mergeCell ref="A27:B27"/>
    <mergeCell ref="A31:B31"/>
    <mergeCell ref="A34:B34"/>
    <mergeCell ref="A35:B35"/>
  </mergeCells>
  <pageMargins left="0.7" right="0.7" top="0.75" bottom="0.75" header="0.3" footer="0.3"/>
  <pageSetup orientation="landscape" paperSize="9" scale="93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7"/>
  <sheetViews>
    <sheetView view="pageBreakPreview" zoomScaleNormal="100" zoomScaleSheetLayoutView="100" workbookViewId="0">
      <selection activeCell="I5" sqref="I5"/>
    </sheetView>
  </sheetViews>
  <sheetFormatPr baseColWidth="8" defaultRowHeight="15"/>
  <cols>
    <col width="40.42578125" customWidth="1" style="77" min="2" max="2"/>
    <col width="22.7109375" customWidth="1" style="77" min="3" max="3"/>
    <col width="16.7109375" customWidth="1" style="77" min="4" max="4"/>
    <col width="6.7109375" customWidth="1" style="77" min="5" max="5"/>
    <col width="9.28515625" customWidth="1" style="77" min="6" max="6"/>
    <col width="13.42578125" customWidth="1" style="77" min="7" max="8"/>
    <col width="16.7109375" customWidth="1" style="77" min="9" max="9"/>
  </cols>
  <sheetData>
    <row r="1" ht="15.75" customHeight="1" s="77">
      <c r="A1" s="4" t="n"/>
    </row>
    <row r="2" ht="18.75" customFormat="1" customHeight="1" s="43">
      <c r="A2" s="136" t="inlineStr">
        <is>
          <t xml:space="preserve">Расшифровка статьи «Материалы и комплектующие» </t>
        </is>
      </c>
      <c r="J2" s="136" t="n"/>
    </row>
    <row r="3" ht="69" customFormat="1" customHeight="1" s="43">
      <c r="A3" s="142">
        <f>тема</f>
        <v/>
      </c>
      <c r="B3" s="186" t="n"/>
      <c r="C3" s="186" t="n"/>
      <c r="D3" s="186" t="n"/>
      <c r="E3" s="186" t="n"/>
      <c r="F3" s="186" t="n"/>
      <c r="G3" s="186" t="n"/>
      <c r="H3" s="186" t="n"/>
    </row>
    <row r="4" ht="87.75" customHeight="1" s="77">
      <c r="A4" s="146" t="inlineStr">
        <is>
          <t>№ п/п</t>
        </is>
      </c>
      <c r="B4" s="146" t="inlineStr">
        <is>
          <t>Наименование материала/ комплектующих</t>
        </is>
      </c>
      <c r="C4" s="146" t="inlineStr">
        <is>
          <t>Модель/ производитель/ технические характеристики</t>
        </is>
      </c>
      <c r="D4" s="26" t="inlineStr">
        <is>
          <t>Срок поставки</t>
        </is>
      </c>
      <c r="E4" s="26" t="inlineStr">
        <is>
          <t>Ед. изм.</t>
        </is>
      </c>
      <c r="F4" s="146" t="inlineStr">
        <is>
          <t>Кол-во, шт.</t>
        </is>
      </c>
      <c r="G4" s="146" t="inlineStr">
        <is>
          <t>Цена за ед., руб.</t>
        </is>
      </c>
      <c r="H4" s="146" t="inlineStr">
        <is>
          <t>Сумма, руб.</t>
        </is>
      </c>
      <c r="J4" s="141" t="n"/>
    </row>
    <row r="5" ht="17.25" customHeight="1" s="77">
      <c r="A5" s="146" t="n">
        <v>1</v>
      </c>
      <c r="B5" s="146" t="n">
        <v>2</v>
      </c>
      <c r="C5" s="146" t="n">
        <v>3</v>
      </c>
      <c r="D5" s="146" t="n">
        <v>4</v>
      </c>
      <c r="E5" s="146" t="n">
        <v>5</v>
      </c>
      <c r="F5" s="146" t="n">
        <v>6</v>
      </c>
      <c r="G5" s="146" t="n">
        <v>7</v>
      </c>
      <c r="H5" s="146" t="n">
        <v>8</v>
      </c>
    </row>
    <row r="6" ht="34.5" customHeight="1" s="77">
      <c r="A6" s="98" t="inlineStr">
        <is>
          <t>-</t>
        </is>
      </c>
      <c r="B6" s="101" t="inlineStr">
        <is>
          <t>-</t>
        </is>
      </c>
      <c r="C6" s="101" t="inlineStr">
        <is>
          <t>-</t>
        </is>
      </c>
      <c r="D6" s="101" t="inlineStr">
        <is>
          <t>-</t>
        </is>
      </c>
      <c r="E6" s="101" t="inlineStr">
        <is>
          <t>-</t>
        </is>
      </c>
      <c r="F6" s="101" t="inlineStr">
        <is>
          <t>-</t>
        </is>
      </c>
      <c r="G6" s="101" t="inlineStr">
        <is>
          <t>-</t>
        </is>
      </c>
      <c r="H6" s="101" t="inlineStr">
        <is>
          <t>-</t>
        </is>
      </c>
      <c r="I6" s="64" t="n"/>
    </row>
    <row r="7" ht="34.5" customHeight="1" s="77">
      <c r="A7" s="98" t="inlineStr">
        <is>
          <t>-</t>
        </is>
      </c>
      <c r="B7" s="101" t="inlineStr">
        <is>
          <t>-</t>
        </is>
      </c>
      <c r="C7" s="101" t="inlineStr">
        <is>
          <t>-</t>
        </is>
      </c>
      <c r="D7" s="101" t="inlineStr">
        <is>
          <t>-</t>
        </is>
      </c>
      <c r="E7" s="101" t="inlineStr">
        <is>
          <t>-</t>
        </is>
      </c>
      <c r="F7" s="101" t="inlineStr">
        <is>
          <t>-</t>
        </is>
      </c>
      <c r="G7" s="101" t="inlineStr">
        <is>
          <t>-</t>
        </is>
      </c>
      <c r="H7" s="101" t="inlineStr">
        <is>
          <t>-</t>
        </is>
      </c>
      <c r="I7" s="48" t="n"/>
    </row>
    <row r="8" ht="34.5" customHeight="1" s="77">
      <c r="A8" s="98" t="inlineStr">
        <is>
          <t>-</t>
        </is>
      </c>
      <c r="B8" s="101" t="inlineStr">
        <is>
          <t>-</t>
        </is>
      </c>
      <c r="C8" s="101" t="inlineStr">
        <is>
          <t>-</t>
        </is>
      </c>
      <c r="D8" s="101" t="inlineStr">
        <is>
          <t>-</t>
        </is>
      </c>
      <c r="E8" s="101" t="inlineStr">
        <is>
          <t>-</t>
        </is>
      </c>
      <c r="F8" s="101" t="inlineStr">
        <is>
          <t>-</t>
        </is>
      </c>
      <c r="G8" s="101" t="inlineStr">
        <is>
          <t>-</t>
        </is>
      </c>
      <c r="H8" s="101" t="inlineStr">
        <is>
          <t>-</t>
        </is>
      </c>
      <c r="I8" s="48" t="n"/>
    </row>
    <row r="9" ht="17.25" customHeight="1" s="77">
      <c r="A9" s="96" t="n"/>
      <c r="B9" s="97" t="inlineStr">
        <is>
          <t>ИТОГО:</t>
        </is>
      </c>
      <c r="C9" s="98" t="inlineStr">
        <is>
          <t>Х</t>
        </is>
      </c>
      <c r="D9" s="98" t="inlineStr">
        <is>
          <t>Х</t>
        </is>
      </c>
      <c r="E9" s="98" t="inlineStr">
        <is>
          <t>Х</t>
        </is>
      </c>
      <c r="F9" s="98" t="n"/>
      <c r="G9" s="98" t="inlineStr">
        <is>
          <t>Х</t>
        </is>
      </c>
      <c r="H9" s="99" t="inlineStr">
        <is>
          <t>-</t>
        </is>
      </c>
    </row>
    <row r="10" ht="33.75" customHeight="1" s="77">
      <c r="A10" s="5" t="inlineStr">
        <is>
          <t> </t>
        </is>
      </c>
    </row>
    <row r="11" ht="15.75" customHeight="1" s="77">
      <c r="A11" s="76" t="n"/>
      <c r="B11" s="76" t="inlineStr">
        <is>
          <t>Руководитель договора</t>
        </is>
      </c>
      <c r="C11" s="76" t="n"/>
      <c r="D11" s="80" t="n"/>
      <c r="E11" s="72" t="n"/>
      <c r="F11" s="72" t="inlineStr">
        <is>
          <t>Начальник ОФЭАУ НИОКР</t>
        </is>
      </c>
      <c r="G11" s="80" t="n"/>
    </row>
    <row r="12" ht="28.5" customHeight="1" s="77">
      <c r="A12" s="140" t="inlineStr">
        <is>
          <t>__________/Боровков А.И./ ______</t>
        </is>
      </c>
      <c r="D12" s="71" t="n"/>
      <c r="E12" s="71" t="n"/>
      <c r="F12" s="72" t="inlineStr">
        <is>
          <t>_________/Васецкая Н.О./_________</t>
        </is>
      </c>
      <c r="G12" s="71" t="n"/>
    </row>
    <row r="13" ht="15.75" customHeight="1" s="77">
      <c r="A13" s="138" t="inlineStr">
        <is>
          <t>(подпись, ФИО, дата)</t>
        </is>
      </c>
      <c r="D13" s="81" t="n"/>
      <c r="E13" s="81" t="n"/>
      <c r="F13" s="137" t="inlineStr">
        <is>
          <t>(подпись, ФИО, дата)</t>
        </is>
      </c>
    </row>
    <row r="14" ht="15.75" customHeight="1" s="77">
      <c r="A14" s="136" t="n"/>
      <c r="G14" s="136" t="n"/>
    </row>
    <row r="15" ht="15.75" customHeight="1" s="77">
      <c r="B15" s="122" t="inlineStr">
        <is>
          <t>Ответственный исполнитель</t>
        </is>
      </c>
      <c r="C15" s="122" t="n"/>
      <c r="G15" s="136" t="n"/>
    </row>
    <row r="16" ht="31.5" customHeight="1" s="77">
      <c r="A16" s="140" t="inlineStr">
        <is>
          <t>________/Фамилия И.О./_______</t>
        </is>
      </c>
      <c r="G16" s="136" t="n"/>
    </row>
    <row r="17" ht="11.25" customHeight="1" s="77">
      <c r="A17" s="138" t="inlineStr">
        <is>
          <t>(подпись, ФИО, дата)</t>
        </is>
      </c>
    </row>
  </sheetData>
  <mergeCells count="10">
    <mergeCell ref="A3:H3"/>
    <mergeCell ref="A13:C13"/>
    <mergeCell ref="J4:Q4"/>
    <mergeCell ref="F13:H13"/>
    <mergeCell ref="A2:H2"/>
    <mergeCell ref="A17:C17"/>
    <mergeCell ref="J2:Q2"/>
    <mergeCell ref="A12:C12"/>
    <mergeCell ref="G16:G17"/>
    <mergeCell ref="A16:C16"/>
  </mergeCells>
  <pageMargins left="0.7" right="0.7" top="0.75" bottom="0.75" header="0.3" footer="0.3"/>
  <pageSetup orientation="landscape" paperSize="9" scale="9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4"/>
  <sheetViews>
    <sheetView view="pageBreakPreview" zoomScaleNormal="100" zoomScaleSheetLayoutView="100" workbookViewId="0">
      <selection activeCell="F3" sqref="F3"/>
    </sheetView>
  </sheetViews>
  <sheetFormatPr baseColWidth="8" defaultRowHeight="15"/>
  <cols>
    <col width="36.5703125" customWidth="1" style="77" min="2" max="2"/>
    <col width="36.28515625" customWidth="1" style="77" min="3" max="3"/>
    <col width="16.7109375" customWidth="1" style="77" min="4" max="4"/>
    <col width="13.42578125" customWidth="1" style="77" min="5" max="5"/>
    <col width="16" customWidth="1" style="77" min="6" max="6"/>
    <col width="13.42578125" customWidth="1" style="77" min="7" max="7"/>
    <col width="16.7109375" customWidth="1" style="77" min="8" max="8"/>
  </cols>
  <sheetData>
    <row r="1" ht="15.75" customFormat="1" customHeight="1" s="43">
      <c r="A1" s="136" t="inlineStr">
        <is>
          <t xml:space="preserve">Расшифровка статьи «Специальное оборудование» </t>
        </is>
      </c>
      <c r="I1" s="136" t="n"/>
    </row>
    <row r="2" ht="79.5" customFormat="1" customHeight="1" s="43">
      <c r="A2" s="142">
        <f>тема</f>
        <v/>
      </c>
      <c r="B2" s="186" t="n"/>
      <c r="C2" s="186" t="n"/>
      <c r="D2" s="186" t="n"/>
      <c r="E2" s="186" t="n"/>
      <c r="F2" s="186" t="n"/>
      <c r="G2" s="186" t="n"/>
    </row>
    <row r="3" ht="48" customHeight="1" s="77">
      <c r="A3" s="146" t="inlineStr">
        <is>
          <t>№ п/п</t>
        </is>
      </c>
      <c r="B3" s="146" t="inlineStr">
        <is>
          <t>Наименование оборудования</t>
        </is>
      </c>
      <c r="C3" s="146" t="inlineStr">
        <is>
          <t>Производитель/ спецификация</t>
        </is>
      </c>
      <c r="D3" s="26" t="inlineStr">
        <is>
          <t>Срок поставки</t>
        </is>
      </c>
      <c r="E3" s="146" t="inlineStr">
        <is>
          <t>Кол-во, шт.</t>
        </is>
      </c>
      <c r="F3" s="146" t="inlineStr">
        <is>
          <t>Цена за ед., руб.</t>
        </is>
      </c>
      <c r="G3" s="146" t="inlineStr">
        <is>
          <t>Сумма, руб.</t>
        </is>
      </c>
      <c r="H3" s="124" t="n"/>
      <c r="I3" s="124" t="n"/>
      <c r="J3" s="124" t="n"/>
      <c r="K3" s="124" t="n"/>
      <c r="L3" s="124" t="n"/>
      <c r="M3" s="124" t="n"/>
      <c r="N3" s="124" t="n"/>
      <c r="O3" s="124" t="n"/>
    </row>
    <row r="4" ht="17.25" customHeight="1" s="77">
      <c r="A4" s="146" t="n">
        <v>1</v>
      </c>
      <c r="B4" s="146" t="n">
        <v>2</v>
      </c>
      <c r="C4" s="146" t="n">
        <v>3</v>
      </c>
      <c r="D4" s="146" t="n">
        <v>4</v>
      </c>
      <c r="E4" s="146" t="n">
        <v>5</v>
      </c>
      <c r="F4" s="146" t="n">
        <v>6</v>
      </c>
      <c r="G4" s="146" t="n">
        <v>7</v>
      </c>
    </row>
    <row r="5" ht="33.75" customHeight="1" s="77">
      <c r="A5" s="98" t="inlineStr">
        <is>
          <t>-</t>
        </is>
      </c>
      <c r="B5" s="98" t="inlineStr">
        <is>
          <t>-</t>
        </is>
      </c>
      <c r="C5" s="98" t="inlineStr">
        <is>
          <t>-</t>
        </is>
      </c>
      <c r="D5" s="98" t="inlineStr">
        <is>
          <t>-</t>
        </is>
      </c>
      <c r="E5" s="98" t="inlineStr">
        <is>
          <t>-</t>
        </is>
      </c>
      <c r="F5" s="98" t="inlineStr">
        <is>
          <t>-</t>
        </is>
      </c>
      <c r="G5" s="98" t="inlineStr">
        <is>
          <t>-</t>
        </is>
      </c>
    </row>
    <row r="6" ht="33.75" customHeight="1" s="77">
      <c r="A6" s="98" t="inlineStr">
        <is>
          <t>-</t>
        </is>
      </c>
      <c r="B6" s="98" t="inlineStr">
        <is>
          <t>-</t>
        </is>
      </c>
      <c r="C6" s="98" t="inlineStr">
        <is>
          <t>-</t>
        </is>
      </c>
      <c r="D6" s="98" t="inlineStr">
        <is>
          <t>-</t>
        </is>
      </c>
      <c r="E6" s="98" t="inlineStr">
        <is>
          <t>-</t>
        </is>
      </c>
      <c r="F6" s="98" t="inlineStr">
        <is>
          <t>-</t>
        </is>
      </c>
      <c r="G6" s="98" t="inlineStr">
        <is>
          <t>-</t>
        </is>
      </c>
    </row>
    <row r="7" ht="33.75" customHeight="1" s="77">
      <c r="A7" s="98" t="inlineStr">
        <is>
          <t>-</t>
        </is>
      </c>
      <c r="B7" s="98" t="inlineStr">
        <is>
          <t>-</t>
        </is>
      </c>
      <c r="C7" s="98" t="inlineStr">
        <is>
          <t>-</t>
        </is>
      </c>
      <c r="D7" s="98" t="inlineStr">
        <is>
          <t>-</t>
        </is>
      </c>
      <c r="E7" s="98" t="inlineStr">
        <is>
          <t>-</t>
        </is>
      </c>
      <c r="F7" s="98" t="inlineStr">
        <is>
          <t>-</t>
        </is>
      </c>
      <c r="G7" s="98" t="inlineStr">
        <is>
          <t>-</t>
        </is>
      </c>
    </row>
    <row r="8" ht="17.25" customHeight="1" s="77">
      <c r="A8" s="96" t="n"/>
      <c r="B8" s="97" t="inlineStr">
        <is>
          <t>ИТОГО:</t>
        </is>
      </c>
      <c r="C8" s="98" t="inlineStr">
        <is>
          <t>Х</t>
        </is>
      </c>
      <c r="D8" s="98" t="inlineStr">
        <is>
          <t>Х</t>
        </is>
      </c>
      <c r="E8" s="98" t="inlineStr">
        <is>
          <t>Х</t>
        </is>
      </c>
      <c r="F8" s="98" t="inlineStr">
        <is>
          <t>Х</t>
        </is>
      </c>
      <c r="G8" s="98" t="inlineStr">
        <is>
          <t>-</t>
        </is>
      </c>
    </row>
    <row r="9" ht="33.75" customHeight="1" s="77">
      <c r="A9" s="5" t="inlineStr">
        <is>
          <t> </t>
        </is>
      </c>
    </row>
    <row r="10" ht="15.75" customHeight="1" s="77">
      <c r="A10" s="162" t="inlineStr">
        <is>
          <t>Руководитель договора</t>
        </is>
      </c>
      <c r="D10" s="80" t="n"/>
      <c r="E10" s="140" t="inlineStr">
        <is>
          <t>Начальник ОФЭАУ НИОКР</t>
        </is>
      </c>
    </row>
    <row r="11" ht="40.5" customHeight="1" s="77">
      <c r="A11" s="140" t="inlineStr">
        <is>
          <t>__________/Боровков А.И./ ______</t>
        </is>
      </c>
      <c r="D11" s="71" t="n"/>
      <c r="E11" s="140" t="inlineStr">
        <is>
          <t>_________/Васецкая Н.О./_________</t>
        </is>
      </c>
    </row>
    <row r="12" ht="15.75" customHeight="1" s="77">
      <c r="A12" s="138" t="inlineStr">
        <is>
          <t>(подпись, ФИО, дата)</t>
        </is>
      </c>
      <c r="D12" s="81" t="n"/>
      <c r="E12" s="81" t="n"/>
      <c r="F12" s="41" t="inlineStr">
        <is>
          <t>(подпись, ФИО, дата)</t>
        </is>
      </c>
      <c r="G12" s="41" t="n"/>
    </row>
    <row r="13" ht="15.75" customHeight="1" s="77">
      <c r="A13" s="136" t="n"/>
      <c r="G13" s="136" t="n"/>
    </row>
    <row r="14" ht="15.75" customHeight="1" s="77">
      <c r="A14" s="161" t="inlineStr">
        <is>
          <t>Ответственный исполнитель</t>
        </is>
      </c>
      <c r="G14" s="136" t="n"/>
    </row>
    <row r="15" ht="38.25" customHeight="1" s="77">
      <c r="A15" s="140" t="inlineStr">
        <is>
          <t>________/Фамилия И.О./_______</t>
        </is>
      </c>
      <c r="G15" s="136" t="n"/>
    </row>
    <row r="16" ht="11.25" customHeight="1" s="77">
      <c r="A16" s="138" t="inlineStr">
        <is>
          <t>(подпись, ФИО, дата)</t>
        </is>
      </c>
    </row>
    <row r="17" ht="15.75" customHeight="1" s="77">
      <c r="B17" s="136" t="n"/>
    </row>
    <row r="18"/>
    <row r="19"/>
    <row r="20"/>
    <row r="21"/>
    <row r="22"/>
    <row r="23"/>
    <row r="24" ht="15.75" customHeight="1" s="77">
      <c r="B24" s="136" t="n"/>
    </row>
  </sheetData>
  <mergeCells count="12">
    <mergeCell ref="A10:C10"/>
    <mergeCell ref="E10:G10"/>
    <mergeCell ref="A11:C11"/>
    <mergeCell ref="A1:G1"/>
    <mergeCell ref="E11:G11"/>
    <mergeCell ref="A14:C14"/>
    <mergeCell ref="G15:G24"/>
    <mergeCell ref="A2:G2"/>
    <mergeCell ref="A12:C12"/>
    <mergeCell ref="A16:C16"/>
    <mergeCell ref="I1:P1"/>
    <mergeCell ref="A15:C15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9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72"/>
  <sheetViews>
    <sheetView tabSelected="1" view="pageBreakPreview" topLeftCell="A2" zoomScaleNormal="100" zoomScaleSheetLayoutView="100" workbookViewId="0">
      <selection activeCell="J4" sqref="J4"/>
    </sheetView>
  </sheetViews>
  <sheetFormatPr baseColWidth="8" defaultRowHeight="15"/>
  <cols>
    <col width="7.140625" customWidth="1" style="77" min="1" max="1"/>
    <col width="10.28515625" customWidth="1" style="77" min="2" max="2"/>
    <col width="24" customWidth="1" style="77" min="3" max="3"/>
    <col width="25.42578125" customWidth="1" style="77" min="4" max="4"/>
    <col width="12" customWidth="1" style="77" min="5" max="5"/>
    <col width="14.85546875" customWidth="1" style="77" min="6" max="6"/>
    <col width="14.28515625" customWidth="1" style="77" min="7" max="7"/>
    <col width="18.42578125" customWidth="1" style="77" min="8" max="8"/>
    <col width="18.42578125" customWidth="1" style="59" min="9" max="9"/>
    <col width="13.140625" bestFit="1" customWidth="1" style="172" min="10" max="10"/>
    <col width="12.140625" customWidth="1" style="173" min="11" max="11"/>
    <col width="14.140625" customWidth="1" style="128" min="12" max="12"/>
    <col width="7.5703125" bestFit="1" customWidth="1" style="187" min="13" max="13"/>
    <col width="15" customWidth="1" style="77" min="16" max="17"/>
  </cols>
  <sheetData>
    <row r="1" hidden="1" ht="14.25" customFormat="1" customHeight="1" s="43">
      <c r="I1" s="56" t="n"/>
      <c r="J1" s="172" t="n"/>
      <c r="K1" s="173" t="n"/>
      <c r="L1" s="128" t="n"/>
      <c r="M1" s="188" t="n"/>
    </row>
    <row r="2" ht="15.75" customFormat="1" customHeight="1" s="43">
      <c r="B2" s="136" t="inlineStr">
        <is>
          <t xml:space="preserve">Расшифровка статьи «Расходы на оплату труда» </t>
        </is>
      </c>
      <c r="J2" s="174" t="inlineStr">
        <is>
          <t>Справка НР и НТП от №</t>
        </is>
      </c>
      <c r="K2" s="174" t="n"/>
      <c r="L2" s="128" t="n"/>
      <c r="M2" s="188" t="n"/>
      <c r="N2" s="88" t="n"/>
      <c r="O2" s="88" t="n"/>
      <c r="P2" s="88" t="n"/>
      <c r="Q2" s="88" t="n"/>
      <c r="R2" s="88" t="n"/>
      <c r="S2" s="89" t="n"/>
    </row>
    <row r="3" ht="54" customFormat="1" customHeight="1" s="43">
      <c r="B3" s="142" t="inlineStr">
        <is>
          <t>на выполнение научно-исследовательской работы по гранту РНФ 26-71-10042, шифр C_GRANT-26</t>
        </is>
      </c>
      <c r="C3" s="186" t="n"/>
      <c r="D3" s="186" t="n"/>
      <c r="E3" s="186" t="n"/>
      <c r="F3" s="186" t="n"/>
      <c r="G3" s="186" t="n"/>
      <c r="H3" s="186" t="n"/>
      <c r="I3" s="186" t="n"/>
      <c r="J3" s="174" t="inlineStr">
        <is>
          <t>Письмо Минэкономразвития от хх.10.202х № с индексами ИПЦ и ИРЗ</t>
        </is>
      </c>
      <c r="K3" s="174" t="n"/>
      <c r="L3" s="128" t="n"/>
      <c r="M3" s="188" t="n"/>
      <c r="N3" s="88" t="n"/>
      <c r="O3" s="88" t="n"/>
      <c r="P3" s="88" t="n"/>
      <c r="Q3" s="88" t="n"/>
      <c r="R3" s="88" t="n"/>
      <c r="S3" s="89" t="n"/>
    </row>
    <row r="4" ht="36" customHeight="1" s="77">
      <c r="A4" s="146" t="inlineStr">
        <is>
          <t xml:space="preserve">№ </t>
        </is>
      </c>
      <c r="B4" s="150" t="inlineStr">
        <is>
          <t>№ этапа</t>
        </is>
      </c>
      <c r="C4" s="146" t="inlineStr">
        <is>
          <t>Тип работ</t>
        </is>
      </c>
      <c r="D4" s="146" t="inlineStr">
        <is>
          <t>Должность</t>
        </is>
      </c>
      <c r="E4" s="146" t="inlineStr">
        <is>
          <t>Кол-во человек</t>
        </is>
      </c>
      <c r="F4" s="171" t="inlineStr">
        <is>
          <t>Тудоемкость на 1 чел., мес ЛИБО час</t>
        </is>
      </c>
      <c r="G4" s="146" t="inlineStr">
        <is>
          <t>Кол-во чел/мес.</t>
        </is>
      </c>
      <c r="H4" s="146" t="inlineStr">
        <is>
          <t>Сумма месячной з/пл., руб.</t>
        </is>
      </c>
      <c r="I4" s="100" t="inlineStr">
        <is>
          <t>Итого ФОТ, руб.</t>
        </is>
      </c>
      <c r="J4" s="174" t="inlineStr">
        <is>
          <t>Среднемесячное количество рабочих часов в 2026 г.- 164,25, в 2027 г. -165,58</t>
        </is>
      </c>
      <c r="K4" s="175" t="n"/>
      <c r="N4" s="88" t="n"/>
      <c r="O4" s="90" t="n"/>
      <c r="P4" s="91" t="n"/>
      <c r="Q4" s="91" t="n"/>
      <c r="R4" s="88" t="n"/>
      <c r="S4" s="89" t="n"/>
    </row>
    <row r="5">
      <c r="A5" s="146" t="inlineStr">
        <is>
          <t>п/п</t>
        </is>
      </c>
      <c r="B5" s="189" t="n"/>
      <c r="C5" s="189" t="n"/>
      <c r="D5" s="189" t="n"/>
      <c r="E5" s="189" t="n"/>
      <c r="F5" s="189" t="n"/>
      <c r="G5" s="189" t="n"/>
      <c r="H5" s="189" t="n"/>
      <c r="I5" s="146" t="inlineStr">
        <is>
          <t>(гр6*гр7)</t>
        </is>
      </c>
      <c r="K5" s="175" t="n"/>
      <c r="N5" s="88" t="n"/>
      <c r="O5" s="90" t="n"/>
      <c r="P5" s="90" t="n"/>
      <c r="Q5" s="90" t="n"/>
      <c r="R5" s="88" t="n"/>
    </row>
    <row r="6" ht="26.25" customHeight="1" s="77">
      <c r="A6" s="146" t="n">
        <v>1</v>
      </c>
      <c r="B6" s="146" t="n">
        <v>2</v>
      </c>
      <c r="C6" s="146" t="n">
        <v>3</v>
      </c>
      <c r="D6" s="146" t="n">
        <v>4</v>
      </c>
      <c r="E6" s="146" t="n">
        <v>5</v>
      </c>
      <c r="F6" s="171" t="inlineStr">
        <is>
          <t>скрыть</t>
        </is>
      </c>
      <c r="G6" s="146" t="n">
        <v>6</v>
      </c>
      <c r="H6" s="146" t="n">
        <v>7</v>
      </c>
      <c r="I6" s="146" t="n">
        <v>8</v>
      </c>
      <c r="J6" s="176" t="inlineStr">
        <is>
          <t>НАЧАЛО ЭТАПА</t>
        </is>
      </c>
      <c r="K6" s="177" t="inlineStr">
        <is>
          <t>ОКОНЧАНИЕ ЭТАПА</t>
        </is>
      </c>
      <c r="N6" s="88" t="n"/>
      <c r="O6" s="90" t="n"/>
      <c r="P6" s="90" t="n"/>
      <c r="Q6" s="90" t="n"/>
      <c r="R6" s="88" t="n"/>
    </row>
    <row r="7" ht="12.95" customHeight="1" s="77">
      <c r="A7" s="146" t="n">
        <v>1</v>
      </c>
      <c r="B7" s="146" t="inlineStr">
        <is>
          <t>Этап 1</t>
        </is>
      </c>
      <c r="C7" s="146" t="inlineStr">
        <is>
          <t>НИР по гранту</t>
        </is>
      </c>
      <c r="D7" s="125" t="inlineStr">
        <is>
          <t>Научный сотрудник</t>
        </is>
      </c>
      <c r="E7" s="125" t="n">
        <v>1</v>
      </c>
      <c r="F7" s="190" t="n">
        <v>4</v>
      </c>
      <c r="G7" s="191" t="n">
        <v>4</v>
      </c>
      <c r="H7" s="127" t="n">
        <v>100000</v>
      </c>
      <c r="I7" s="57" t="n">
        <v>400000</v>
      </c>
      <c r="J7" s="178" t="inlineStr">
        <is>
          <t>01.06.2026</t>
        </is>
      </c>
      <c r="K7" s="179" t="inlineStr">
        <is>
          <t>30.09.2026</t>
        </is>
      </c>
      <c r="N7" s="88" t="n"/>
      <c r="O7" s="90" t="n"/>
      <c r="P7" s="90" t="n"/>
      <c r="Q7" s="90" t="n"/>
      <c r="R7" s="88" t="n"/>
    </row>
    <row r="8" ht="12.95" customHeight="1" s="77">
      <c r="A8" s="146" t="n">
        <v>2</v>
      </c>
      <c r="B8" t="inlineStr">
        <is>
          <t>Этап 1</t>
        </is>
      </c>
      <c r="C8" s="146" t="inlineStr">
        <is>
          <t>НИР по гранту</t>
        </is>
      </c>
      <c r="D8" s="125" t="inlineStr">
        <is>
          <t>Инженер 1 категории</t>
        </is>
      </c>
      <c r="E8" s="125" t="n">
        <v>1</v>
      </c>
      <c r="F8" s="190" t="n">
        <v>4</v>
      </c>
      <c r="G8" s="191" t="n">
        <v>4</v>
      </c>
      <c r="H8" s="127" t="n">
        <v>90000</v>
      </c>
      <c r="I8" s="57" t="n">
        <v>360000</v>
      </c>
      <c r="J8" s="178" t="inlineStr">
        <is>
          <t>01.06.2026</t>
        </is>
      </c>
      <c r="K8" s="179" t="inlineStr">
        <is>
          <t>30.09.2026</t>
        </is>
      </c>
      <c r="N8" s="88" t="n"/>
      <c r="O8" s="90" t="n"/>
      <c r="P8" s="90" t="n"/>
      <c r="Q8" s="90" t="n"/>
      <c r="R8" s="88" t="n"/>
    </row>
    <row r="9" ht="12.95" customHeight="1" s="77">
      <c r="A9" s="146" t="n">
        <v>3</v>
      </c>
      <c r="B9" t="inlineStr">
        <is>
          <t>Этап 2</t>
        </is>
      </c>
      <c r="C9" s="146" t="inlineStr">
        <is>
          <t>НИР по гранту</t>
        </is>
      </c>
      <c r="D9" s="125" t="inlineStr">
        <is>
          <t>Научный сотрудник</t>
        </is>
      </c>
      <c r="E9" s="125" t="n">
        <v>1</v>
      </c>
      <c r="F9" s="190" t="n">
        <v>3</v>
      </c>
      <c r="G9" s="191" t="n">
        <v>3</v>
      </c>
      <c r="H9" s="127" t="n">
        <v>100000</v>
      </c>
      <c r="I9" s="57" t="n">
        <v>300000</v>
      </c>
      <c r="J9" s="178" t="inlineStr">
        <is>
          <t>01.10.2026</t>
        </is>
      </c>
      <c r="K9" s="179" t="inlineStr">
        <is>
          <t>31.12.2026</t>
        </is>
      </c>
      <c r="N9" s="88" t="n"/>
      <c r="O9" s="90" t="n"/>
      <c r="P9" s="90" t="n"/>
      <c r="Q9" s="90" t="n"/>
      <c r="R9" s="88" t="n"/>
    </row>
    <row r="10" ht="12.95" customHeight="1" s="77">
      <c r="A10" s="146" t="n">
        <v>4</v>
      </c>
      <c r="B10" t="inlineStr">
        <is>
          <t>Этап 2</t>
        </is>
      </c>
      <c r="C10" s="146" t="inlineStr">
        <is>
          <t>НИР по гранту</t>
        </is>
      </c>
      <c r="D10" s="125" t="inlineStr">
        <is>
          <t>Инженер 1 категории</t>
        </is>
      </c>
      <c r="E10" s="125" t="n">
        <v>1</v>
      </c>
      <c r="F10" s="190" t="n">
        <v>3</v>
      </c>
      <c r="G10" s="191" t="n">
        <v>3</v>
      </c>
      <c r="H10" s="127" t="n">
        <v>90000</v>
      </c>
      <c r="I10" s="57" t="n">
        <v>270000</v>
      </c>
      <c r="J10" s="178" t="inlineStr">
        <is>
          <t>01.10.2026</t>
        </is>
      </c>
      <c r="K10" s="179" t="inlineStr">
        <is>
          <t>31.12.2026</t>
        </is>
      </c>
    </row>
    <row r="11" ht="12.95" customHeight="1" s="77">
      <c r="A11" s="146" t="n"/>
      <c r="B11" t="inlineStr">
        <is>
          <t>ИТОГО:</t>
        </is>
      </c>
      <c r="C11" s="146" t="n"/>
      <c r="D11" s="125" t="n"/>
      <c r="E11" s="125" t="n"/>
      <c r="F11" s="190" t="n"/>
      <c r="G11" s="191" t="n">
        <v>14</v>
      </c>
      <c r="H11" s="127" t="n"/>
      <c r="I11" s="57" t="n">
        <v>1330000</v>
      </c>
      <c r="J11" s="178" t="n"/>
      <c r="K11" s="179" t="n"/>
    </row>
    <row r="12" ht="12.95" customHeight="1" s="77">
      <c r="A12" s="146" t="n"/>
      <c r="C12" s="146" t="n"/>
      <c r="D12" s="125" t="n"/>
      <c r="E12" s="125" t="n"/>
      <c r="F12" s="190" t="n"/>
      <c r="G12" s="191" t="n"/>
      <c r="H12" s="127" t="n"/>
      <c r="I12" s="57" t="n"/>
      <c r="J12" s="178" t="n"/>
      <c r="K12" s="179" t="n"/>
    </row>
    <row r="13" ht="12.95" customHeight="1" s="77">
      <c r="A13" s="146" t="n"/>
      <c r="C13" s="146" t="n"/>
      <c r="D13" s="125" t="n"/>
      <c r="E13" s="125" t="n"/>
      <c r="F13" s="190" t="n"/>
      <c r="G13" s="191" t="n"/>
      <c r="H13" s="127" t="n"/>
      <c r="I13" s="57" t="n"/>
      <c r="J13" s="178" t="n"/>
      <c r="K13" s="179" t="n"/>
    </row>
    <row r="14" ht="12.95" customHeight="1" s="77">
      <c r="A14" s="146" t="n"/>
      <c r="B14" s="101" t="n"/>
      <c r="C14" s="146" t="n"/>
      <c r="D14" s="146" t="n"/>
      <c r="E14" s="102" t="n"/>
      <c r="F14" s="192" t="n"/>
      <c r="G14" s="193" t="n"/>
      <c r="H14" s="104" t="n"/>
      <c r="I14" s="105" t="n"/>
      <c r="J14" s="180" t="n"/>
      <c r="K14" s="181" t="n"/>
    </row>
    <row r="15" ht="12.95" customHeight="1" s="77">
      <c r="A15" s="146" t="n"/>
      <c r="B15" s="146" t="n"/>
      <c r="C15" s="146" t="n"/>
      <c r="D15" s="125" t="n"/>
      <c r="E15" s="125" t="n"/>
      <c r="F15" s="190" t="n"/>
      <c r="G15" s="191" t="n"/>
      <c r="H15" s="127" t="n"/>
      <c r="I15" s="57" t="n"/>
      <c r="J15" s="180" t="n"/>
      <c r="K15" s="182" t="n"/>
    </row>
    <row r="16" ht="12.95" customHeight="1" s="77">
      <c r="A16" s="146" t="n"/>
      <c r="C16" s="146" t="n"/>
      <c r="D16" s="125" t="n"/>
      <c r="E16" s="125" t="n"/>
      <c r="F16" s="190" t="n"/>
      <c r="G16" s="191" t="n"/>
      <c r="H16" s="127" t="n"/>
      <c r="I16" s="57" t="n"/>
      <c r="J16" s="180" t="n"/>
      <c r="K16" s="182" t="n"/>
    </row>
    <row r="17" ht="12.95" customHeight="1" s="77">
      <c r="A17" s="146" t="n"/>
      <c r="C17" s="146" t="n"/>
      <c r="D17" s="125" t="n"/>
      <c r="E17" s="125" t="n"/>
      <c r="F17" s="190" t="n"/>
      <c r="G17" s="191" t="n"/>
      <c r="H17" s="127" t="n"/>
      <c r="I17" s="57" t="n"/>
      <c r="J17" s="180" t="n"/>
      <c r="K17" s="182" t="n"/>
    </row>
    <row r="18" ht="12.95" customHeight="1" s="77">
      <c r="A18" s="146" t="n"/>
      <c r="C18" s="146" t="n"/>
      <c r="D18" s="125" t="n"/>
      <c r="E18" s="125" t="n"/>
      <c r="F18" s="190" t="n"/>
      <c r="G18" s="191" t="n"/>
      <c r="H18" s="127" t="n"/>
      <c r="I18" s="57" t="n"/>
      <c r="J18" s="180" t="n"/>
      <c r="K18" s="182" t="n"/>
    </row>
    <row r="19" ht="12.95" customHeight="1" s="77">
      <c r="A19" s="146" t="n"/>
      <c r="C19" s="146" t="n"/>
      <c r="D19" s="125" t="n"/>
      <c r="E19" s="125" t="n"/>
      <c r="F19" s="190" t="n"/>
      <c r="G19" s="191" t="n"/>
      <c r="H19" s="127" t="n"/>
      <c r="I19" s="57" t="n"/>
      <c r="J19" s="180" t="n"/>
      <c r="K19" s="182" t="n"/>
    </row>
    <row r="20" ht="12.95" customHeight="1" s="77">
      <c r="A20" s="146" t="n"/>
      <c r="C20" s="146" t="n"/>
      <c r="D20" s="125" t="n"/>
      <c r="E20" s="125" t="n"/>
      <c r="F20" s="190" t="n"/>
      <c r="G20" s="191" t="n"/>
      <c r="H20" s="127" t="n"/>
      <c r="I20" s="57" t="n"/>
      <c r="J20" s="180" t="n"/>
      <c r="K20" s="182" t="n"/>
    </row>
    <row r="21" ht="12.95" customHeight="1" s="77">
      <c r="A21" s="146" t="n"/>
      <c r="C21" s="146" t="n"/>
      <c r="D21" s="125" t="n"/>
      <c r="E21" s="125" t="n"/>
      <c r="F21" s="190" t="n"/>
      <c r="G21" s="191" t="n"/>
      <c r="H21" s="127" t="n"/>
      <c r="I21" s="57" t="n"/>
      <c r="J21" s="180" t="n"/>
      <c r="K21" s="182" t="n"/>
    </row>
    <row r="22" ht="12.95" customHeight="1" s="77">
      <c r="A22" s="146" t="n"/>
      <c r="B22" s="101" t="n"/>
      <c r="C22" s="146" t="n"/>
      <c r="D22" s="146" t="n"/>
      <c r="E22" s="102" t="n"/>
      <c r="F22" s="192" t="n"/>
      <c r="G22" s="193" t="n"/>
      <c r="H22" s="104" t="n"/>
      <c r="I22" s="105" t="n"/>
      <c r="J22" s="180" t="n"/>
    </row>
    <row r="23" ht="12.95" customHeight="1" s="77">
      <c r="A23" s="146" t="n"/>
      <c r="B23" s="146" t="n"/>
      <c r="C23" s="146" t="n"/>
      <c r="D23" s="125" t="n"/>
      <c r="E23" s="125" t="n"/>
      <c r="F23" s="190" t="n"/>
      <c r="G23" s="191" t="n"/>
      <c r="H23" s="127" t="n"/>
      <c r="I23" s="57" t="n"/>
      <c r="J23" s="180" t="n"/>
      <c r="K23" s="182" t="n"/>
    </row>
    <row r="24" ht="12.95" customHeight="1" s="77">
      <c r="A24" s="146" t="n"/>
      <c r="C24" s="146" t="n"/>
      <c r="D24" s="125" t="n"/>
      <c r="E24" s="125" t="n"/>
      <c r="F24" s="190" t="n"/>
      <c r="G24" s="191" t="n"/>
      <c r="H24" s="127" t="n"/>
      <c r="I24" s="57" t="n"/>
      <c r="J24" s="180" t="n"/>
      <c r="K24" s="182" t="n"/>
    </row>
    <row r="25" ht="12.95" customHeight="1" s="77">
      <c r="A25" s="146" t="n"/>
      <c r="C25" s="146" t="n"/>
      <c r="D25" s="125" t="n"/>
      <c r="E25" s="125" t="n"/>
      <c r="F25" s="190" t="n"/>
      <c r="G25" s="191" t="n"/>
      <c r="H25" s="127" t="n"/>
      <c r="I25" s="57" t="n"/>
      <c r="J25" s="180" t="n"/>
      <c r="K25" s="182" t="n"/>
    </row>
    <row r="26" ht="12.95" customHeight="1" s="77">
      <c r="A26" s="146" t="n"/>
      <c r="C26" s="146" t="n"/>
      <c r="D26" s="125" t="n"/>
      <c r="E26" s="125" t="n"/>
      <c r="F26" s="190" t="n"/>
      <c r="G26" s="191" t="n"/>
      <c r="H26" s="127" t="n"/>
      <c r="I26" s="57" t="n"/>
      <c r="J26" s="180" t="n"/>
      <c r="K26" s="182" t="n"/>
    </row>
    <row r="27" ht="12.95" customHeight="1" s="77">
      <c r="A27" s="146" t="n"/>
      <c r="C27" s="146" t="n"/>
      <c r="D27" s="125" t="n"/>
      <c r="E27" s="125" t="n"/>
      <c r="F27" s="190" t="n"/>
      <c r="G27" s="191" t="n"/>
      <c r="H27" s="127" t="n"/>
      <c r="I27" s="57" t="n"/>
      <c r="J27" s="180" t="n"/>
      <c r="K27" s="182" t="n"/>
    </row>
    <row r="28" ht="12.95" customHeight="1" s="77">
      <c r="A28" s="146" t="n"/>
      <c r="C28" s="146" t="n"/>
      <c r="D28" s="125" t="n"/>
      <c r="E28" s="125" t="n"/>
      <c r="F28" s="190" t="n"/>
      <c r="G28" s="191" t="n"/>
      <c r="H28" s="127" t="n"/>
      <c r="I28" s="57" t="n"/>
      <c r="J28" s="180" t="n"/>
      <c r="K28" s="182" t="n"/>
    </row>
    <row r="29" ht="12.95" customHeight="1" s="77">
      <c r="A29" s="146" t="n"/>
      <c r="C29" s="146" t="n"/>
      <c r="D29" s="125" t="n"/>
      <c r="E29" s="125" t="n"/>
      <c r="F29" s="190" t="n"/>
      <c r="G29" s="191" t="n"/>
      <c r="H29" s="127" t="n"/>
      <c r="I29" s="57" t="n"/>
      <c r="J29" s="180" t="n"/>
      <c r="K29" s="182" t="n"/>
    </row>
    <row r="30" ht="12.95" customHeight="1" s="77">
      <c r="A30" s="146" t="n"/>
      <c r="B30" s="101" t="n"/>
      <c r="C30" s="146" t="n"/>
      <c r="D30" s="146" t="n"/>
      <c r="E30" s="102" t="n"/>
      <c r="F30" s="192" t="n"/>
      <c r="G30" s="193" t="n"/>
      <c r="H30" s="104" t="n"/>
      <c r="I30" s="105" t="n"/>
      <c r="J30" s="180" t="n"/>
    </row>
    <row r="31" ht="12.95" customHeight="1" s="77">
      <c r="A31" s="146" t="n"/>
      <c r="B31" s="146" t="n"/>
      <c r="C31" s="146" t="n"/>
      <c r="D31" s="125" t="n"/>
      <c r="E31" s="125" t="n"/>
      <c r="F31" s="190" t="n"/>
      <c r="G31" s="191" t="n"/>
      <c r="H31" s="127" t="n"/>
      <c r="I31" s="57" t="n"/>
      <c r="J31" s="180" t="n"/>
      <c r="K31" s="182" t="n"/>
    </row>
    <row r="32" ht="12.95" customHeight="1" s="77">
      <c r="A32" s="146" t="n"/>
      <c r="C32" s="146" t="n"/>
      <c r="D32" s="125" t="n"/>
      <c r="E32" s="125" t="n"/>
      <c r="F32" s="190" t="n"/>
      <c r="G32" s="191" t="n"/>
      <c r="H32" s="127" t="n"/>
      <c r="I32" s="57" t="n"/>
      <c r="J32" s="180" t="n"/>
      <c r="K32" s="182" t="n"/>
    </row>
    <row r="33" ht="12.95" customHeight="1" s="77">
      <c r="A33" s="146" t="n"/>
      <c r="C33" s="146" t="n"/>
      <c r="D33" s="125" t="n"/>
      <c r="E33" s="125" t="n"/>
      <c r="F33" s="190" t="n"/>
      <c r="G33" s="191" t="n"/>
      <c r="H33" s="127" t="n"/>
      <c r="I33" s="57" t="n"/>
      <c r="J33" s="180" t="n"/>
      <c r="K33" s="182" t="n"/>
    </row>
    <row r="34" ht="12.95" customHeight="1" s="77">
      <c r="A34" s="146" t="n"/>
      <c r="C34" s="146" t="n"/>
      <c r="D34" s="125" t="n"/>
      <c r="E34" s="125" t="n"/>
      <c r="F34" s="190" t="n"/>
      <c r="G34" s="191" t="n"/>
      <c r="H34" s="127" t="n"/>
      <c r="I34" s="57" t="n"/>
      <c r="J34" s="180" t="n"/>
      <c r="K34" s="182" t="n"/>
    </row>
    <row r="35" ht="12.95" customHeight="1" s="77">
      <c r="A35" s="146" t="n"/>
      <c r="C35" s="146" t="n"/>
      <c r="D35" s="125" t="n"/>
      <c r="E35" s="125" t="n"/>
      <c r="F35" s="190" t="n"/>
      <c r="G35" s="191" t="n"/>
      <c r="H35" s="127" t="n"/>
      <c r="I35" s="57" t="n"/>
      <c r="J35" s="180" t="n"/>
      <c r="K35" s="182" t="n"/>
    </row>
    <row r="36" ht="12.95" customHeight="1" s="77">
      <c r="A36" s="146" t="n"/>
      <c r="C36" s="146" t="n"/>
      <c r="D36" s="125" t="n"/>
      <c r="E36" s="125" t="n"/>
      <c r="F36" s="190" t="n"/>
      <c r="G36" s="191" t="n"/>
      <c r="H36" s="127" t="n"/>
      <c r="I36" s="57" t="n"/>
      <c r="J36" s="180" t="n"/>
      <c r="K36" s="182" t="n"/>
    </row>
    <row r="37" ht="12.95" customHeight="1" s="77">
      <c r="A37" s="146" t="n"/>
      <c r="C37" s="146" t="n"/>
      <c r="D37" s="125" t="n"/>
      <c r="E37" s="125" t="n"/>
      <c r="F37" s="190" t="n"/>
      <c r="G37" s="191" t="n"/>
      <c r="H37" s="127" t="n"/>
      <c r="I37" s="57" t="n"/>
      <c r="J37" s="180" t="n"/>
      <c r="K37" s="182" t="n"/>
    </row>
    <row r="38" ht="12.95" customHeight="1" s="77">
      <c r="A38" s="146" t="n"/>
      <c r="B38" s="101" t="n"/>
      <c r="C38" s="146" t="n"/>
      <c r="D38" s="146" t="n"/>
      <c r="E38" s="102" t="n"/>
      <c r="F38" s="192" t="n"/>
      <c r="G38" s="193" t="n"/>
      <c r="H38" s="104" t="n"/>
      <c r="I38" s="105" t="n"/>
      <c r="J38" s="180" t="n"/>
    </row>
    <row r="39" ht="12.95" customHeight="1" s="77">
      <c r="A39" s="146" t="n"/>
      <c r="B39" s="146" t="n"/>
      <c r="C39" s="146" t="n"/>
      <c r="D39" s="125" t="n"/>
      <c r="E39" s="125" t="n"/>
      <c r="F39" s="190" t="n"/>
      <c r="G39" s="191" t="n"/>
      <c r="H39" s="127" t="n"/>
      <c r="I39" s="57" t="n"/>
      <c r="J39" s="180" t="n"/>
      <c r="K39" s="182" t="n"/>
    </row>
    <row r="40" ht="12.95" customHeight="1" s="77">
      <c r="A40" s="146" t="n"/>
      <c r="C40" s="146" t="n"/>
      <c r="D40" s="125" t="n"/>
      <c r="E40" s="125" t="n"/>
      <c r="F40" s="190" t="n"/>
      <c r="G40" s="191" t="n"/>
      <c r="H40" s="127" t="n"/>
      <c r="I40" s="57" t="n"/>
      <c r="J40" s="180" t="n"/>
      <c r="K40" s="182" t="n"/>
    </row>
    <row r="41" ht="12.95" customHeight="1" s="77">
      <c r="A41" s="146" t="n"/>
      <c r="C41" s="146" t="n"/>
      <c r="D41" s="125" t="n"/>
      <c r="E41" s="125" t="n"/>
      <c r="F41" s="190" t="n"/>
      <c r="G41" s="191" t="n"/>
      <c r="H41" s="127" t="n"/>
      <c r="I41" s="57" t="n"/>
      <c r="J41" s="180" t="n"/>
      <c r="K41" s="182" t="n"/>
    </row>
    <row r="42" ht="12.95" customHeight="1" s="77">
      <c r="A42" s="146" t="n"/>
      <c r="C42" s="146" t="n"/>
      <c r="D42" s="125" t="n"/>
      <c r="E42" s="125" t="n"/>
      <c r="F42" s="190" t="n"/>
      <c r="G42" s="191" t="n"/>
      <c r="H42" s="127" t="n"/>
      <c r="I42" s="57" t="n"/>
      <c r="J42" s="180" t="n"/>
      <c r="K42" s="182" t="n"/>
    </row>
    <row r="43" ht="12.95" customHeight="1" s="77">
      <c r="A43" s="146" t="n"/>
      <c r="C43" s="146" t="n"/>
      <c r="D43" s="125" t="n"/>
      <c r="E43" s="125" t="n"/>
      <c r="F43" s="190" t="n"/>
      <c r="G43" s="191" t="n"/>
      <c r="H43" s="127" t="n"/>
      <c r="I43" s="57" t="n"/>
      <c r="J43" s="180" t="n"/>
      <c r="K43" s="182" t="n"/>
    </row>
    <row r="44" ht="12.95" customHeight="1" s="77">
      <c r="A44" s="146" t="n"/>
      <c r="C44" s="146" t="n"/>
      <c r="D44" s="125" t="n"/>
      <c r="E44" s="125" t="n"/>
      <c r="F44" s="190" t="n"/>
      <c r="G44" s="191" t="n"/>
      <c r="H44" s="127" t="n"/>
      <c r="I44" s="57" t="n"/>
      <c r="J44" s="180" t="n"/>
      <c r="K44" s="182" t="n"/>
    </row>
    <row r="45" ht="12.95" customHeight="1" s="77">
      <c r="A45" s="146" t="n"/>
      <c r="C45" s="146" t="n"/>
      <c r="D45" s="125" t="n"/>
      <c r="E45" s="125" t="n"/>
      <c r="F45" s="190" t="n"/>
      <c r="G45" s="191" t="n"/>
      <c r="H45" s="127" t="n"/>
      <c r="I45" s="57" t="n"/>
      <c r="J45" s="180" t="n"/>
      <c r="K45" s="182" t="n"/>
    </row>
    <row r="46" ht="12.95" customHeight="1" s="77">
      <c r="A46" s="146" t="n"/>
      <c r="B46" s="101" t="n"/>
      <c r="C46" s="146" t="n"/>
      <c r="D46" s="146" t="n"/>
      <c r="E46" s="102" t="n"/>
      <c r="F46" s="192" t="n"/>
      <c r="G46" s="193" t="n"/>
      <c r="H46" s="104" t="n"/>
      <c r="I46" s="105" t="n"/>
      <c r="J46" s="180" t="n"/>
    </row>
    <row r="47" ht="12.95" customHeight="1" s="77">
      <c r="A47" s="146" t="n"/>
      <c r="B47" s="146" t="n"/>
      <c r="C47" s="146" t="n"/>
      <c r="D47" s="125" t="n"/>
      <c r="E47" s="125" t="n"/>
      <c r="F47" s="190" t="n"/>
      <c r="G47" s="191" t="n"/>
      <c r="H47" s="127" t="n"/>
      <c r="I47" s="57" t="n"/>
      <c r="J47" s="180" t="n"/>
      <c r="K47" s="182" t="n"/>
    </row>
    <row r="48" ht="12.95" customHeight="1" s="77">
      <c r="A48" s="146" t="n"/>
      <c r="C48" s="146" t="n"/>
      <c r="D48" s="125" t="n"/>
      <c r="E48" s="125" t="n"/>
      <c r="F48" s="190" t="n"/>
      <c r="G48" s="191" t="n"/>
      <c r="H48" s="127" t="n"/>
      <c r="I48" s="57" t="n"/>
      <c r="J48" s="180" t="n"/>
      <c r="K48" s="182" t="n"/>
    </row>
    <row r="49" ht="12.95" customHeight="1" s="77">
      <c r="A49" s="146" t="n"/>
      <c r="C49" s="146" t="n"/>
      <c r="D49" s="125" t="n"/>
      <c r="E49" s="125" t="n"/>
      <c r="F49" s="190" t="n"/>
      <c r="G49" s="191" t="n"/>
      <c r="H49" s="127" t="n"/>
      <c r="I49" s="57" t="n"/>
      <c r="J49" s="180" t="n"/>
      <c r="K49" s="182" t="n"/>
    </row>
    <row r="50" ht="12.95" customHeight="1" s="77">
      <c r="A50" s="146" t="n"/>
      <c r="C50" s="146" t="n"/>
      <c r="D50" s="125" t="n"/>
      <c r="E50" s="125" t="n"/>
      <c r="F50" s="190" t="n"/>
      <c r="G50" s="191" t="n"/>
      <c r="H50" s="127" t="n"/>
      <c r="I50" s="57" t="n"/>
      <c r="J50" s="180" t="n"/>
      <c r="K50" s="182" t="n"/>
    </row>
    <row r="51" ht="12.95" customHeight="1" s="77">
      <c r="A51" s="146" t="n"/>
      <c r="C51" s="146" t="n"/>
      <c r="D51" s="125" t="n"/>
      <c r="E51" s="125" t="n"/>
      <c r="F51" s="190" t="n"/>
      <c r="G51" s="191" t="n"/>
      <c r="H51" s="127" t="n"/>
      <c r="I51" s="57" t="n"/>
      <c r="J51" s="180" t="n"/>
      <c r="K51" s="182" t="n"/>
    </row>
    <row r="52" ht="12.95" customHeight="1" s="77">
      <c r="A52" s="146" t="n"/>
      <c r="C52" s="146" t="n"/>
      <c r="D52" s="125" t="n"/>
      <c r="E52" s="125" t="n"/>
      <c r="F52" s="190" t="n"/>
      <c r="G52" s="191" t="n"/>
      <c r="H52" s="127" t="n"/>
      <c r="I52" s="57" t="n"/>
      <c r="J52" s="180" t="n"/>
      <c r="K52" s="182" t="n"/>
    </row>
    <row r="53" ht="12.95" customHeight="1" s="77">
      <c r="A53" s="146" t="n"/>
      <c r="C53" s="146" t="n"/>
      <c r="D53" s="125" t="n"/>
      <c r="E53" s="125" t="n"/>
      <c r="F53" s="190" t="n"/>
      <c r="G53" s="191" t="n"/>
      <c r="H53" s="127" t="n"/>
      <c r="I53" s="57" t="n"/>
      <c r="J53" s="180" t="n"/>
      <c r="K53" s="182" t="n"/>
    </row>
    <row r="54" ht="12.95" customHeight="1" s="77">
      <c r="A54" s="146" t="n"/>
      <c r="B54" s="101" t="n"/>
      <c r="C54" s="146" t="n"/>
      <c r="D54" s="146" t="n"/>
      <c r="E54" s="106" t="n"/>
      <c r="F54" s="194" t="n"/>
      <c r="G54" s="195" t="n"/>
      <c r="H54" s="104" t="n"/>
      <c r="I54" s="108" t="n"/>
      <c r="J54" s="180" t="n"/>
      <c r="K54" s="196" t="n"/>
    </row>
    <row r="55" ht="14.25" customHeight="1" s="77">
      <c r="A55" s="146" t="n"/>
      <c r="B55" s="109" t="n"/>
      <c r="C55" s="110" t="n"/>
      <c r="D55" s="110" t="n"/>
      <c r="E55" s="110" t="n"/>
      <c r="F55" s="170" t="n"/>
      <c r="G55" s="110" t="n"/>
      <c r="H55" s="110" t="n"/>
      <c r="I55" s="111" t="n"/>
      <c r="J55" s="180" t="n"/>
    </row>
    <row r="56"/>
    <row r="57"/>
    <row r="58" ht="15.75" customHeight="1" s="77">
      <c r="A58" s="162" t="n"/>
      <c r="H58" s="147" t="n"/>
      <c r="J58" s="184" t="n"/>
    </row>
    <row r="59" ht="36" customHeight="1" s="77">
      <c r="A59" s="166" t="n"/>
      <c r="H59" s="72" t="n"/>
      <c r="I59" s="58" t="n"/>
      <c r="J59" s="184" t="n"/>
    </row>
    <row r="60" ht="15" customHeight="1" s="77">
      <c r="A60" s="138" t="n"/>
      <c r="H60" s="138" t="n"/>
      <c r="J60" s="184" t="n"/>
    </row>
    <row r="61" ht="15.75" customHeight="1" s="77">
      <c r="A61" s="136" t="n"/>
      <c r="G61" s="136" t="n"/>
    </row>
    <row r="62" ht="17.25" customHeight="1" s="77">
      <c r="A62" s="161" t="n"/>
      <c r="G62" s="136" t="n"/>
    </row>
    <row r="63" ht="39" customHeight="1" s="77">
      <c r="A63" s="140" t="n"/>
      <c r="G63" s="136" t="n"/>
    </row>
    <row r="64" ht="15" customHeight="1" s="77">
      <c r="A64" s="138" t="n"/>
    </row>
    <row r="65" ht="15.75" customHeight="1" s="77">
      <c r="B65" s="136" t="n"/>
    </row>
    <row r="66"/>
    <row r="67"/>
    <row r="68"/>
    <row r="69"/>
    <row r="70"/>
    <row r="71"/>
    <row r="72" ht="15.75" customHeight="1" s="77">
      <c r="B72" s="136" t="n"/>
    </row>
  </sheetData>
  <mergeCells count="9">
    <mergeCell ref="C4:C5"/>
    <mergeCell ref="E4:E5"/>
    <mergeCell ref="B3:I3"/>
    <mergeCell ref="B2:I2"/>
    <mergeCell ref="D4:D5"/>
    <mergeCell ref="G4:G5"/>
    <mergeCell ref="B4:B5"/>
    <mergeCell ref="F4:F5"/>
    <mergeCell ref="H4:H5"/>
  </mergeCells>
  <pageMargins left="0.7" right="0.7" top="0.75" bottom="0.75" header="0.3" footer="0.3"/>
  <pageSetup orientation="landscape" paperSize="9" scale="90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view="pageBreakPreview" zoomScaleNormal="100" zoomScaleSheetLayoutView="100" workbookViewId="0">
      <selection activeCell="H4" sqref="H4"/>
    </sheetView>
  </sheetViews>
  <sheetFormatPr baseColWidth="8" defaultRowHeight="15"/>
  <cols>
    <col width="8.5703125" customWidth="1" style="85" min="1" max="1"/>
    <col width="19.85546875" customWidth="1" style="85" min="2" max="2"/>
    <col width="35.5703125" customWidth="1" style="85" min="3" max="3"/>
    <col width="19.7109375" customWidth="1" style="85" min="4" max="4"/>
    <col width="19.42578125" customWidth="1" style="85" min="5" max="5"/>
    <col width="19.7109375" customWidth="1" style="85" min="6" max="6"/>
    <col width="26.28515625" customWidth="1" style="85" min="7" max="7"/>
    <col width="9.140625" customWidth="1" style="85" min="8" max="16384"/>
  </cols>
  <sheetData>
    <row r="1" ht="15.75" customFormat="1" customHeight="1" s="82">
      <c r="A1" s="136" t="inlineStr">
        <is>
          <t>Расшифровка статьи «Амортизационные отчисления»</t>
        </is>
      </c>
    </row>
    <row r="2" ht="64.5" customFormat="1" customHeight="1" s="82">
      <c r="A2" s="136">
        <f>тема</f>
        <v/>
      </c>
    </row>
    <row r="3" ht="63" customHeight="1" s="77">
      <c r="A3" s="146" t="inlineStr">
        <is>
          <t>№ 
этапа</t>
        </is>
      </c>
      <c r="B3" s="146" t="inlineStr">
        <is>
          <t>Наименование оборудования</t>
        </is>
      </c>
      <c r="C3" s="146" t="inlineStr">
        <is>
          <t xml:space="preserve">Применение для выполнения СЧ НИР
по теме
</t>
        </is>
      </c>
      <c r="D3" s="146" t="inlineStr">
        <is>
          <t>Балансовая стоимость, руб.</t>
        </is>
      </c>
      <c r="E3" s="146" t="inlineStr">
        <is>
          <t>Амортизация в месяц, руб.</t>
        </is>
      </c>
      <c r="F3" s="146" t="inlineStr">
        <is>
          <t>Число месяцев исполь-зования</t>
        </is>
      </c>
      <c r="G3" s="146" t="inlineStr">
        <is>
          <t>Итого амортизация, руб. (гр.5*гр.6)</t>
        </is>
      </c>
    </row>
    <row r="4">
      <c r="A4" s="146" t="n">
        <v>1</v>
      </c>
      <c r="B4" s="146" t="n">
        <v>2</v>
      </c>
      <c r="C4" s="146" t="n">
        <v>3</v>
      </c>
      <c r="D4" s="146" t="n">
        <v>4</v>
      </c>
      <c r="E4" s="146" t="n">
        <v>5</v>
      </c>
      <c r="F4" s="146" t="n">
        <v>6</v>
      </c>
      <c r="G4" s="146" t="n">
        <v>7</v>
      </c>
    </row>
    <row r="5" ht="30.75" customHeight="1" s="77">
      <c r="A5" s="146" t="inlineStr">
        <is>
          <t>-</t>
        </is>
      </c>
      <c r="B5" s="146" t="inlineStr">
        <is>
          <t>-</t>
        </is>
      </c>
      <c r="C5" s="146" t="inlineStr">
        <is>
          <t>-</t>
        </is>
      </c>
      <c r="D5" s="146" t="inlineStr">
        <is>
          <t>-</t>
        </is>
      </c>
      <c r="E5" s="146" t="inlineStr">
        <is>
          <t>-</t>
        </is>
      </c>
      <c r="F5" s="146" t="inlineStr">
        <is>
          <t>-</t>
        </is>
      </c>
      <c r="G5" s="146" t="inlineStr">
        <is>
          <t>-</t>
        </is>
      </c>
    </row>
    <row r="6" ht="30.75" customHeight="1" s="77">
      <c r="A6" s="146" t="inlineStr">
        <is>
          <t>-</t>
        </is>
      </c>
      <c r="B6" s="146" t="inlineStr">
        <is>
          <t>-</t>
        </is>
      </c>
      <c r="C6" s="146" t="inlineStr">
        <is>
          <t>-</t>
        </is>
      </c>
      <c r="D6" s="146" t="inlineStr">
        <is>
          <t>-</t>
        </is>
      </c>
      <c r="E6" s="146" t="inlineStr">
        <is>
          <t>-</t>
        </is>
      </c>
      <c r="F6" s="146" t="inlineStr">
        <is>
          <t>-</t>
        </is>
      </c>
      <c r="G6" s="146" t="inlineStr">
        <is>
          <t>-</t>
        </is>
      </c>
    </row>
    <row r="7" ht="30.75" customHeight="1" s="77">
      <c r="A7" s="146" t="inlineStr">
        <is>
          <t>-</t>
        </is>
      </c>
      <c r="B7" s="146" t="inlineStr">
        <is>
          <t>-</t>
        </is>
      </c>
      <c r="C7" s="146" t="inlineStr">
        <is>
          <t>-</t>
        </is>
      </c>
      <c r="D7" s="146" t="inlineStr">
        <is>
          <t>-</t>
        </is>
      </c>
      <c r="E7" s="146" t="inlineStr">
        <is>
          <t>-</t>
        </is>
      </c>
      <c r="F7" s="146" t="inlineStr">
        <is>
          <t>-</t>
        </is>
      </c>
      <c r="G7" s="146" t="inlineStr">
        <is>
          <t>-</t>
        </is>
      </c>
    </row>
    <row r="8" ht="15.75" customHeight="1" s="77">
      <c r="A8" s="117" t="n"/>
      <c r="B8" s="116" t="inlineStr">
        <is>
          <t>ИТОГО:</t>
        </is>
      </c>
      <c r="C8" s="116" t="inlineStr">
        <is>
          <t>Х</t>
        </is>
      </c>
      <c r="D8" s="116" t="inlineStr">
        <is>
          <t>Х</t>
        </is>
      </c>
      <c r="E8" s="116" t="inlineStr">
        <is>
          <t>Х</t>
        </is>
      </c>
      <c r="F8" s="116" t="inlineStr">
        <is>
          <t>Х</t>
        </is>
      </c>
      <c r="G8" s="116" t="inlineStr">
        <is>
          <t>-</t>
        </is>
      </c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6" t="n"/>
    </row>
    <row r="11" ht="15.75" customHeight="1" s="77">
      <c r="A11" s="162" t="inlineStr">
        <is>
          <t>Руководитель договора</t>
        </is>
      </c>
      <c r="D11" s="80" t="n"/>
      <c r="E11" s="140" t="inlineStr">
        <is>
          <t>Начальник ОФЭАУ НИОКР</t>
        </is>
      </c>
    </row>
    <row r="12" ht="40.5" customHeight="1" s="77">
      <c r="A12" s="140" t="inlineStr">
        <is>
          <t>__________/Боровков А.И./ ______</t>
        </is>
      </c>
      <c r="D12" s="71" t="n"/>
      <c r="E12" s="140" t="inlineStr">
        <is>
          <t>_________/Васецкая Н.О./_________</t>
        </is>
      </c>
    </row>
    <row r="13" ht="15.75" customHeight="1" s="77">
      <c r="A13" s="138" t="inlineStr">
        <is>
          <t>(подпись, ФИО, дата)</t>
        </is>
      </c>
      <c r="D13" s="81" t="n"/>
      <c r="E13" s="137" t="inlineStr">
        <is>
          <t>(подпись, ФИО, дата)</t>
        </is>
      </c>
    </row>
    <row r="14" ht="15.75" customHeight="1" s="77">
      <c r="A14" s="136" t="n"/>
      <c r="B14" s="85" t="n"/>
      <c r="C14" s="85" t="n"/>
      <c r="D14" s="85" t="n"/>
      <c r="E14" s="85" t="n"/>
      <c r="F14" s="85" t="n"/>
      <c r="G14" s="136" t="n"/>
    </row>
    <row r="15" ht="15.75" customHeight="1" s="77">
      <c r="A15" s="161" t="inlineStr">
        <is>
          <t>Ответственный исполнитель</t>
        </is>
      </c>
      <c r="D15" s="85" t="n"/>
      <c r="E15" s="85" t="n"/>
      <c r="F15" s="85" t="n"/>
      <c r="G15" s="136" t="n"/>
    </row>
    <row r="16" ht="38.25" customHeight="1" s="77">
      <c r="A16" s="140" t="inlineStr">
        <is>
          <t>________/Фамилия И.О./_______</t>
        </is>
      </c>
      <c r="D16" s="85" t="n"/>
      <c r="E16" s="85" t="n"/>
      <c r="F16" s="85" t="n"/>
    </row>
    <row r="17" ht="11.25" customHeight="1" s="77">
      <c r="A17" s="138" t="inlineStr">
        <is>
          <t>(подпись, ФИО, дата)</t>
        </is>
      </c>
      <c r="D17" s="85" t="n"/>
      <c r="E17" s="85" t="n"/>
      <c r="F17" s="85" t="n"/>
    </row>
    <row r="18" ht="15.75" customHeight="1" s="77">
      <c r="A18" s="85" t="n"/>
      <c r="B18" s="136" t="n"/>
      <c r="C18" s="85" t="n"/>
      <c r="D18" s="85" t="n"/>
      <c r="E18" s="85" t="n"/>
      <c r="F18" s="85" t="n"/>
    </row>
    <row r="19">
      <c r="A19" s="85" t="n"/>
      <c r="B19" s="85" t="n"/>
      <c r="C19" s="85" t="n"/>
      <c r="D19" s="85" t="n"/>
      <c r="E19" s="85" t="n"/>
      <c r="F19" s="85" t="n"/>
    </row>
  </sheetData>
  <mergeCells count="11">
    <mergeCell ref="A13:C13"/>
    <mergeCell ref="A11:C11"/>
    <mergeCell ref="A1:G1"/>
    <mergeCell ref="E13:G13"/>
    <mergeCell ref="E11:G11"/>
    <mergeCell ref="A17:C17"/>
    <mergeCell ref="A2:G2"/>
    <mergeCell ref="E12:G12"/>
    <mergeCell ref="A12:C12"/>
    <mergeCell ref="A16:C16"/>
    <mergeCell ref="A15:C15"/>
  </mergeCells>
  <pageMargins left="0.7" right="0.7" top="0.75" bottom="0.75" header="0.3" footer="0.3"/>
  <pageSetup orientation="landscape" paperSize="9" scale="87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view="pageBreakPreview" zoomScaleNormal="100" zoomScaleSheetLayoutView="100" workbookViewId="0">
      <selection activeCell="E4" sqref="E4"/>
    </sheetView>
  </sheetViews>
  <sheetFormatPr baseColWidth="8" defaultRowHeight="15"/>
  <cols>
    <col width="7.85546875" customWidth="1" style="77" min="1" max="1"/>
    <col width="42.28515625" customWidth="1" style="77" min="2" max="2"/>
    <col width="17.140625" customWidth="1" style="77" min="3" max="3"/>
    <col width="50.5703125" customWidth="1" style="77" min="4" max="4"/>
  </cols>
  <sheetData>
    <row r="1" ht="15.75" customHeight="1" s="77">
      <c r="A1" s="136" t="inlineStr">
        <is>
          <t>Расшифровка статьи «Прочие прямые расходы»</t>
        </is>
      </c>
    </row>
    <row r="2" ht="39" customHeight="1" s="77">
      <c r="A2" s="136">
        <f>тема</f>
        <v/>
      </c>
      <c r="E2" s="80" t="n"/>
      <c r="F2" s="80" t="n"/>
      <c r="G2" s="80" t="n"/>
      <c r="H2" s="80" t="n"/>
      <c r="I2" s="80" t="n"/>
      <c r="J2" s="80" t="n"/>
      <c r="K2" s="80" t="n"/>
      <c r="L2" s="80" t="n"/>
    </row>
    <row r="3" ht="63" customFormat="1" customHeight="1" s="3">
      <c r="A3" s="110" t="inlineStr">
        <is>
          <t>№ этапа</t>
        </is>
      </c>
      <c r="B3" s="110" t="inlineStr">
        <is>
          <t>Наименование (содержание) 
расходов</t>
        </is>
      </c>
      <c r="C3" s="110" t="inlineStr">
        <is>
          <t>Сумма, 
 руб.</t>
        </is>
      </c>
      <c r="D3" s="110" t="inlineStr">
        <is>
          <t>Обоснование 
расходов</t>
        </is>
      </c>
    </row>
    <row r="4">
      <c r="A4" s="146" t="n">
        <v>1</v>
      </c>
      <c r="B4" s="146" t="n">
        <v>2</v>
      </c>
      <c r="C4" s="146" t="n">
        <v>3</v>
      </c>
      <c r="D4" s="146" t="n">
        <v>4</v>
      </c>
    </row>
    <row r="5">
      <c r="A5" s="146" t="inlineStr">
        <is>
          <t xml:space="preserve"> - </t>
        </is>
      </c>
      <c r="B5" s="119" t="inlineStr">
        <is>
          <t>-</t>
        </is>
      </c>
      <c r="C5" s="119" t="inlineStr">
        <is>
          <t>-</t>
        </is>
      </c>
      <c r="D5" s="119" t="inlineStr">
        <is>
          <t>-</t>
        </is>
      </c>
    </row>
    <row r="6">
      <c r="A6" s="189" t="n"/>
      <c r="B6" s="120" t="inlineStr">
        <is>
          <t>Итого по этапу 1</t>
        </is>
      </c>
      <c r="C6" s="119" t="inlineStr">
        <is>
          <t>-</t>
        </is>
      </c>
      <c r="D6" s="119" t="inlineStr">
        <is>
          <t>-</t>
        </is>
      </c>
    </row>
    <row r="7">
      <c r="A7" s="146" t="inlineStr">
        <is>
          <t xml:space="preserve"> - </t>
        </is>
      </c>
      <c r="B7" s="119" t="inlineStr">
        <is>
          <t>-</t>
        </is>
      </c>
      <c r="C7" s="119" t="inlineStr">
        <is>
          <t>-</t>
        </is>
      </c>
      <c r="D7" s="119" t="inlineStr">
        <is>
          <t>-</t>
        </is>
      </c>
    </row>
    <row r="8">
      <c r="A8" s="189" t="n"/>
      <c r="B8" s="120" t="inlineStr">
        <is>
          <t>Итого по этапу …</t>
        </is>
      </c>
      <c r="C8" s="119" t="inlineStr">
        <is>
          <t>-</t>
        </is>
      </c>
      <c r="D8" s="119" t="inlineStr">
        <is>
          <t>-</t>
        </is>
      </c>
    </row>
    <row r="9">
      <c r="A9" s="146" t="inlineStr">
        <is>
          <t xml:space="preserve"> - </t>
        </is>
      </c>
      <c r="B9" s="119" t="inlineStr">
        <is>
          <t>-</t>
        </is>
      </c>
      <c r="C9" s="119" t="inlineStr">
        <is>
          <t>-</t>
        </is>
      </c>
      <c r="D9" s="119" t="inlineStr">
        <is>
          <t>-</t>
        </is>
      </c>
    </row>
    <row r="10">
      <c r="A10" s="189" t="n"/>
      <c r="B10" s="120" t="inlineStr">
        <is>
          <t>Итого по этапу …</t>
        </is>
      </c>
      <c r="C10" s="119" t="inlineStr">
        <is>
          <t>-</t>
        </is>
      </c>
      <c r="D10" s="119" t="inlineStr">
        <is>
          <t>-</t>
        </is>
      </c>
    </row>
    <row r="11" ht="31.5" customHeight="1" s="77">
      <c r="A11" s="151" t="inlineStr">
        <is>
          <t xml:space="preserve">                   ИТОГО по теме</t>
        </is>
      </c>
      <c r="B11" s="197" t="n"/>
      <c r="C11" s="119" t="inlineStr">
        <is>
          <t>-</t>
        </is>
      </c>
      <c r="D11" s="116" t="inlineStr">
        <is>
          <t>Х</t>
        </is>
      </c>
    </row>
    <row r="12" ht="45.75" customHeight="1" s="77">
      <c r="A12" s="6" t="n"/>
    </row>
    <row r="13" ht="15.75" customHeight="1" s="77">
      <c r="A13" s="162" t="inlineStr">
        <is>
          <t>Руководитель договора</t>
        </is>
      </c>
      <c r="C13" s="76" t="n"/>
      <c r="D13" s="140" t="inlineStr">
        <is>
          <t>Начальник ОФЭАУ НИОКР</t>
        </is>
      </c>
      <c r="E13" s="147" t="n"/>
      <c r="F13" s="80" t="n"/>
      <c r="G13" s="80" t="n"/>
    </row>
    <row r="14" ht="39" customHeight="1" s="77">
      <c r="A14" s="166" t="inlineStr">
        <is>
          <t>__________/Боровков А.И./ ______</t>
        </is>
      </c>
      <c r="C14" s="71" t="n"/>
      <c r="D14" s="140" t="inlineStr">
        <is>
          <t>_________/Васецкая Н.О./_________</t>
        </is>
      </c>
      <c r="E14" s="71" t="n"/>
      <c r="F14" s="71" t="n"/>
      <c r="G14" s="71" t="n"/>
    </row>
    <row r="15">
      <c r="A15" s="138" t="inlineStr">
        <is>
          <t>(подпись, ФИО, дата)</t>
        </is>
      </c>
      <c r="C15" s="81" t="n"/>
      <c r="D15" s="137" t="inlineStr">
        <is>
          <t>(подпись, ФИО, дата)</t>
        </is>
      </c>
      <c r="E15" s="137" t="n"/>
      <c r="F15" s="137" t="n"/>
      <c r="G15" s="137" t="n"/>
      <c r="H15" s="137" t="n"/>
    </row>
    <row r="16" ht="15.75" customHeight="1" s="77">
      <c r="A16" s="140" t="inlineStr">
        <is>
          <t>Ответственный исполнитель</t>
        </is>
      </c>
      <c r="C16" s="80" t="n"/>
    </row>
    <row r="17" ht="37.5" customHeight="1" s="77">
      <c r="A17" s="140" t="inlineStr">
        <is>
          <t>________/Фамилия И.О./_______</t>
        </is>
      </c>
      <c r="C17" s="72" t="n"/>
    </row>
    <row r="18" ht="15" customHeight="1" s="77">
      <c r="A18" s="138" t="inlineStr">
        <is>
          <t>(подпись, ФИО, дата)</t>
        </is>
      </c>
      <c r="C18" s="81" t="n"/>
    </row>
    <row r="19"/>
    <row r="20"/>
  </sheetData>
  <mergeCells count="12">
    <mergeCell ref="A5:A6"/>
    <mergeCell ref="A1:D1"/>
    <mergeCell ref="A16:B16"/>
    <mergeCell ref="A15:B15"/>
    <mergeCell ref="A9:A10"/>
    <mergeCell ref="A11:B11"/>
    <mergeCell ref="A7:A8"/>
    <mergeCell ref="A13:B13"/>
    <mergeCell ref="A14:B14"/>
    <mergeCell ref="A2:D2"/>
    <mergeCell ref="A17:B17"/>
    <mergeCell ref="A18:B18"/>
  </mergeCells>
  <pageMargins left="0.9055118110236221" right="0.5118110236220472" top="0.7480314960629921" bottom="0.7480314960629921" header="0.3149606299212598" footer="0.3149606299212598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view="pageBreakPreview" zoomScaleNormal="100" zoomScaleSheetLayoutView="100" workbookViewId="0">
      <selection activeCell="M11" sqref="M11"/>
    </sheetView>
  </sheetViews>
  <sheetFormatPr baseColWidth="8" defaultRowHeight="15"/>
  <cols>
    <col width="7.28515625" customWidth="1" style="77" min="1" max="1"/>
    <col width="33.7109375" customWidth="1" style="77" min="2" max="2"/>
    <col width="7.85546875" customWidth="1" style="77" min="3" max="7"/>
    <col width="12.140625" customWidth="1" style="77" min="8" max="8"/>
    <col width="7.85546875" customWidth="1" style="77" min="9" max="9"/>
    <col width="12.42578125" customWidth="1" style="77" min="10" max="12"/>
    <col width="10.85546875" customWidth="1" style="77" min="13" max="13"/>
  </cols>
  <sheetData>
    <row r="1" ht="18.75" customFormat="1" customHeight="1" s="43">
      <c r="B1" s="136" t="inlineStr">
        <is>
          <t>Расшифровка статьи «Командировки»</t>
        </is>
      </c>
      <c r="M1" s="80" t="n"/>
    </row>
    <row r="2" ht="60.75" customFormat="1" customHeight="1" s="43">
      <c r="B2" s="142">
        <f>тема</f>
        <v/>
      </c>
      <c r="C2" s="186" t="n"/>
      <c r="D2" s="186" t="n"/>
      <c r="E2" s="186" t="n"/>
      <c r="F2" s="186" t="n"/>
      <c r="G2" s="186" t="n"/>
      <c r="H2" s="186" t="n"/>
      <c r="I2" s="186" t="n"/>
      <c r="J2" s="186" t="n"/>
      <c r="K2" s="186" t="n"/>
      <c r="L2" s="186" t="n"/>
    </row>
    <row r="3" ht="78" customHeight="1" s="77">
      <c r="A3" s="115" t="inlineStr">
        <is>
          <t>№ п/п</t>
        </is>
      </c>
      <c r="B3" s="115" t="inlineStr">
        <is>
          <t>Наименование города, страны, куда командируются работники</t>
        </is>
      </c>
      <c r="C3" s="112" t="inlineStr">
        <is>
          <t>Количество человек</t>
        </is>
      </c>
      <c r="D3" s="112" t="inlineStr">
        <is>
          <t>Количество командировок</t>
        </is>
      </c>
      <c r="E3" s="112" t="inlineStr">
        <is>
          <t>Кол-во суток нахождения в командировке</t>
        </is>
      </c>
      <c r="F3" s="198" t="inlineStr">
        <is>
          <t>Норма оплаты, руб.</t>
        </is>
      </c>
      <c r="G3" s="199" t="n"/>
      <c r="H3" s="197" t="n"/>
      <c r="I3" s="198" t="inlineStr">
        <is>
          <t>Сумма, руб.</t>
        </is>
      </c>
      <c r="J3" s="199" t="n"/>
      <c r="K3" s="197" t="n"/>
      <c r="L3" s="115" t="inlineStr">
        <is>
          <t>ВСЕГО, руб.</t>
        </is>
      </c>
      <c r="M3" s="115" t="inlineStr">
        <is>
          <t>№ этапа</t>
        </is>
      </c>
      <c r="N3" s="44" t="n"/>
    </row>
    <row r="4" ht="75.75" customHeight="1" s="77">
      <c r="A4" s="189" t="n"/>
      <c r="B4" s="189" t="n"/>
      <c r="C4" s="189" t="n"/>
      <c r="D4" s="189" t="n"/>
      <c r="E4" s="189" t="n"/>
      <c r="F4" s="112" t="inlineStr">
        <is>
          <t>Суточных</t>
        </is>
      </c>
      <c r="G4" s="112" t="inlineStr">
        <is>
          <t>Квартирных</t>
        </is>
      </c>
      <c r="H4" s="112" t="inlineStr">
        <is>
          <t>За проезд</t>
        </is>
      </c>
      <c r="I4" s="112" t="inlineStr">
        <is>
          <t>Суточных</t>
        </is>
      </c>
      <c r="J4" s="112" t="inlineStr">
        <is>
          <t>Квартирных</t>
        </is>
      </c>
      <c r="K4" s="112" t="inlineStr">
        <is>
          <t>За проезд</t>
        </is>
      </c>
      <c r="L4" s="189" t="n"/>
      <c r="M4" s="189" t="n"/>
      <c r="N4" s="44" t="n"/>
    </row>
    <row r="5">
      <c r="A5" s="115" t="n">
        <v>1</v>
      </c>
      <c r="B5" s="115" t="n">
        <v>2</v>
      </c>
      <c r="C5" s="115" t="n">
        <v>3</v>
      </c>
      <c r="D5" s="115" t="n">
        <v>4</v>
      </c>
      <c r="E5" s="115" t="n">
        <v>5</v>
      </c>
      <c r="F5" s="115" t="n">
        <v>6</v>
      </c>
      <c r="G5" s="115" t="n">
        <v>7</v>
      </c>
      <c r="H5" s="115" t="n">
        <v>8</v>
      </c>
      <c r="I5" s="115" t="n">
        <v>9</v>
      </c>
      <c r="J5" s="115" t="n">
        <v>10</v>
      </c>
      <c r="K5" s="115" t="n">
        <v>11</v>
      </c>
      <c r="L5" s="115" t="n">
        <v>12</v>
      </c>
      <c r="M5" s="115" t="n">
        <v>13</v>
      </c>
    </row>
    <row r="6" ht="18.75" customHeight="1" s="77">
      <c r="A6" s="115" t="n">
        <v>1</v>
      </c>
      <c r="B6" s="114" t="n"/>
      <c r="C6" s="115" t="n">
        <v>0</v>
      </c>
      <c r="D6" s="115" t="n">
        <v>0</v>
      </c>
      <c r="E6" s="115" t="n">
        <v>0</v>
      </c>
      <c r="F6" s="60" t="n">
        <v>700</v>
      </c>
      <c r="G6" s="60" t="n">
        <v>0</v>
      </c>
      <c r="H6" s="60" t="n">
        <v>0</v>
      </c>
      <c r="I6" s="60">
        <f>F6*E6*C6</f>
        <v/>
      </c>
      <c r="J6" s="60">
        <f>G6*C6</f>
        <v/>
      </c>
      <c r="K6" s="60">
        <f>H6*C6</f>
        <v/>
      </c>
      <c r="L6" s="60">
        <f>SUM(I6:K6)</f>
        <v/>
      </c>
      <c r="M6" s="115" t="n">
        <v>1</v>
      </c>
    </row>
    <row r="7" ht="18.75" customHeight="1" s="77">
      <c r="A7" s="115" t="n">
        <v>2</v>
      </c>
      <c r="B7" s="114" t="n"/>
      <c r="C7" s="115" t="n">
        <v>0</v>
      </c>
      <c r="D7" s="115" t="n">
        <v>0</v>
      </c>
      <c r="E7" s="115" t="n">
        <v>2</v>
      </c>
      <c r="F7" s="60" t="n">
        <v>700</v>
      </c>
      <c r="G7" s="60" t="n">
        <v>0</v>
      </c>
      <c r="H7" s="60" t="n">
        <v>0</v>
      </c>
      <c r="I7" s="60">
        <f>F7*E7*D7*C7</f>
        <v/>
      </c>
      <c r="J7" s="60">
        <f>G7*C7</f>
        <v/>
      </c>
      <c r="K7" s="60">
        <f>H7*C7</f>
        <v/>
      </c>
      <c r="L7" s="60">
        <f>SUM(I7:K7)</f>
        <v/>
      </c>
      <c r="M7" s="115" t="n">
        <v>2</v>
      </c>
    </row>
    <row r="8" ht="18.75" customHeight="1" s="77">
      <c r="A8" s="115" t="n">
        <v>3</v>
      </c>
      <c r="B8" s="114" t="n"/>
      <c r="C8" s="115" t="n">
        <v>0</v>
      </c>
      <c r="D8" s="115" t="n">
        <v>0</v>
      </c>
      <c r="E8" s="115" t="n">
        <v>2</v>
      </c>
      <c r="F8" s="60" t="n">
        <v>700</v>
      </c>
      <c r="G8" s="60" t="n">
        <v>0</v>
      </c>
      <c r="H8" s="60" t="n">
        <v>0</v>
      </c>
      <c r="I8" s="60">
        <f>F8*E8*D8*C8</f>
        <v/>
      </c>
      <c r="J8" s="60">
        <f>G8*C8</f>
        <v/>
      </c>
      <c r="K8" s="60">
        <f>H8*C8</f>
        <v/>
      </c>
      <c r="L8" s="60">
        <f>SUM(I8:K8)</f>
        <v/>
      </c>
      <c r="M8" s="115" t="n">
        <v>3</v>
      </c>
    </row>
    <row r="9" ht="18.75" customHeight="1" s="77">
      <c r="A9" s="115" t="n">
        <v>4</v>
      </c>
      <c r="B9" s="114" t="n"/>
      <c r="C9" s="115" t="n">
        <v>0</v>
      </c>
      <c r="D9" s="115" t="n">
        <v>0</v>
      </c>
      <c r="E9" s="115" t="n">
        <v>2</v>
      </c>
      <c r="F9" s="60" t="n">
        <v>700</v>
      </c>
      <c r="G9" s="60" t="n">
        <v>0</v>
      </c>
      <c r="H9" s="60" t="n">
        <v>0</v>
      </c>
      <c r="I9" s="60">
        <f>F9*E9*D9*C9</f>
        <v/>
      </c>
      <c r="J9" s="60">
        <f>G9*C9</f>
        <v/>
      </c>
      <c r="K9" s="60">
        <f>H9*C9</f>
        <v/>
      </c>
      <c r="L9" s="60">
        <f>SUM(I9:K9)</f>
        <v/>
      </c>
      <c r="M9" s="115" t="n">
        <v>4</v>
      </c>
    </row>
    <row r="10" ht="18.75" customHeight="1" s="77">
      <c r="A10" s="115" t="n">
        <v>5</v>
      </c>
      <c r="B10" s="114" t="n"/>
      <c r="C10" s="115" t="n">
        <v>0</v>
      </c>
      <c r="D10" s="115" t="n">
        <v>0</v>
      </c>
      <c r="E10" s="115" t="n">
        <v>2</v>
      </c>
      <c r="F10" s="60" t="n">
        <v>700</v>
      </c>
      <c r="G10" s="60" t="n">
        <v>0</v>
      </c>
      <c r="H10" s="60" t="n">
        <v>0</v>
      </c>
      <c r="I10" s="60">
        <f>F10*E10*D10*C10</f>
        <v/>
      </c>
      <c r="J10" s="60">
        <f>G10*C10</f>
        <v/>
      </c>
      <c r="K10" s="60">
        <f>H10*C10</f>
        <v/>
      </c>
      <c r="L10" s="60">
        <f>SUM(I10:K10)</f>
        <v/>
      </c>
      <c r="M10" s="115" t="n">
        <v>5</v>
      </c>
    </row>
    <row r="11" ht="18.75" customHeight="1" s="77">
      <c r="A11" s="115" t="n">
        <v>6</v>
      </c>
      <c r="B11" s="114" t="n"/>
      <c r="C11" s="115" t="n">
        <v>0</v>
      </c>
      <c r="D11" s="115" t="n">
        <v>0</v>
      </c>
      <c r="E11" s="115" t="n">
        <v>2</v>
      </c>
      <c r="F11" s="60" t="n">
        <v>700</v>
      </c>
      <c r="G11" s="60" t="n">
        <v>0</v>
      </c>
      <c r="H11" s="60" t="n">
        <v>0</v>
      </c>
      <c r="I11" s="60">
        <f>F11*E11*D11*C11</f>
        <v/>
      </c>
      <c r="J11" s="60">
        <f>G11*C11</f>
        <v/>
      </c>
      <c r="K11" s="60">
        <f>H11*C11</f>
        <v/>
      </c>
      <c r="L11" s="60">
        <f>SUM(I11:K11)</f>
        <v/>
      </c>
      <c r="M11" s="115" t="n">
        <v>6</v>
      </c>
    </row>
    <row r="12" ht="15.75" customFormat="1" customHeight="1" s="45">
      <c r="A12" s="116" t="n"/>
      <c r="B12" s="117" t="inlineStr">
        <is>
          <t>ИТОГО:</t>
        </is>
      </c>
      <c r="C12" s="116" t="inlineStr">
        <is>
          <t>Х</t>
        </is>
      </c>
      <c r="D12" s="116" t="inlineStr">
        <is>
          <t>Х</t>
        </is>
      </c>
      <c r="E12" s="116" t="inlineStr">
        <is>
          <t>Х</t>
        </is>
      </c>
      <c r="F12" s="116" t="inlineStr">
        <is>
          <t>Х</t>
        </is>
      </c>
      <c r="G12" s="116" t="inlineStr">
        <is>
          <t>Х</t>
        </is>
      </c>
      <c r="H12" s="116" t="inlineStr">
        <is>
          <t>Х</t>
        </is>
      </c>
      <c r="I12" s="116" t="inlineStr">
        <is>
          <t>Х</t>
        </is>
      </c>
      <c r="J12" s="116" t="inlineStr">
        <is>
          <t>Х</t>
        </is>
      </c>
      <c r="K12" s="116" t="inlineStr">
        <is>
          <t>Х</t>
        </is>
      </c>
      <c r="L12" s="118">
        <f>SUM(L6:L11)</f>
        <v/>
      </c>
      <c r="M12" s="116" t="inlineStr">
        <is>
          <t>Х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5.75" customHeight="1" s="77">
      <c r="K14" s="136" t="n"/>
      <c r="L14" s="8" t="n"/>
    </row>
    <row r="15" ht="15.75" customHeight="1" s="77">
      <c r="A15" s="162" t="inlineStr">
        <is>
          <t>Руководитель договора</t>
        </is>
      </c>
      <c r="H15" s="140" t="inlineStr">
        <is>
          <t>Начальник ОФЭАУ НИОКР</t>
        </is>
      </c>
    </row>
    <row r="16" ht="36" customHeight="1" s="77">
      <c r="A16" s="166" t="inlineStr">
        <is>
          <t>__________/Боровков А.И./ ______</t>
        </is>
      </c>
      <c r="H16" s="140" t="inlineStr">
        <is>
          <t>_________/Васецкая Н.О./_________</t>
        </is>
      </c>
    </row>
    <row r="17" ht="36" customFormat="1" customHeight="1" s="75">
      <c r="A17" s="160" t="inlineStr">
        <is>
          <t>(подпись, ФИО, дата)</t>
        </is>
      </c>
      <c r="H17" s="157" t="inlineStr">
        <is>
          <t>(подпись, ФИО, дата)</t>
        </is>
      </c>
    </row>
    <row r="18" ht="15.75" customHeight="1" s="77">
      <c r="A18" s="161" t="inlineStr">
        <is>
          <t>Ответственный исполнитель</t>
        </is>
      </c>
    </row>
    <row r="19" ht="35.25" customHeight="1" s="77">
      <c r="A19" s="140" t="inlineStr">
        <is>
          <t>________/Фамилия И.О./_______</t>
        </is>
      </c>
    </row>
    <row r="20">
      <c r="A20" s="138" t="inlineStr">
        <is>
          <t>(подпись, ФИО, дата)</t>
        </is>
      </c>
    </row>
  </sheetData>
  <mergeCells count="20">
    <mergeCell ref="L3:L4"/>
    <mergeCell ref="B3:B4"/>
    <mergeCell ref="A18:C18"/>
    <mergeCell ref="H17:M17"/>
    <mergeCell ref="I3:K3"/>
    <mergeCell ref="H16:M16"/>
    <mergeCell ref="A3:A4"/>
    <mergeCell ref="M3:M4"/>
    <mergeCell ref="A17:C17"/>
    <mergeCell ref="B2:L2"/>
    <mergeCell ref="D3:D4"/>
    <mergeCell ref="A20:C20"/>
    <mergeCell ref="B1:L1"/>
    <mergeCell ref="A19:C19"/>
    <mergeCell ref="H15:M15"/>
    <mergeCell ref="A15:C15"/>
    <mergeCell ref="C3:C4"/>
    <mergeCell ref="E3:E4"/>
    <mergeCell ref="F3:H3"/>
    <mergeCell ref="A16:C16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8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view="pageBreakPreview" zoomScaleNormal="100" zoomScaleSheetLayoutView="100" workbookViewId="0">
      <selection activeCell="E8" sqref="E8"/>
    </sheetView>
  </sheetViews>
  <sheetFormatPr baseColWidth="8" defaultRowHeight="15"/>
  <cols>
    <col width="15.140625" customWidth="1" style="77" min="1" max="3"/>
    <col width="26.140625" customWidth="1" style="77" min="4" max="4"/>
    <col width="21.85546875" customWidth="1" style="77" min="5" max="5"/>
  </cols>
  <sheetData>
    <row r="1" ht="15.75" customHeight="1" s="77">
      <c r="A1" s="161" t="inlineStr">
        <is>
          <t>СПРАВКА</t>
        </is>
      </c>
    </row>
    <row r="2" ht="15.75" customHeight="1" s="77">
      <c r="A2" s="161" t="inlineStr">
        <is>
          <t>о размере накладных расходов</t>
        </is>
      </c>
    </row>
    <row r="3" ht="53.25" customHeight="1" s="77">
      <c r="A3" s="162">
        <f>тема</f>
        <v/>
      </c>
      <c r="F3" s="76" t="n"/>
      <c r="G3" s="76" t="n"/>
      <c r="H3" s="76" t="n"/>
    </row>
    <row r="4" ht="110.25" customFormat="1" customHeight="1" s="66">
      <c r="A4" s="146" t="inlineStr">
        <is>
          <t>Накладные расходы  по организации в целом, 
тыс. руб./ % к основной заработной плате исполнителей</t>
        </is>
      </c>
      <c r="B4" s="199" t="n"/>
      <c r="C4" s="197" t="n"/>
      <c r="D4" s="146" t="inlineStr">
        <is>
          <t>Принятый %  накладных расходов  по заключаемому Госконтракту (Дополнительному соглашению) к общему объему поступлений средств/ основной заработной плате исполнителей</t>
        </is>
      </c>
      <c r="E4" s="146" t="inlineStr">
        <is>
          <t>Плановая сумма накладных расходов по заключаемому Госконтракту (Дополнительному соглашению),
тыс. руб.</t>
        </is>
      </c>
    </row>
    <row r="5" ht="32.25" customHeight="1" s="77">
      <c r="A5" s="146" t="inlineStr">
        <is>
          <t>2025 год  (предыдущий год)</t>
        </is>
      </c>
      <c r="B5" s="197" t="n"/>
      <c r="C5" s="146" t="inlineStr">
        <is>
          <t>Планируемый</t>
        </is>
      </c>
      <c r="D5" s="200" t="n"/>
      <c r="E5" s="200" t="n"/>
    </row>
    <row r="6" ht="32.25" customHeight="1" s="77">
      <c r="A6" s="146" t="inlineStr">
        <is>
          <t>План</t>
        </is>
      </c>
      <c r="B6" s="146" t="inlineStr">
        <is>
          <t>Факт</t>
        </is>
      </c>
      <c r="C6" s="146" t="inlineStr">
        <is>
          <t>2024г.</t>
        </is>
      </c>
      <c r="D6" s="189" t="n"/>
      <c r="E6" s="189" t="n"/>
    </row>
    <row r="7">
      <c r="A7" s="146" t="n">
        <v>1</v>
      </c>
      <c r="B7" s="146" t="n">
        <v>2</v>
      </c>
      <c r="C7" s="146" t="n">
        <v>3</v>
      </c>
      <c r="D7" s="146" t="n">
        <v>4</v>
      </c>
      <c r="E7" s="146" t="n">
        <v>5</v>
      </c>
    </row>
    <row r="8" ht="41.25" customHeight="1" s="77">
      <c r="A8" s="115" t="inlineStr">
        <is>
          <t>/ 0,0% (0%)</t>
        </is>
      </c>
      <c r="B8" s="115" t="inlineStr">
        <is>
          <t>/ 0,0% (0%)</t>
        </is>
      </c>
      <c r="C8" s="115" t="inlineStr">
        <is>
          <t>/ 0,0% (0%)</t>
        </is>
      </c>
      <c r="D8" s="115" t="inlineStr">
        <is>
          <t>/ 0,0% (0%)</t>
        </is>
      </c>
      <c r="E8" s="121" t="n">
        <v>0</v>
      </c>
    </row>
    <row r="9" ht="15.75" customHeight="1" s="77">
      <c r="A9" s="67" t="n"/>
    </row>
    <row r="10" ht="15.75" customHeight="1" s="77">
      <c r="A10" s="136" t="inlineStr">
        <is>
          <t>Главный бухгалтер</t>
        </is>
      </c>
      <c r="D10" s="136" t="inlineStr">
        <is>
          <t>Начальник ОФЭАУ НИОКР</t>
        </is>
      </c>
    </row>
    <row r="11" ht="31.5" customHeight="1" s="77">
      <c r="A11" s="166" t="inlineStr">
        <is>
          <t>___________/Иванова Н.В./_____</t>
        </is>
      </c>
      <c r="D11" s="166" t="inlineStr">
        <is>
          <t>_________/Васецкая Н.О./_________</t>
        </is>
      </c>
    </row>
    <row r="12" ht="15" customHeight="1" s="77">
      <c r="A12" s="138" t="inlineStr">
        <is>
          <t>(подпись, ФИО, дата)</t>
        </is>
      </c>
      <c r="D12" s="138" t="inlineStr">
        <is>
          <t>(подпись, ФИО, дата)</t>
        </is>
      </c>
    </row>
    <row r="13" ht="18.75" customHeight="1" s="77">
      <c r="A13" s="54" t="n"/>
      <c r="B13" s="68" t="n"/>
    </row>
    <row r="14">
      <c r="A14" s="136" t="n"/>
      <c r="B14" s="136" t="n"/>
    </row>
    <row r="15"/>
    <row r="16" ht="15.75" customHeight="1" s="77">
      <c r="A16" s="136" t="n"/>
      <c r="B16" s="136" t="n"/>
    </row>
    <row r="17" ht="15.75" customHeight="1" s="77">
      <c r="A17" s="136" t="n"/>
      <c r="B17" s="136" t="n"/>
    </row>
    <row r="18" ht="15.75" customHeight="1" s="77">
      <c r="A18" s="67" t="n"/>
    </row>
    <row r="19" ht="15.75" customHeight="1" s="77">
      <c r="A19" s="122" t="n"/>
    </row>
    <row r="20" ht="18.75" customHeight="1" s="77">
      <c r="A20" s="69" t="n"/>
    </row>
    <row r="21" ht="18.75" customHeight="1" s="77">
      <c r="A21" s="69" t="n"/>
    </row>
    <row r="22" ht="18.75" customHeight="1" s="77">
      <c r="A22" s="69" t="n"/>
    </row>
    <row r="23" ht="18.75" customHeight="1" s="77">
      <c r="A23" s="69" t="n"/>
    </row>
    <row r="24" ht="18.75" customHeight="1" s="77">
      <c r="A24" s="69" t="n"/>
    </row>
  </sheetData>
  <mergeCells count="15">
    <mergeCell ref="A10:C10"/>
    <mergeCell ref="D4:D6"/>
    <mergeCell ref="A11:C11"/>
    <mergeCell ref="D10:E10"/>
    <mergeCell ref="A2:E2"/>
    <mergeCell ref="D11:E11"/>
    <mergeCell ref="E4:E6"/>
    <mergeCell ref="A5:B5"/>
    <mergeCell ref="B14:B15"/>
    <mergeCell ref="A1:E1"/>
    <mergeCell ref="A12:C12"/>
    <mergeCell ref="A4:C4"/>
    <mergeCell ref="A14:A15"/>
    <mergeCell ref="D12:E12"/>
    <mergeCell ref="A3:E3"/>
  </mergeCells>
  <printOptions horizontalCentered="1"/>
  <pageMargins left="0.9055118110236221" right="0.5118110236220472" top="0.7480314960629921" bottom="0.7480314960629921" header="0.3149606299212598" footer="0.3149606299212598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view="pageBreakPreview" zoomScaleNormal="100" zoomScaleSheetLayoutView="100" workbookViewId="0">
      <selection activeCell="E8" sqref="E8"/>
    </sheetView>
  </sheetViews>
  <sheetFormatPr baseColWidth="8" defaultRowHeight="15"/>
  <cols>
    <col width="8.5703125" customWidth="1" style="77" min="1" max="1"/>
    <col width="19.85546875" customWidth="1" style="77" min="2" max="2"/>
    <col width="35.5703125" customWidth="1" style="77" min="3" max="3"/>
    <col width="23.28515625" customWidth="1" style="77" min="4" max="4"/>
    <col width="24" customWidth="1" style="77" min="5" max="5"/>
    <col width="26.28515625" customWidth="1" style="77" min="6" max="7"/>
  </cols>
  <sheetData>
    <row r="1" ht="15.75" customFormat="1" customHeight="1" s="46">
      <c r="A1" s="136" t="inlineStr">
        <is>
          <t>Расшифровка статьи «Затраты на выполнение работ сторонними организациями»</t>
        </is>
      </c>
    </row>
    <row r="2" ht="64.5" customFormat="1" customHeight="1" s="46">
      <c r="A2" s="136">
        <f>тема</f>
        <v/>
      </c>
    </row>
    <row r="3" ht="63" customHeight="1" s="77">
      <c r="A3" s="146" t="inlineStr">
        <is>
          <t>№ 
этапа</t>
        </is>
      </c>
      <c r="B3" s="146" t="inlineStr">
        <is>
          <t>Наименование организаций соисполнителей и контрагентов</t>
        </is>
      </c>
      <c r="C3" s="146" t="inlineStr">
        <is>
          <t>Наименование выполняемых работ (предмет договора)</t>
        </is>
      </c>
      <c r="D3" s="146" t="inlineStr">
        <is>
          <t>Сроки исполнения</t>
        </is>
      </c>
      <c r="E3" s="146" t="inlineStr">
        <is>
          <t>Цена договора, руб.</t>
        </is>
      </c>
      <c r="F3" s="26" t="inlineStr">
        <is>
          <t>Основание</t>
        </is>
      </c>
      <c r="G3" s="26" t="inlineStr">
        <is>
          <t>№ этапа</t>
        </is>
      </c>
    </row>
    <row r="4">
      <c r="A4" s="146" t="n">
        <v>1</v>
      </c>
      <c r="B4" s="146" t="n">
        <v>2</v>
      </c>
      <c r="C4" s="146" t="n">
        <v>3</v>
      </c>
      <c r="D4" s="146" t="n">
        <v>4</v>
      </c>
      <c r="E4" s="146" t="n">
        <v>5</v>
      </c>
      <c r="F4" s="146" t="n">
        <v>6</v>
      </c>
      <c r="G4" s="146" t="n">
        <v>7</v>
      </c>
    </row>
    <row r="5" ht="31.5" customHeight="1" s="77">
      <c r="A5" s="146" t="inlineStr">
        <is>
          <t>-</t>
        </is>
      </c>
      <c r="B5" s="146" t="inlineStr">
        <is>
          <t>-</t>
        </is>
      </c>
      <c r="C5" s="146" t="inlineStr">
        <is>
          <t>-</t>
        </is>
      </c>
      <c r="D5" s="146" t="inlineStr">
        <is>
          <t>-</t>
        </is>
      </c>
      <c r="E5" s="146" t="inlineStr">
        <is>
          <t>-</t>
        </is>
      </c>
      <c r="F5" s="146" t="inlineStr">
        <is>
          <t>-</t>
        </is>
      </c>
      <c r="G5" s="146" t="inlineStr">
        <is>
          <t>-</t>
        </is>
      </c>
    </row>
    <row r="6" ht="31.5" customHeight="1" s="77">
      <c r="A6" s="146" t="inlineStr">
        <is>
          <t>-</t>
        </is>
      </c>
      <c r="B6" s="146" t="inlineStr">
        <is>
          <t>-</t>
        </is>
      </c>
      <c r="C6" s="146" t="inlineStr">
        <is>
          <t>-</t>
        </is>
      </c>
      <c r="D6" s="146" t="inlineStr">
        <is>
          <t>-</t>
        </is>
      </c>
      <c r="E6" s="146" t="inlineStr">
        <is>
          <t>-</t>
        </is>
      </c>
      <c r="F6" s="146" t="inlineStr">
        <is>
          <t>-</t>
        </is>
      </c>
      <c r="G6" s="146" t="inlineStr">
        <is>
          <t>-</t>
        </is>
      </c>
    </row>
    <row r="7" ht="31.5" customHeight="1" s="77">
      <c r="A7" s="146" t="inlineStr">
        <is>
          <t>-</t>
        </is>
      </c>
      <c r="B7" s="146" t="inlineStr">
        <is>
          <t>-</t>
        </is>
      </c>
      <c r="C7" s="146" t="inlineStr">
        <is>
          <t>-</t>
        </is>
      </c>
      <c r="D7" s="146" t="inlineStr">
        <is>
          <t>-</t>
        </is>
      </c>
      <c r="E7" s="146" t="inlineStr">
        <is>
          <t>-</t>
        </is>
      </c>
      <c r="F7" s="146" t="inlineStr">
        <is>
          <t>-</t>
        </is>
      </c>
      <c r="G7" s="146" t="inlineStr">
        <is>
          <t>-</t>
        </is>
      </c>
    </row>
    <row r="8" ht="15.75" customHeight="1" s="77">
      <c r="A8" s="117" t="n"/>
      <c r="B8" s="116" t="inlineStr">
        <is>
          <t>ИТОГО:</t>
        </is>
      </c>
      <c r="C8" s="116" t="inlineStr">
        <is>
          <t>Х</t>
        </is>
      </c>
      <c r="D8" s="116" t="inlineStr">
        <is>
          <t>Х</t>
        </is>
      </c>
      <c r="E8" s="116" t="inlineStr">
        <is>
          <t xml:space="preserve"> -</t>
        </is>
      </c>
      <c r="F8" s="116" t="inlineStr">
        <is>
          <t>Х</t>
        </is>
      </c>
      <c r="G8" s="116" t="inlineStr">
        <is>
          <t>Х</t>
        </is>
      </c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6" t="n"/>
    </row>
    <row r="11" ht="15.75" customHeight="1" s="77">
      <c r="A11" s="162" t="inlineStr">
        <is>
          <t>Руководитель договора</t>
        </is>
      </c>
      <c r="D11" s="80" t="n"/>
      <c r="E11" s="140" t="inlineStr">
        <is>
          <t>Начальник ОФЭАУ НИОКР</t>
        </is>
      </c>
    </row>
    <row r="12" ht="40.5" customHeight="1" s="77">
      <c r="A12" s="140" t="inlineStr">
        <is>
          <t>__________/Боровков А.И./ ______</t>
        </is>
      </c>
      <c r="D12" s="71" t="n"/>
      <c r="E12" s="140" t="inlineStr">
        <is>
          <t>_________/Васецкая Н.О./_________</t>
        </is>
      </c>
    </row>
    <row r="13" ht="15.75" customHeight="1" s="77">
      <c r="A13" s="138" t="inlineStr">
        <is>
          <t>(подпись, ФИО, дата)</t>
        </is>
      </c>
      <c r="D13" s="81" t="n"/>
      <c r="E13" s="81" t="n"/>
      <c r="F13" s="41" t="inlineStr">
        <is>
          <t>(подпись, ФИО, дата)</t>
        </is>
      </c>
      <c r="G13" s="41" t="n"/>
    </row>
    <row r="14" ht="15.75" customHeight="1" s="77">
      <c r="A14" s="136" t="n"/>
      <c r="G14" s="136" t="n"/>
    </row>
    <row r="15" ht="15.75" customHeight="1" s="77">
      <c r="A15" s="161" t="inlineStr">
        <is>
          <t>Ответственный исполнитель</t>
        </is>
      </c>
      <c r="G15" s="136" t="n"/>
    </row>
    <row r="16" ht="38.25" customHeight="1" s="77">
      <c r="A16" s="140" t="inlineStr">
        <is>
          <t>________/Фамилия И.О./_______</t>
        </is>
      </c>
    </row>
    <row r="17" ht="11.25" customHeight="1" s="77">
      <c r="A17" s="138" t="inlineStr">
        <is>
          <t>(подпись, ФИО, дата)</t>
        </is>
      </c>
    </row>
    <row r="18" ht="15.75" customHeight="1" s="77">
      <c r="B18" s="136" t="n"/>
    </row>
    <row r="19"/>
  </sheetData>
  <mergeCells count="10">
    <mergeCell ref="A13:C13"/>
    <mergeCell ref="A1:G1"/>
    <mergeCell ref="A11:C11"/>
    <mergeCell ref="E11:G11"/>
    <mergeCell ref="A17:C17"/>
    <mergeCell ref="A2:G2"/>
    <mergeCell ref="E12:G12"/>
    <mergeCell ref="A12:C12"/>
    <mergeCell ref="A16:C16"/>
    <mergeCell ref="A15:C15"/>
  </mergeCells>
  <pageMargins left="0.7" right="0.7" top="0.75" bottom="0.75" header="0.3" footer="0.3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Irina Senko</dc:creator>
  <dcterms:created xsi:type="dcterms:W3CDTF">2015-06-05T18:19:34Z</dcterms:created>
  <dcterms:modified xsi:type="dcterms:W3CDTF">2026-09-04T07:03:07Z</dcterms:modified>
  <cp:lastModifiedBy>Корсакова Гузель</cp:lastModifiedBy>
  <cp:lastPrinted>2026-07-23T13:57:41Z</cp:lastPrinted>
</cp:coreProperties>
</file>